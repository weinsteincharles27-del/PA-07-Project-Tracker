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maximilianmuller/Documents/Econmics/"/>
    </mc:Choice>
  </mc:AlternateContent>
  <xr:revisionPtr revIDLastSave="0" documentId="8_{FD4FA76C-3D83-9C44-A056-E44F92B7FAA7}" xr6:coauthVersionLast="47" xr6:coauthVersionMax="47" xr10:uidLastSave="{00000000-0000-0000-0000-000000000000}"/>
  <bookViews>
    <workbookView xWindow="0" yWindow="600" windowWidth="28140" windowHeight="16180" tabRatio="500" xr2:uid="{00000000-000D-0000-FFFF-FFFF00000000}"/>
  </bookViews>
  <sheets>
    <sheet name="Summary" sheetId="1" r:id="rId1"/>
    <sheet name="Gen Z Share of Electorate" sheetId="2" r:id="rId2"/>
    <sheet name="Generation Comparison" sheetId="3" r:id="rId3"/>
    <sheet name="Gen Z by Municipality" sheetId="4" r:id="rId4"/>
    <sheet name="Gen Z by Precinct" sheetId="6" r:id="rId5"/>
    <sheet name="Notes" sheetId="7" r:id="rId6"/>
  </sheets>
  <definedNames>
    <definedName name="_xlnm._FilterDatabase" localSheetId="3" hidden="1">'Gen Z by Municipality'!$A$3:$P$92</definedName>
    <definedName name="_xlnm._FilterDatabase" localSheetId="4" hidden="1">'Gen Z by Precinct'!$A$3:$R$373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35" i="2" l="1"/>
  <c r="E35" i="2"/>
  <c r="D35" i="2"/>
  <c r="C35" i="2"/>
  <c r="F7" i="2" s="1"/>
  <c r="B35" i="2"/>
  <c r="F34" i="2"/>
  <c r="E34" i="2"/>
  <c r="D34" i="2"/>
  <c r="C34" i="2"/>
  <c r="B34" i="2"/>
  <c r="F33" i="2"/>
  <c r="E33" i="2"/>
  <c r="D33" i="2"/>
  <c r="C33" i="2"/>
  <c r="B33" i="2"/>
  <c r="F32" i="2"/>
  <c r="E32" i="2"/>
  <c r="H32" i="2" s="1"/>
  <c r="D32" i="2"/>
  <c r="C32" i="2"/>
  <c r="B32" i="2"/>
  <c r="F31" i="2"/>
  <c r="F36" i="2" s="1"/>
  <c r="E31" i="2"/>
  <c r="D31" i="2"/>
  <c r="D36" i="2" s="1"/>
  <c r="C31" i="2"/>
  <c r="C36" i="2" s="1"/>
  <c r="B31" i="2"/>
  <c r="B36" i="2" s="1"/>
  <c r="F23" i="2"/>
  <c r="F67" i="2" s="1"/>
  <c r="E23" i="2"/>
  <c r="E67" i="2" s="1"/>
  <c r="D23" i="2"/>
  <c r="D67" i="2" s="1"/>
  <c r="C23" i="2"/>
  <c r="B23" i="2"/>
  <c r="B67" i="2" s="1"/>
  <c r="F22" i="2"/>
  <c r="F66" i="2" s="1"/>
  <c r="E22" i="2"/>
  <c r="E66" i="2" s="1"/>
  <c r="D22" i="2"/>
  <c r="D66" i="2" s="1"/>
  <c r="C22" i="2"/>
  <c r="C66" i="2" s="1"/>
  <c r="B22" i="2"/>
  <c r="B66" i="2" s="1"/>
  <c r="I21" i="2"/>
  <c r="F21" i="2"/>
  <c r="F65" i="2" s="1"/>
  <c r="E21" i="2"/>
  <c r="E65" i="2" s="1"/>
  <c r="D21" i="2"/>
  <c r="D65" i="2" s="1"/>
  <c r="C21" i="2"/>
  <c r="C65" i="2" s="1"/>
  <c r="B21" i="2"/>
  <c r="B65" i="2" s="1"/>
  <c r="K20" i="2"/>
  <c r="F20" i="2"/>
  <c r="F64" i="2" s="1"/>
  <c r="E20" i="2"/>
  <c r="E64" i="2" s="1"/>
  <c r="D20" i="2"/>
  <c r="D64" i="2" s="1"/>
  <c r="C20" i="2"/>
  <c r="C64" i="2" s="1"/>
  <c r="B20" i="2"/>
  <c r="B64" i="2" s="1"/>
  <c r="F19" i="2"/>
  <c r="F63" i="2" s="1"/>
  <c r="E19" i="2"/>
  <c r="I19" i="2" s="1"/>
  <c r="D19" i="2"/>
  <c r="C19" i="2"/>
  <c r="C63" i="2" s="1"/>
  <c r="B19" i="2"/>
  <c r="B63" i="2" s="1"/>
  <c r="J10" i="2"/>
  <c r="G10" i="2"/>
  <c r="H10" i="2" s="1"/>
  <c r="F10" i="2"/>
  <c r="B10" i="2"/>
  <c r="F9" i="2"/>
  <c r="B9" i="2"/>
  <c r="J9" i="2" s="1"/>
  <c r="F8" i="2"/>
  <c r="B7" i="2"/>
  <c r="J7" i="2" s="1"/>
  <c r="G6" i="2"/>
  <c r="H6" i="2" s="1"/>
  <c r="F6" i="2"/>
  <c r="B6" i="2" l="1"/>
  <c r="J6" i="2" s="1"/>
  <c r="L20" i="2"/>
  <c r="J21" i="2"/>
  <c r="G23" i="2"/>
  <c r="G19" i="2"/>
  <c r="H33" i="2"/>
  <c r="L23" i="2"/>
  <c r="G32" i="2"/>
  <c r="H19" i="2"/>
  <c r="H21" i="2"/>
  <c r="G22" i="2"/>
  <c r="G34" i="2"/>
  <c r="C37" i="2"/>
  <c r="C53" i="2"/>
  <c r="C54" i="2"/>
  <c r="C55" i="2"/>
  <c r="C56" i="2"/>
  <c r="C57" i="2"/>
  <c r="G7" i="2"/>
  <c r="H7" i="2" s="1"/>
  <c r="I7" i="2" s="1"/>
  <c r="C58" i="2"/>
  <c r="D53" i="2"/>
  <c r="D54" i="2"/>
  <c r="D55" i="2"/>
  <c r="G36" i="2"/>
  <c r="D56" i="2"/>
  <c r="D57" i="2"/>
  <c r="D37" i="2"/>
  <c r="G8" i="2"/>
  <c r="H8" i="2" s="1"/>
  <c r="D58" i="2"/>
  <c r="J19" i="2"/>
  <c r="G20" i="2"/>
  <c r="L21" i="2"/>
  <c r="I22" i="2"/>
  <c r="C24" i="2"/>
  <c r="F54" i="2"/>
  <c r="F55" i="2"/>
  <c r="F56" i="2"/>
  <c r="F57" i="2"/>
  <c r="F58" i="2"/>
  <c r="F37" i="2"/>
  <c r="F53" i="2"/>
  <c r="K19" i="2"/>
  <c r="H20" i="2"/>
  <c r="J22" i="2"/>
  <c r="D24" i="2"/>
  <c r="G31" i="2"/>
  <c r="L19" i="2"/>
  <c r="I20" i="2"/>
  <c r="K22" i="2"/>
  <c r="H23" i="2"/>
  <c r="E24" i="2"/>
  <c r="H31" i="2"/>
  <c r="D63" i="2"/>
  <c r="J20" i="2"/>
  <c r="G21" i="2"/>
  <c r="L22" i="2"/>
  <c r="I23" i="2"/>
  <c r="F24" i="2"/>
  <c r="H34" i="2"/>
  <c r="E63" i="2"/>
  <c r="J23" i="2"/>
  <c r="B58" i="2"/>
  <c r="B37" i="2"/>
  <c r="B53" i="2"/>
  <c r="B54" i="2"/>
  <c r="B55" i="2"/>
  <c r="G33" i="2"/>
  <c r="C67" i="2"/>
  <c r="K23" i="2"/>
  <c r="B56" i="2"/>
  <c r="B57" i="2"/>
  <c r="B8" i="2"/>
  <c r="J8" i="2" s="1"/>
  <c r="K21" i="2"/>
  <c r="H22" i="2"/>
  <c r="B24" i="2"/>
  <c r="E36" i="2"/>
  <c r="G35" i="2"/>
  <c r="H35" i="2"/>
  <c r="B68" i="2" l="1"/>
  <c r="B48" i="2"/>
  <c r="B44" i="2"/>
  <c r="B45" i="2"/>
  <c r="B46" i="2"/>
  <c r="B43" i="2"/>
  <c r="B47" i="2"/>
  <c r="C6" i="2"/>
  <c r="B25" i="2"/>
  <c r="L24" i="2"/>
  <c r="H13" i="2"/>
  <c r="I8" i="2"/>
  <c r="D45" i="2"/>
  <c r="D46" i="2"/>
  <c r="D47" i="2"/>
  <c r="D43" i="2"/>
  <c r="D48" i="2"/>
  <c r="H24" i="2"/>
  <c r="D25" i="2"/>
  <c r="C8" i="2"/>
  <c r="D68" i="2"/>
  <c r="D44" i="2"/>
  <c r="C48" i="2"/>
  <c r="C44" i="2"/>
  <c r="C45" i="2"/>
  <c r="C46" i="2"/>
  <c r="C68" i="2"/>
  <c r="C43" i="2"/>
  <c r="C47" i="2"/>
  <c r="G24" i="2"/>
  <c r="C25" i="2"/>
  <c r="C7" i="2"/>
  <c r="E45" i="2"/>
  <c r="E46" i="2"/>
  <c r="E47" i="2"/>
  <c r="E43" i="2"/>
  <c r="E68" i="2"/>
  <c r="E48" i="2"/>
  <c r="I24" i="2"/>
  <c r="E25" i="2"/>
  <c r="C9" i="2"/>
  <c r="E44" i="2"/>
  <c r="E26" i="2"/>
  <c r="F38" i="2"/>
  <c r="D26" i="2"/>
  <c r="E53" i="2"/>
  <c r="E54" i="2"/>
  <c r="E55" i="2"/>
  <c r="H36" i="2"/>
  <c r="E56" i="2"/>
  <c r="E57" i="2"/>
  <c r="E58" i="2"/>
  <c r="E37" i="2"/>
  <c r="G9" i="2"/>
  <c r="H9" i="2" s="1"/>
  <c r="F26" i="2"/>
  <c r="F46" i="2"/>
  <c r="F47" i="2"/>
  <c r="F43" i="2"/>
  <c r="F68" i="2"/>
  <c r="F48" i="2"/>
  <c r="F44" i="2"/>
  <c r="J24" i="2"/>
  <c r="F25" i="2"/>
  <c r="F45" i="2"/>
  <c r="C10" i="2"/>
  <c r="K24" i="2"/>
  <c r="D8" i="2" l="1"/>
  <c r="K8" i="2"/>
  <c r="D6" i="2"/>
  <c r="K6" i="2"/>
  <c r="D10" i="2"/>
  <c r="K10" i="2"/>
  <c r="D9" i="2"/>
  <c r="K9" i="2"/>
  <c r="C26" i="2"/>
  <c r="B26" i="2"/>
  <c r="D7" i="2"/>
  <c r="K7" i="2"/>
  <c r="B38" i="2"/>
  <c r="C38" i="2"/>
  <c r="H14" i="2"/>
  <c r="I9" i="2"/>
  <c r="D38" i="2"/>
  <c r="E38" i="2"/>
  <c r="E10" i="2" l="1"/>
  <c r="E8" i="2"/>
  <c r="D13" i="2"/>
  <c r="D14" i="2"/>
  <c r="E9" i="2"/>
  <c r="E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3" authorId="0" shapeId="0" xr:uid="{00000000-0006-0000-0300-000001000000}">
      <text>
        <r>
          <rPr>
            <sz val="10"/>
            <rFont val="Arial"/>
            <family val="2"/>
          </rPr>
          <t>======
ID#AAACHvEueTI
Claude    (2026-09-29 15:48:18)
Everyone on the 2026 roll born 1997 or later. Municipalities are ranked by this column.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G3" authorId="0" shapeId="0" xr:uid="{00000000-0006-0000-0500-000001000000}">
      <text>
        <r>
          <rPr>
            <sz val="10"/>
            <rFont val="Arial"/>
            <family val="2"/>
          </rPr>
          <t>======
ID#AAACHvEueTE
Claude    (2026-09-29 15:48:18)
Precincts above 40% are usually campus precincts: Bethlehem 3rd Ward (Lehigh), Easton 3rd Ward 3rd District (Lafayette), Allentown 11th Ward 4th District (Muhlenberg and Cedar Crest).</t>
        </r>
      </text>
    </comment>
  </commentList>
</comments>
</file>

<file path=xl/sharedStrings.xml><?xml version="1.0" encoding="utf-8"?>
<sst xmlns="http://schemas.openxmlformats.org/spreadsheetml/2006/main" count="1933" uniqueCount="978">
  <si>
    <t>Gen Z in PA-07 — registration, turnout and the gender divide</t>
  </si>
  <si>
    <t>Voter file as of the 2026 primary. Gen Z = born 1997 or later; margins are Democratic minus Republican registration; turnout is ballots cast ÷ registrants.</t>
  </si>
  <si>
    <t>https://claude.ai/artifact/9QdeKSBeHZ5ZJrFjcTQBp9</t>
  </si>
  <si>
    <t>Headline numbers</t>
  </si>
  <si>
    <t>Measure</t>
  </si>
  <si>
    <t>Value</t>
  </si>
  <si>
    <t>Context</t>
  </si>
  <si>
    <t>Gen Z registrants in PA-07 (2026)</t>
  </si>
  <si>
    <t>Up from 14,425 in 2018, a 478% increase</t>
  </si>
  <si>
    <t>Gen Z share of all registrants</t>
  </si>
  <si>
    <t>Was 4.7% in 2018; now the third-largest generation on the roll</t>
  </si>
  <si>
    <t>Gen Z women on the roll</t>
  </si>
  <si>
    <t>D−R margin +30.0 points</t>
  </si>
  <si>
    <t>Gen Z men on the roll</t>
  </si>
  <si>
    <t>D−R margin −6.1 points</t>
  </si>
  <si>
    <t>Gen Z gender gap in party registration</t>
  </si>
  <si>
    <t>Nearly double the next-widest generation (Millennials, 21.2 points)</t>
  </si>
  <si>
    <t>Net Democratic registration edge from Gen Z</t>
  </si>
  <si>
    <t>Women +9,912, men −1,821; was +2,574 in 2018</t>
  </si>
  <si>
    <t>Gen Z turnout, 2022 midterm</t>
  </si>
  <si>
    <t>Against 75.6% for Boomers — the participation gap is the ceiling on their influence</t>
  </si>
  <si>
    <t>Net Democratic votes Gen Z contributed, 2022 midterm</t>
  </si>
  <si>
    <t>For comparison, the 2022 House race was decided by about 5,800 votes</t>
  </si>
  <si>
    <t>Why Gen Z women are different — five numbers</t>
  </si>
  <si>
    <t>Finding</t>
  </si>
  <si>
    <t>The numbers</t>
  </si>
  <si>
    <t>1. The widest gender gap of any generation</t>
  </si>
  <si>
    <t>Gen Z women register D−R +30.0; Gen Z men −6.1. The 36.1-point gap compares with 21.2 for Millennials, 19.8 for Gen X, 17.7 for Boomers and 9.6 for the Silent generation.</t>
  </si>
  <si>
    <t>2. The most Democratic cohort in the district</t>
  </si>
  <si>
    <t>No other age-and-sex group comes close: Millennial women +18.5, Gen X women +7.2, Boomer women +7.1. Gen Z women are 1.6 times as Democratic as the next-closest group.</t>
  </si>
  <si>
    <t>3. The only generation where women out-vote men</t>
  </si>
  <si>
    <t>In 2022 Gen Z women turned out 3.0 points above Gen Z men. Every older generation went the other way or was flat: Boomers −1.8, Gen X −0.6, Silent −6.5, Millennials +0.8.</t>
  </si>
  <si>
    <t>4. Growth without moderation</t>
  </si>
  <si>
    <t>Gen Z women on the roll went from 7,560 (2018) to 33,039 (2026), up 337%, while their margin only eased from +33.6 to +30.0. Gen Z men moved the other way over the same period, from +0.5 to −6.1, so the gap widened from 33.1 to 36.1 points.</t>
  </si>
  <si>
    <t>5. Less party-attached than they look</t>
  </si>
  <si>
    <t>23.3% of Gen Z women register unaffiliated or minor-party, against 10.3% of Boomer women. Their Democratic margin sits on top of the loosest partisan attachment in the district, which is why turnout assumptions move their impact so much.</t>
  </si>
  <si>
    <t>What it is worth in votes, by turnout scenario (2026 midterm)</t>
  </si>
  <si>
    <t>Scenario</t>
  </si>
  <si>
    <t>Gen Z women voting</t>
  </si>
  <si>
    <t>Gen Z men voting</t>
  </si>
  <si>
    <t>Net Democratic votes from Gen Z</t>
  </si>
  <si>
    <t>2022 midterm turnout (35.8% / 32.8%)</t>
  </si>
  <si>
    <t>2024-style turnout (64.5% / 61.7%)</t>
  </si>
  <si>
    <t>Women lift to 45%, men unchanged</t>
  </si>
  <si>
    <t>Both fall to 30%</t>
  </si>
  <si>
    <t>Net votes = registrants × turnout × registration margin. It assumes registration margin carries into vote choice, which the district's straight-ticket pattern supports but does not guarantee.</t>
  </si>
  <si>
    <t>Gen Z's share of the PA-07 electorate, 2018 to 2026</t>
  </si>
  <si>
    <t>Registered voters and ballots cast by generation at each election, summed live from the Muni Consolidated tab (89 municipalities). Gen Z = born 1997 or later. 2026 is the May closed primary, so its ballots are not comparable with the general elections.</t>
  </si>
  <si>
    <t>Gen Z's share at each election</t>
  </si>
  <si>
    <t>Election</t>
  </si>
  <si>
    <t>Gen Z registered</t>
  </si>
  <si>
    <t>All registered</t>
  </si>
  <si>
    <t>Gen Z share of registered</t>
  </si>
  <si>
    <t>Change from prior election (pts)</t>
  </si>
  <si>
    <t>Gen Z ballots cast</t>
  </si>
  <si>
    <t>All ballots cast</t>
  </si>
  <si>
    <t>Gen Z share of ballots cast</t>
  </si>
  <si>
    <t>Gen Z turnout</t>
  </si>
  <si>
    <t>All-voter turnout</t>
  </si>
  <si>
    <t>2018 midterm</t>
  </si>
  <si>
    <t>2020 presidential</t>
  </si>
  <si>
    <t>2022 midterm</t>
  </si>
  <si>
    <t>2024 presidential</t>
  </si>
  <si>
    <t>2026 primary (May)</t>
  </si>
  <si>
    <t>n/a (primary)</t>
  </si>
  <si>
    <t>Like-for-like change in Gen Z share (pts)</t>
  </si>
  <si>
    <t>Registered</t>
  </si>
  <si>
    <t>Ballots cast</t>
  </si>
  <si>
    <t>Midterm to midterm, 2018→2022</t>
  </si>
  <si>
    <t>Presidential to presidential, 2020→2024</t>
  </si>
  <si>
    <t>Registered voters by generation (exact counts)</t>
  </si>
  <si>
    <t>Generation</t>
  </si>
  <si>
    <t>Change 2018→2020</t>
  </si>
  <si>
    <t>Change 2020→2022</t>
  </si>
  <si>
    <t>Change 2022→2024</t>
  </si>
  <si>
    <t>Change 2024→2026</t>
  </si>
  <si>
    <t>Total change 2018→2026</t>
  </si>
  <si>
    <t>Growth 2018→2026</t>
  </si>
  <si>
    <t>Silent &amp; Greatest</t>
  </si>
  <si>
    <t>Baby Boomer</t>
  </si>
  <si>
    <t>Generation X</t>
  </si>
  <si>
    <t>Millennial</t>
  </si>
  <si>
    <t>Generation Z</t>
  </si>
  <si>
    <t>All generations</t>
  </si>
  <si>
    <t>Check vs source All rows (= 0)</t>
  </si>
  <si>
    <t>Check vs Gen Z tab (= 0)</t>
  </si>
  <si>
    <t>Ballots cast by generation (exact voters)</t>
  </si>
  <si>
    <t>Change, midterms 2018→2022</t>
  </si>
  <si>
    <t>Change, presidential 2020→2024</t>
  </si>
  <si>
    <t>Share of registered voters by generation</t>
  </si>
  <si>
    <t>Share of ballots cast by generation</t>
  </si>
  <si>
    <t>Turnout by generation (ballots cast ÷ registered)</t>
  </si>
  <si>
    <t>How to read these numbers</t>
  </si>
  <si>
    <t>1. Registered = Registered D + R + Other on Muni Consolidated; ballots cast = Voted D + R + Other. Ballots are people who voted, labelled by their registration, not votes for a party.</t>
  </si>
  <si>
    <t>2. Past elections count people still on the current roll who had registered by that election, so earlier electorates are understated and more so further back (the file captures about 98% of 2024 ballots in Northampton and about 80% of 2018). Older voters leave the roll mostly by dying and younger ones mostly by moving, so read the 2018 and 2020 shares as approximate.</t>
  </si>
  <si>
    <t>3. Part of Gen Z's growth is mechanical: in 2018 only those born 1997–2000 were old enough to vote, and every election since has added another cohort of 18-year-olds.</t>
  </si>
  <si>
    <t>4. Consecutive-election changes in ballots alternate between presidential and midterm electorates, so the like-for-like rows (2018→2022 and 2020→2024) are the cleaner read on Gen Z's growing weight among actual voters.</t>
  </si>
  <si>
    <t>5. 2026 is the May closed primary: unaffiliated voters could not vote in party contests and turnout was low, so its ballot counts and shares are shown for completeness and are not comparable with 2018–2024.</t>
  </si>
  <si>
    <t>6. The check rows under each count table should read 0. A non-zero value means the copy of Muni Consolidated in this workbook no longer matches its own All rows or the Gen Z tab.</t>
  </si>
  <si>
    <t>Every generation by sex — 2026 roll, with 2022 and 2024 turnout</t>
  </si>
  <si>
    <t>Sex</t>
  </si>
  <si>
    <t>Registrants</t>
  </si>
  <si>
    <t>D−R margin</t>
  </si>
  <si>
    <t>Unaffiliated / other</t>
  </si>
  <si>
    <t>Turnout 2022</t>
  </si>
  <si>
    <t>Turnout 2024</t>
  </si>
  <si>
    <t>Mail share 2022</t>
  </si>
  <si>
    <t>Female</t>
  </si>
  <si>
    <t>Male</t>
  </si>
  <si>
    <t>Gender gap (F − M)</t>
  </si>
  <si>
    <t>Registration margin by generation and sex, 2018 to 2026</t>
  </si>
  <si>
    <t>2018</t>
  </si>
  <si>
    <t>2020</t>
  </si>
  <si>
    <t>2022</t>
  </si>
  <si>
    <t>2024</t>
  </si>
  <si>
    <t>2026</t>
  </si>
  <si>
    <t>Turnout by generation and sex</t>
  </si>
  <si>
    <t>2026 primary</t>
  </si>
  <si>
    <t>2026 is the May closed primary, not comparable with general-election turnout.</t>
  </si>
  <si>
    <t>Gen Z registrants by municipality, ranked — 2026 roll</t>
  </si>
  <si>
    <t>Rank</t>
  </si>
  <si>
    <t>County</t>
  </si>
  <si>
    <t>Municipality</t>
  </si>
  <si>
    <t>Gen Z registrants</t>
  </si>
  <si>
    <t>Share of all registrants</t>
  </si>
  <si>
    <t>Gen Z women</t>
  </si>
  <si>
    <t>Gen Z men</t>
  </si>
  <si>
    <t>D−R margin, women</t>
  </si>
  <si>
    <t>D−R margin, men</t>
  </si>
  <si>
    <t>Gender gap (pts)</t>
  </si>
  <si>
    <t>Gen Z turnout 2022</t>
  </si>
  <si>
    <t>Gen Z turnout 2024</t>
  </si>
  <si>
    <t>Growth since 2018</t>
  </si>
  <si>
    <t>Growth %</t>
  </si>
  <si>
    <t>Lehigh</t>
  </si>
  <si>
    <t>Allentown</t>
  </si>
  <si>
    <t>Northampton</t>
  </si>
  <si>
    <t>Bethlehem</t>
  </si>
  <si>
    <t>Easton</t>
  </si>
  <si>
    <t>Lower Macungie</t>
  </si>
  <si>
    <t>Upper Macungie</t>
  </si>
  <si>
    <t>Bethlehem Township</t>
  </si>
  <si>
    <t>Whitehall</t>
  </si>
  <si>
    <t>Palmer</t>
  </si>
  <si>
    <t>Upper Saucon</t>
  </si>
  <si>
    <t>South Whitehall</t>
  </si>
  <si>
    <t>Forks</t>
  </si>
  <si>
    <t>North Whitehall</t>
  </si>
  <si>
    <t>Hanover</t>
  </si>
  <si>
    <t>Lower Saucon</t>
  </si>
  <si>
    <t>Emmaus</t>
  </si>
  <si>
    <t>Salisbury</t>
  </si>
  <si>
    <t>Carbon</t>
  </si>
  <si>
    <t>Penn Forest Township</t>
  </si>
  <si>
    <t>Bushkill</t>
  </si>
  <si>
    <t>Wilson</t>
  </si>
  <si>
    <t>Moore</t>
  </si>
  <si>
    <t>Upper Milford</t>
  </si>
  <si>
    <t>Monroe</t>
  </si>
  <si>
    <t>Polk Township</t>
  </si>
  <si>
    <t>Upper Nazareth</t>
  </si>
  <si>
    <t>Lower Nazareth</t>
  </si>
  <si>
    <t>Williams Township</t>
  </si>
  <si>
    <t>Hellertown</t>
  </si>
  <si>
    <t>Upper Mount Bethel</t>
  </si>
  <si>
    <t>Nazareth</t>
  </si>
  <si>
    <t>Plainfield</t>
  </si>
  <si>
    <t>Washington</t>
  </si>
  <si>
    <t>Allen</t>
  </si>
  <si>
    <t>Catasauqua</t>
  </si>
  <si>
    <t>Palmerton Borough</t>
  </si>
  <si>
    <t>Bangor</t>
  </si>
  <si>
    <t>Lehighton Borough</t>
  </si>
  <si>
    <t>Weisenberg</t>
  </si>
  <si>
    <t>East Allen</t>
  </si>
  <si>
    <t>Fountain Hill</t>
  </si>
  <si>
    <t>Lower Milford</t>
  </si>
  <si>
    <t>Lynn</t>
  </si>
  <si>
    <t>Towamensing Township</t>
  </si>
  <si>
    <t>Mahoning Township</t>
  </si>
  <si>
    <t>Jim Thorpe Borough</t>
  </si>
  <si>
    <t>Pen Argyl</t>
  </si>
  <si>
    <t>Franklin Township</t>
  </si>
  <si>
    <t>Lansford Borough</t>
  </si>
  <si>
    <t>Slatington</t>
  </si>
  <si>
    <t>Macungie</t>
  </si>
  <si>
    <t>Heidelberg</t>
  </si>
  <si>
    <t>Bath</t>
  </si>
  <si>
    <t>Summit Hill Borough</t>
  </si>
  <si>
    <t>Freemansburg</t>
  </si>
  <si>
    <t>Wind Gap</t>
  </si>
  <si>
    <t>North Catasauqua</t>
  </si>
  <si>
    <t>Coplay</t>
  </si>
  <si>
    <t>Nesquehoning Borough</t>
  </si>
  <si>
    <t>Lower Mount Bethel</t>
  </si>
  <si>
    <t>Lower Towamensing Township</t>
  </si>
  <si>
    <t>Alburtis</t>
  </si>
  <si>
    <t>Coopersburg</t>
  </si>
  <si>
    <t>Eldred Township</t>
  </si>
  <si>
    <t>Lowhill</t>
  </si>
  <si>
    <t>Ross Township</t>
  </si>
  <si>
    <t>East Penn Township</t>
  </si>
  <si>
    <t>Walnutport</t>
  </si>
  <si>
    <t>Weatherly Borough</t>
  </si>
  <si>
    <t>Roseto</t>
  </si>
  <si>
    <t>Tatamy</t>
  </si>
  <si>
    <t>Stockertown</t>
  </si>
  <si>
    <t>West Easton</t>
  </si>
  <si>
    <t>East Bangor</t>
  </si>
  <si>
    <t>Kidder Township</t>
  </si>
  <si>
    <t>Packer Township</t>
  </si>
  <si>
    <t>Beaver Meadows Borough</t>
  </si>
  <si>
    <t>Banks Township</t>
  </si>
  <si>
    <t>Bowmanstown Borough</t>
  </si>
  <si>
    <t>Portland</t>
  </si>
  <si>
    <t>Glendon</t>
  </si>
  <si>
    <t>Parryville Borough</t>
  </si>
  <si>
    <t>Weissport Borough</t>
  </si>
  <si>
    <t>Lausanne Township</t>
  </si>
  <si>
    <t>Chapman</t>
  </si>
  <si>
    <t>Lehigh Township</t>
  </si>
  <si>
    <t>East Side Borough</t>
  </si>
  <si>
    <t>Gen Z registrants by precinct, ranked — 2026 roll</t>
  </si>
  <si>
    <t>Precinct</t>
  </si>
  <si>
    <t>Precinct ID</t>
  </si>
  <si>
    <t>BETHLEHEM 3RD WARD</t>
  </si>
  <si>
    <t>P227</t>
  </si>
  <si>
    <t>EASTON 3RD WARD 3RD DISTRICT</t>
  </si>
  <si>
    <t>P275</t>
  </si>
  <si>
    <t>ALLENTOWN 11TH WARD 4TH DIST</t>
  </si>
  <si>
    <t>P75</t>
  </si>
  <si>
    <t>BETHLEHEM 4TH WARD</t>
  </si>
  <si>
    <t>P228</t>
  </si>
  <si>
    <t>BETHLEHEM 2ND WARD</t>
  </si>
  <si>
    <t>P226</t>
  </si>
  <si>
    <t>POLK</t>
  </si>
  <si>
    <t>P214</t>
  </si>
  <si>
    <t>UPPER SAUCON 4TH DISTRICT</t>
  </si>
  <si>
    <t>P194</t>
  </si>
  <si>
    <t>UPPER MACUNGIE 5TH DISTRICT</t>
  </si>
  <si>
    <t>P185</t>
  </si>
  <si>
    <t>LOWER MACUNGIE 2ND DISTRICT</t>
  </si>
  <si>
    <t>P141</t>
  </si>
  <si>
    <t>LOWER MACUNGIE 6TH DISTRICT</t>
  </si>
  <si>
    <t>P145</t>
  </si>
  <si>
    <t>WEISENBERG</t>
  </si>
  <si>
    <t>P200</t>
  </si>
  <si>
    <t>UPPER MACUNGIE 2ND DISTRICT</t>
  </si>
  <si>
    <t>P182</t>
  </si>
  <si>
    <t>ALLENTOWN 3RD WARD</t>
  </si>
  <si>
    <t>P55</t>
  </si>
  <si>
    <t>ALLENTOWN 19TH WARD 6TH DIST</t>
  </si>
  <si>
    <t>P110</t>
  </si>
  <si>
    <t>UPPER MILFORD EASTERN DISTRICT</t>
  </si>
  <si>
    <t>P189</t>
  </si>
  <si>
    <t>LOWER MILFORD</t>
  </si>
  <si>
    <t>P150</t>
  </si>
  <si>
    <t>NORTHAMPTON BORO 3RD WARD</t>
  </si>
  <si>
    <t>P336</t>
  </si>
  <si>
    <t>NORTH WHITEHALL 2ND DISTRICT</t>
  </si>
  <si>
    <t>P157</t>
  </si>
  <si>
    <t>UPPER MACUNGIE 1ST DISTRICT</t>
  </si>
  <si>
    <t>P181</t>
  </si>
  <si>
    <t>EASTON 8TH WARD</t>
  </si>
  <si>
    <t>P281</t>
  </si>
  <si>
    <t>SOUTH WHITEHALL 8TH DISTRICT</t>
  </si>
  <si>
    <t>P180</t>
  </si>
  <si>
    <t>BUSHKILL TWSP - BUSHKILL CENTER</t>
  </si>
  <si>
    <t>P266</t>
  </si>
  <si>
    <t>BETHLEHEM 15TH WARD 3RD DISTRICT</t>
  </si>
  <si>
    <t>P246</t>
  </si>
  <si>
    <t>LOWER MACUNGIE 3RD DISTRICT</t>
  </si>
  <si>
    <t>P142</t>
  </si>
  <si>
    <t>BETHLEHEM 8TH WARD</t>
  </si>
  <si>
    <t>P232</t>
  </si>
  <si>
    <t>PALMER - NORTHEAST</t>
  </si>
  <si>
    <t>P341</t>
  </si>
  <si>
    <t>LOWER MACUNGIE 1ST DISTRICT</t>
  </si>
  <si>
    <t>P140</t>
  </si>
  <si>
    <t>ALLENTOWN 16TH WARD 2ND DIST</t>
  </si>
  <si>
    <t>P95</t>
  </si>
  <si>
    <t>ALLENTOWN 10TH WARD 1ST DIST</t>
  </si>
  <si>
    <t>P69</t>
  </si>
  <si>
    <t>UPPER MACUNGIE 3RD DISTRICT</t>
  </si>
  <si>
    <t>P183</t>
  </si>
  <si>
    <t>UPPER MILFORD WESTERN DISTRICT</t>
  </si>
  <si>
    <t>P190</t>
  </si>
  <si>
    <t>ALLENTOWN 17TH WD 4TH DT PARK</t>
  </si>
  <si>
    <t>P100</t>
  </si>
  <si>
    <t>FORKS TWSP EAST</t>
  </si>
  <si>
    <t>P288</t>
  </si>
  <si>
    <t>ALLENTOWN 14TH WARD 1ST DIST</t>
  </si>
  <si>
    <t>P88</t>
  </si>
  <si>
    <t>SOUTH WHITEHALL 3RD DISTRICT</t>
  </si>
  <si>
    <t>P175</t>
  </si>
  <si>
    <t>EASTON 9TH WARD</t>
  </si>
  <si>
    <t>P283</t>
  </si>
  <si>
    <t>WASHINGTON SOUTHERN DISTRICT</t>
  </si>
  <si>
    <t>P198</t>
  </si>
  <si>
    <t>MACUNGIE</t>
  </si>
  <si>
    <t>P155</t>
  </si>
  <si>
    <t>BETHLEHEM 16TH WARD</t>
  </si>
  <si>
    <t>P247</t>
  </si>
  <si>
    <t>BETHLEHEM 14TH WARD 6TH DISTRICT</t>
  </si>
  <si>
    <t>P241</t>
  </si>
  <si>
    <t>BETHLEHEM 5TH WARD</t>
  </si>
  <si>
    <t>P229</t>
  </si>
  <si>
    <t>HEIDELBERG</t>
  </si>
  <si>
    <t>P139</t>
  </si>
  <si>
    <t>UPPER MACUNGIE 4TH DISTRICT</t>
  </si>
  <si>
    <t>P184</t>
  </si>
  <si>
    <t>ALLENTOWN 14TH WARD 2ND DIST</t>
  </si>
  <si>
    <t>P89</t>
  </si>
  <si>
    <t>WHITEHALL 1ST DISTRICT</t>
  </si>
  <si>
    <t>P201</t>
  </si>
  <si>
    <t>NORTH WHITEHALL 1ST DISTRICT</t>
  </si>
  <si>
    <t>P156</t>
  </si>
  <si>
    <t>EASTON 11TH WARD</t>
  </si>
  <si>
    <t>P286</t>
  </si>
  <si>
    <t>ALLENTOWN 5TH WARD</t>
  </si>
  <si>
    <t>P57</t>
  </si>
  <si>
    <t>BETHLEHEM TWSP 4TH WARD 1ST DISTRICT</t>
  </si>
  <si>
    <t>P262</t>
  </si>
  <si>
    <t>MOORE TWSP - EASTERN</t>
  </si>
  <si>
    <t>P326</t>
  </si>
  <si>
    <t>WILSON BORO 3RD WARD</t>
  </si>
  <si>
    <t>P379</t>
  </si>
  <si>
    <t>ALLENTOWN 9TH WARD</t>
  </si>
  <si>
    <t>P68</t>
  </si>
  <si>
    <t>LOWER SAUCON TWSP - 7</t>
  </si>
  <si>
    <t>P321</t>
  </si>
  <si>
    <t>BATH BORO</t>
  </si>
  <si>
    <t>P223</t>
  </si>
  <si>
    <t>LOWER MACUNGIE 10TH DISTRICT</t>
  </si>
  <si>
    <t>P149</t>
  </si>
  <si>
    <t>FORKS TWSP SOUTH</t>
  </si>
  <si>
    <t>P291</t>
  </si>
  <si>
    <t>BETHLEHEM 7TH WARD</t>
  </si>
  <si>
    <t>P231</t>
  </si>
  <si>
    <t>PALMER - SOUTHEAST</t>
  </si>
  <si>
    <t>P345</t>
  </si>
  <si>
    <t>FREEMANSBURG</t>
  </si>
  <si>
    <t>P295</t>
  </si>
  <si>
    <t>LOWER MACUNGIE 7TH DISTRICT</t>
  </si>
  <si>
    <t>P146</t>
  </si>
  <si>
    <t>WIND GAP</t>
  </si>
  <si>
    <t>P380</t>
  </si>
  <si>
    <t>WHITEHALL 12TH DISTRICT</t>
  </si>
  <si>
    <t>P212</t>
  </si>
  <si>
    <t>EASTON 2ND WARD</t>
  </si>
  <si>
    <t>P273</t>
  </si>
  <si>
    <t>WILSON BORO 1ST WARD</t>
  </si>
  <si>
    <t>P377</t>
  </si>
  <si>
    <t>BANGOR BORO NORTH</t>
  </si>
  <si>
    <t>P219</t>
  </si>
  <si>
    <t>LOWER MACUNGIE 4TH DISTRICT</t>
  </si>
  <si>
    <t>P143</t>
  </si>
  <si>
    <t>ALLEN TWSP - SOUTH</t>
  </si>
  <si>
    <t>P218</t>
  </si>
  <si>
    <t>UPPER MACUNGIE 8TH DISTRICT</t>
  </si>
  <si>
    <t>P188</t>
  </si>
  <si>
    <t>PALMER - NORTH</t>
  </si>
  <si>
    <t>P340</t>
  </si>
  <si>
    <t>WASHINGTON TWSP - LOWER</t>
  </si>
  <si>
    <t>P370</t>
  </si>
  <si>
    <t>BETHLEHEM 9TH WARD WEST</t>
  </si>
  <si>
    <t>P233</t>
  </si>
  <si>
    <t>LOWER SAUCON TWSP - 2</t>
  </si>
  <si>
    <t>P318</t>
  </si>
  <si>
    <t>BETHLEHEM 13TH WARD 1ST DIST</t>
  </si>
  <si>
    <t>P115</t>
  </si>
  <si>
    <t>ALLENTOWN 1ST WARD</t>
  </si>
  <si>
    <t>P53</t>
  </si>
  <si>
    <t>ALLENTOWN 7TH WARD</t>
  </si>
  <si>
    <t>P60</t>
  </si>
  <si>
    <t>UPPER MACUNGIE 7TH DISTRICT</t>
  </si>
  <si>
    <t>P187</t>
  </si>
  <si>
    <t>WHITEHALL 10TH DISTRICT</t>
  </si>
  <si>
    <t>P210</t>
  </si>
  <si>
    <t>WHITEHALL 6TH DISTRICT</t>
  </si>
  <si>
    <t>P206</t>
  </si>
  <si>
    <t>BUSHKILL TWSP - CHERRY HILL</t>
  </si>
  <si>
    <t>P267</t>
  </si>
  <si>
    <t>PALMER - WEST</t>
  </si>
  <si>
    <t>P346</t>
  </si>
  <si>
    <t>EMMAUS 3RD DISTRICT</t>
  </si>
  <si>
    <t>P131</t>
  </si>
  <si>
    <t>PALMERTON BOROUGH-MIDDLE</t>
  </si>
  <si>
    <t>P34</t>
  </si>
  <si>
    <t>FORKS TWSP NORTHWEST</t>
  </si>
  <si>
    <t>P290</t>
  </si>
  <si>
    <t>PALMER - CENTRAL</t>
  </si>
  <si>
    <t>P339</t>
  </si>
  <si>
    <t>UPPER SAUCON 5TH DISTRICT</t>
  </si>
  <si>
    <t>P195</t>
  </si>
  <si>
    <t>ALLENTOWN 15TH WARD 2ND DIST</t>
  </si>
  <si>
    <t>P91</t>
  </si>
  <si>
    <t>EASTON 4TH WARD</t>
  </si>
  <si>
    <t>P277</t>
  </si>
  <si>
    <t>NORTHAMPTON BORO 2ND WARD</t>
  </si>
  <si>
    <t>P335</t>
  </si>
  <si>
    <t>EASTON 10TH WARD</t>
  </si>
  <si>
    <t>P284</t>
  </si>
  <si>
    <t>ALLEN TWSP - NORTH</t>
  </si>
  <si>
    <t>P217</t>
  </si>
  <si>
    <t>LYNN NEW TRIPOLI DISTRICT</t>
  </si>
  <si>
    <t>P154</t>
  </si>
  <si>
    <t>UPPER MACUNGIE 6TH DISTRICT</t>
  </si>
  <si>
    <t>P186</t>
  </si>
  <si>
    <t>UPPER NAZARETH - EAST 1</t>
  </si>
  <si>
    <t>P365</t>
  </si>
  <si>
    <t>SOUTH WHITEHALL 5TH DISTRICT</t>
  </si>
  <si>
    <t>P177</t>
  </si>
  <si>
    <t>WHITEHALL 7TH DISTRICT</t>
  </si>
  <si>
    <t>P207</t>
  </si>
  <si>
    <t>EMMAUS 4TH DISTRICT</t>
  </si>
  <si>
    <t>P132</t>
  </si>
  <si>
    <t>PALMER - SOUTH</t>
  </si>
  <si>
    <t>P344</t>
  </si>
  <si>
    <t>HANOVER #5</t>
  </si>
  <si>
    <t>P301</t>
  </si>
  <si>
    <t>SALISBURY 2ND WARD</t>
  </si>
  <si>
    <t>P163</t>
  </si>
  <si>
    <t>LOWER MACUNGIE 8TH DISTRICT</t>
  </si>
  <si>
    <t>P147</t>
  </si>
  <si>
    <t>UPPER SAUCON 2ND DISTRICT</t>
  </si>
  <si>
    <t>P192</t>
  </si>
  <si>
    <t>NORTH WHITEHALL 5TH DISTRICT</t>
  </si>
  <si>
    <t>P160</t>
  </si>
  <si>
    <t>LEHIGH TWSP - DANIELSVILLE</t>
  </si>
  <si>
    <t>P307</t>
  </si>
  <si>
    <t>ALLENTOWN 19TH WARD 2ND DIST</t>
  </si>
  <si>
    <t>P105</t>
  </si>
  <si>
    <t>LEHIGH TWSP - CENTRAL</t>
  </si>
  <si>
    <t>P306</t>
  </si>
  <si>
    <t>UPPER NAZARETH - WEST 1</t>
  </si>
  <si>
    <t>P367</t>
  </si>
  <si>
    <t>SOUTH WHITEHALL 6TH DISTRICT</t>
  </si>
  <si>
    <t>P178</t>
  </si>
  <si>
    <t>SOUTH WHITEHALL 1ST DISTRICT</t>
  </si>
  <si>
    <t>P173</t>
  </si>
  <si>
    <t>NAZARETH BORO 2ND WARD</t>
  </si>
  <si>
    <t>P330</t>
  </si>
  <si>
    <t>UPPER SAUCON 1ST DISTRICT</t>
  </si>
  <si>
    <t>P191</t>
  </si>
  <si>
    <t>EAST ALLEN TWSP - WESTERN</t>
  </si>
  <si>
    <t>P271</t>
  </si>
  <si>
    <t>NORTHAMPTON BORO 1ST WARD</t>
  </si>
  <si>
    <t>P334</t>
  </si>
  <si>
    <t>ALLENTOWN 12TH WARD 2ND DIST</t>
  </si>
  <si>
    <t>P80</t>
  </si>
  <si>
    <t>FORKS TWSP WEST</t>
  </si>
  <si>
    <t>P294</t>
  </si>
  <si>
    <t>NORTH WHITEHALL 6TH DISTRICT</t>
  </si>
  <si>
    <t>P161</t>
  </si>
  <si>
    <t>MOORE TWSP - KLECKNERSVILLE</t>
  </si>
  <si>
    <t>P327</t>
  </si>
  <si>
    <t>BETHLEHEM 15TH WARD 2ND DISTRICT</t>
  </si>
  <si>
    <t>P245</t>
  </si>
  <si>
    <t>COOPERSBURG</t>
  </si>
  <si>
    <t>P126</t>
  </si>
  <si>
    <t>ALBURTIS</t>
  </si>
  <si>
    <t>P52</t>
  </si>
  <si>
    <t>HANOVER #2</t>
  </si>
  <si>
    <t>P298</t>
  </si>
  <si>
    <t>ELDRED</t>
  </si>
  <si>
    <t>P213</t>
  </si>
  <si>
    <t>ALLENTOWN 8TH WARD 3RD DIST</t>
  </si>
  <si>
    <t>P63</t>
  </si>
  <si>
    <t>HELLERTOWN BORO 1ST WARD</t>
  </si>
  <si>
    <t>P303</t>
  </si>
  <si>
    <t>LOWHILL</t>
  </si>
  <si>
    <t>P151</t>
  </si>
  <si>
    <t>LOWER NAZARETH WEST</t>
  </si>
  <si>
    <t>P316</t>
  </si>
  <si>
    <t>LOWER NAZARETH NORTH</t>
  </si>
  <si>
    <t>P314</t>
  </si>
  <si>
    <t>ROSS 1</t>
  </si>
  <si>
    <t>P215</t>
  </si>
  <si>
    <t>ALLENTOWN 16TH WARD 1ST DIST</t>
  </si>
  <si>
    <t>P94</t>
  </si>
  <si>
    <t>BETHLEHEM 9TH WARD EAST</t>
  </si>
  <si>
    <t>P235</t>
  </si>
  <si>
    <t>BETHLEHEM 1ST WARD - NORTHERN</t>
  </si>
  <si>
    <t>P224</t>
  </si>
  <si>
    <t>WHITEHALL 3RD DISTRICT</t>
  </si>
  <si>
    <t>P203</t>
  </si>
  <si>
    <t>NORTH WHITEHALL 4TH DISTRICT</t>
  </si>
  <si>
    <t>P159</t>
  </si>
  <si>
    <t>EMMAUS 1ST DISTRICT</t>
  </si>
  <si>
    <t>P129</t>
  </si>
  <si>
    <t>ALLENTOWN 10TH WARD 4TH DIST</t>
  </si>
  <si>
    <t>P71</t>
  </si>
  <si>
    <t>ALLENTOWN 12TH WARD 5TH DIST</t>
  </si>
  <si>
    <t>P83</t>
  </si>
  <si>
    <t>WASHINGTON TWSP - UPPER</t>
  </si>
  <si>
    <t>P371</t>
  </si>
  <si>
    <t>BETHLEHEM 1ST WARD - SOUTHERN</t>
  </si>
  <si>
    <t>P225</t>
  </si>
  <si>
    <t>FORKS TWSP SOUTHWEST</t>
  </si>
  <si>
    <t>P293</t>
  </si>
  <si>
    <t>PALMER - NORTHWEST</t>
  </si>
  <si>
    <t>P342</t>
  </si>
  <si>
    <t>MAHONING TOWNSHIP-MAHONING</t>
  </si>
  <si>
    <t>P27</t>
  </si>
  <si>
    <t>PALMER - EAST</t>
  </si>
  <si>
    <t>P338</t>
  </si>
  <si>
    <t>ALLENTOWN 18TH WARD 2ND DIST</t>
  </si>
  <si>
    <t>P102</t>
  </si>
  <si>
    <t>BETHLEHEM 13TH WARD 7TH DIST</t>
  </si>
  <si>
    <t>P121</t>
  </si>
  <si>
    <t>HANOVER #4</t>
  </si>
  <si>
    <t>P300</t>
  </si>
  <si>
    <t>BANGOR BORO SOUTH</t>
  </si>
  <si>
    <t>P220</t>
  </si>
  <si>
    <t>EAST ALLEN TWSP - EASTERN</t>
  </si>
  <si>
    <t>P270</t>
  </si>
  <si>
    <t>EASTON 7TH WARD</t>
  </si>
  <si>
    <t>P280</t>
  </si>
  <si>
    <t>WILSON BORO 2ND WARD</t>
  </si>
  <si>
    <t>P378</t>
  </si>
  <si>
    <t>SALISBURY 1ST WARD</t>
  </si>
  <si>
    <t>P162</t>
  </si>
  <si>
    <t>ALLENTOWN 15TH WARD 3RD DIST</t>
  </si>
  <si>
    <t>P92</t>
  </si>
  <si>
    <t>WHITEHALL 9TH DISTRICT</t>
  </si>
  <si>
    <t>P209</t>
  </si>
  <si>
    <t>UPPER SAUCON 6TH DISTRICT</t>
  </si>
  <si>
    <t>P196</t>
  </si>
  <si>
    <t>ALLENTOWN 10TH WARD 3RD DIST</t>
  </si>
  <si>
    <t>P70</t>
  </si>
  <si>
    <t>PENN FOREST TOWNSHIP-EAST</t>
  </si>
  <si>
    <t>P39</t>
  </si>
  <si>
    <t>ALLENTOWN 19TH WARD 4TH DIST</t>
  </si>
  <si>
    <t>P107</t>
  </si>
  <si>
    <t>BUSHKILL TWSP - CLEARFIELD</t>
  </si>
  <si>
    <t>P268</t>
  </si>
  <si>
    <t>BETHLEHEM 15TH WARD 1ST DISTRICT</t>
  </si>
  <si>
    <t>P244</t>
  </si>
  <si>
    <t>EMMAUS 2ND DISTRICT</t>
  </si>
  <si>
    <t>P130</t>
  </si>
  <si>
    <t>ALLENTOWN 2ND WARD</t>
  </si>
  <si>
    <t>P54</t>
  </si>
  <si>
    <t>BETHLEHEM TWSP 1ST WARD 3RD DISTRICT</t>
  </si>
  <si>
    <t>P251</t>
  </si>
  <si>
    <t>HELLERTOWN BORO 3RD WARD</t>
  </si>
  <si>
    <t>P305</t>
  </si>
  <si>
    <t>UPPER SAUCON 3RD DISTRICT</t>
  </si>
  <si>
    <t>P193</t>
  </si>
  <si>
    <t>LEHIGH TWSP - PENNSVILLE</t>
  </si>
  <si>
    <t>P309</t>
  </si>
  <si>
    <t>ALLENTOWN 15TH WARD 1ST DIST</t>
  </si>
  <si>
    <t>P90</t>
  </si>
  <si>
    <t>HANOVER #1</t>
  </si>
  <si>
    <t>P297</t>
  </si>
  <si>
    <t>ALLENTOWN 12TH WARD 1ST DIST</t>
  </si>
  <si>
    <t>P79</t>
  </si>
  <si>
    <t>BETHLEHEM 14TH WARD 1ST DISTRICT</t>
  </si>
  <si>
    <t>P236</t>
  </si>
  <si>
    <t>WHITEHALL 8TH DISTRICT</t>
  </si>
  <si>
    <t>P208</t>
  </si>
  <si>
    <t>PALMER - SOUTHWEST</t>
  </si>
  <si>
    <t>P343</t>
  </si>
  <si>
    <t>ALLENTOWN 19TH WARD 5TH DIST</t>
  </si>
  <si>
    <t>P108</t>
  </si>
  <si>
    <t>ALLENTOWN 6TH WARD 2ND DIST</t>
  </si>
  <si>
    <t>P59</t>
  </si>
  <si>
    <t>EASTON 6TH WARD</t>
  </si>
  <si>
    <t>P279</t>
  </si>
  <si>
    <t>FOUNTAIN HILL 1ST DIST</t>
  </si>
  <si>
    <t>P135</t>
  </si>
  <si>
    <t>ALLENTOWN 13TH WARD 3RD DIST</t>
  </si>
  <si>
    <t>P86</t>
  </si>
  <si>
    <t>BETHLEHEM 14TH WARD 5TH DISTRICT</t>
  </si>
  <si>
    <t>P240</t>
  </si>
  <si>
    <t>FORKS TWSP SOUTHEAST</t>
  </si>
  <si>
    <t>P292</t>
  </si>
  <si>
    <t>PENN FOREST TOWNSHIP-NORTH WEST</t>
  </si>
  <si>
    <t>P38</t>
  </si>
  <si>
    <t>ALLENTOWN 4TH WARD</t>
  </si>
  <si>
    <t>P56</t>
  </si>
  <si>
    <t>PENN FOREST TOWNSHIP-NORTH EAST</t>
  </si>
  <si>
    <t>P41</t>
  </si>
  <si>
    <t>WHITEHALL 11TH DISTRICT</t>
  </si>
  <si>
    <t>P211</t>
  </si>
  <si>
    <t>WILLIAMS TWSP - UPPER</t>
  </si>
  <si>
    <t>P375</t>
  </si>
  <si>
    <t>ALLENTOWN 8TH WARD 4TH DIST</t>
  </si>
  <si>
    <t>P64</t>
  </si>
  <si>
    <t>NORTH CATASAUQUA 2ND WARD</t>
  </si>
  <si>
    <t>P333</t>
  </si>
  <si>
    <t>WHITEHALL 4TH DISTRICT</t>
  </si>
  <si>
    <t>P204</t>
  </si>
  <si>
    <t>LOWER MACUNGIE 9TH DISTRICT</t>
  </si>
  <si>
    <t>P148</t>
  </si>
  <si>
    <t>WILLAMS TWSP - EASTERN</t>
  </si>
  <si>
    <t>P373</t>
  </si>
  <si>
    <t>EASTON 3RD WARD 4TH DISTRICT</t>
  </si>
  <si>
    <t>P276</t>
  </si>
  <si>
    <t>BETHLEHEM TWSP 2ND WARD 1ST DISTRICT</t>
  </si>
  <si>
    <t>P253</t>
  </si>
  <si>
    <t>BETHLEHEM 10TH WARD</t>
  </si>
  <si>
    <t>P111</t>
  </si>
  <si>
    <t>LOWER NAZARETH SOUTH</t>
  </si>
  <si>
    <t>P315</t>
  </si>
  <si>
    <t>WALNUTPORT BORO</t>
  </si>
  <si>
    <t>P369</t>
  </si>
  <si>
    <t>CATASAUQUA 1ST DIST</t>
  </si>
  <si>
    <t>P123</t>
  </si>
  <si>
    <t>BETHLEHEM 14TH WARD 3RD DISTRICT</t>
  </si>
  <si>
    <t>P238</t>
  </si>
  <si>
    <t>WILLIAMS TWSP - MIDDLE</t>
  </si>
  <si>
    <t>P374</t>
  </si>
  <si>
    <t>ALLENTOWN 15TH WARD 4TH DIST</t>
  </si>
  <si>
    <t>P93</t>
  </si>
  <si>
    <t>BETHLEHEM 13TH WARD 3RD DIST</t>
  </si>
  <si>
    <t>P117</t>
  </si>
  <si>
    <t>NAZARETH BORO 3RD WARD</t>
  </si>
  <si>
    <t>P331</t>
  </si>
  <si>
    <t>CATASAUQUA 2ND DIST</t>
  </si>
  <si>
    <t>P124</t>
  </si>
  <si>
    <t>HANOVER #6</t>
  </si>
  <si>
    <t>P302</t>
  </si>
  <si>
    <t>BETHLEHEM 14TH WARD 4TH DISTRICT</t>
  </si>
  <si>
    <t>P239</t>
  </si>
  <si>
    <t>BETHLEHEM 14TH WARD 2ND DISTRICT</t>
  </si>
  <si>
    <t>P237</t>
  </si>
  <si>
    <t>BETHLEHEM TWSP 3RD WARD 4TH DISTRICT</t>
  </si>
  <si>
    <t>P260</t>
  </si>
  <si>
    <t>ALLENTOWN 8TH WARD 6TH DIST</t>
  </si>
  <si>
    <t>P66</t>
  </si>
  <si>
    <t>ALLENTOWN 12TH WARD 3RD DIST</t>
  </si>
  <si>
    <t>P81</t>
  </si>
  <si>
    <t>ALLENTOWN 11TH WARD 6TH DIST</t>
  </si>
  <si>
    <t>P77</t>
  </si>
  <si>
    <t>BETHLEHEM TWSP 2ND WARD 2ND DISTRICT</t>
  </si>
  <si>
    <t>P254</t>
  </si>
  <si>
    <t>BETHLEHEM TWSP 2ND WARD 4TH DISTRICT</t>
  </si>
  <si>
    <t>P256</t>
  </si>
  <si>
    <t>PLAINFIELD TWSP - BELFAST</t>
  </si>
  <si>
    <t>P352</t>
  </si>
  <si>
    <t>LEHIGHTON BOROUGH-3RD</t>
  </si>
  <si>
    <t>P24</t>
  </si>
  <si>
    <t>ALLENTOWN 13TH WARD 1ST DIST</t>
  </si>
  <si>
    <t>P84</t>
  </si>
  <si>
    <t>PENN FOREST TOWNSHIP-SOUTH WEST</t>
  </si>
  <si>
    <t>P37</t>
  </si>
  <si>
    <t>LOWER SAUCON TWSP - 3</t>
  </si>
  <si>
    <t>P319</t>
  </si>
  <si>
    <t>ALLENTOWN 11TH WARD 2ND DIST</t>
  </si>
  <si>
    <t>P73</t>
  </si>
  <si>
    <t>HELLERTOWN BORO 2ND WARD</t>
  </si>
  <si>
    <t>P304</t>
  </si>
  <si>
    <t>MOORE TWSP - BEERSVILLE</t>
  </si>
  <si>
    <t>P325</t>
  </si>
  <si>
    <t>CATASAUQUA 3RD DIST</t>
  </si>
  <si>
    <t>P125</t>
  </si>
  <si>
    <t>LOWER SAUCON TWSP - 1</t>
  </si>
  <si>
    <t>P317</t>
  </si>
  <si>
    <t>FORKS TWSP NORTH</t>
  </si>
  <si>
    <t>P289</t>
  </si>
  <si>
    <t>ALLENTOWN 11TH WARD 3RD DIST</t>
  </si>
  <si>
    <t>P74</t>
  </si>
  <si>
    <t>BETHLEHEM TWSP 1ST WARD 2ND DISTRICT</t>
  </si>
  <si>
    <t>P250</t>
  </si>
  <si>
    <t>LOWER MT BETHEL - UPPER</t>
  </si>
  <si>
    <t>P312</t>
  </si>
  <si>
    <t>ALLENTOWN 8TH WARD 2ND DIST</t>
  </si>
  <si>
    <t>P62</t>
  </si>
  <si>
    <t>BETHLEHEM 11TH WARD</t>
  </si>
  <si>
    <t>P112</t>
  </si>
  <si>
    <t>PLAINFIELD TWSP - DELABOLE</t>
  </si>
  <si>
    <t>P353</t>
  </si>
  <si>
    <t>BETHLEHEM 12TH WARD 1ST DIST</t>
  </si>
  <si>
    <t>P113</t>
  </si>
  <si>
    <t>SOUTH WHITEHALL 2ND DISTRICT</t>
  </si>
  <si>
    <t>P174</t>
  </si>
  <si>
    <t>BETHLEHEM TWSP 1ST WARD 4TH DISTRICT</t>
  </si>
  <si>
    <t>P252</t>
  </si>
  <si>
    <t>ALLENTOWN 13TH WARD 2ND DIST</t>
  </si>
  <si>
    <t>P85</t>
  </si>
  <si>
    <t>ROSETO BORO</t>
  </si>
  <si>
    <t>P357</t>
  </si>
  <si>
    <t>LEHIGHTON BOROUGH-2ND</t>
  </si>
  <si>
    <t>P23</t>
  </si>
  <si>
    <t>TOWAMENSING TOWNSHIP-SOUTH-1</t>
  </si>
  <si>
    <t>P47</t>
  </si>
  <si>
    <t>LEHIGHTON BOROUGH-1ST</t>
  </si>
  <si>
    <t>P22</t>
  </si>
  <si>
    <t>EMMAUS 6TH DISTRICT</t>
  </si>
  <si>
    <t>P134</t>
  </si>
  <si>
    <t>HANOVER</t>
  </si>
  <si>
    <t>P138</t>
  </si>
  <si>
    <t>LOWER SAUCON TWSP - 4</t>
  </si>
  <si>
    <t>P320</t>
  </si>
  <si>
    <t>ALLENTOWN 11TH WARD 1ST DIST</t>
  </si>
  <si>
    <t>P72</t>
  </si>
  <si>
    <t>EASTON 3RD WARD 2ND DISTRICT</t>
  </si>
  <si>
    <t>P274</t>
  </si>
  <si>
    <t>NESQUEHONING BOROUGH-WEST</t>
  </si>
  <si>
    <t>P31</t>
  </si>
  <si>
    <t>LOWER TOWAMENSING TWP.-NORTH</t>
  </si>
  <si>
    <t>P25</t>
  </si>
  <si>
    <t>UPPER MT BETHEL TWSP - WILLIAMSBURG</t>
  </si>
  <si>
    <t>P364</t>
  </si>
  <si>
    <t>PALMERTON BOROUGH-EASTERN</t>
  </si>
  <si>
    <t>P33</t>
  </si>
  <si>
    <t>LANSFORD BOROUGH - EAST WARD</t>
  </si>
  <si>
    <t>P17</t>
  </si>
  <si>
    <t>NORTH WHITEHALL 3RD DISTRICT</t>
  </si>
  <si>
    <t>P158</t>
  </si>
  <si>
    <t>COPLAY 2ND DISTRICT</t>
  </si>
  <si>
    <t>P128</t>
  </si>
  <si>
    <t>BETHLEHEM TWSP 4TH WARD 3RD DISTRICT</t>
  </si>
  <si>
    <t>P264</t>
  </si>
  <si>
    <t>BETHLEHEM TWSP 4TH WARD 2ND DISTRICT</t>
  </si>
  <si>
    <t>P263</t>
  </si>
  <si>
    <t>SLATINGTON 3RD DIST</t>
  </si>
  <si>
    <t>P172</t>
  </si>
  <si>
    <t>SALISBURY 5TH WARD 2ND DIST</t>
  </si>
  <si>
    <t>P169</t>
  </si>
  <si>
    <t>BETHLEHEM 13TH WARD 5TH DIST</t>
  </si>
  <si>
    <t>P119</t>
  </si>
  <si>
    <t>NAZARETH BORO 1ST WARD</t>
  </si>
  <si>
    <t>P329</t>
  </si>
  <si>
    <t>SALISBURY 4TH WARD 1ST DIST</t>
  </si>
  <si>
    <t>P166</t>
  </si>
  <si>
    <t>BETHLEHEM 14TH WARD 7TH DISTRICT</t>
  </si>
  <si>
    <t>P242</t>
  </si>
  <si>
    <t>UPPER NAZARETH - EAST 2</t>
  </si>
  <si>
    <t>P366</t>
  </si>
  <si>
    <t>BETHLEHEM TWSP 3RD WARD 5TH DISTRICT</t>
  </si>
  <si>
    <t>P261</t>
  </si>
  <si>
    <t>BETHLEHEM 13TH WARD 2ND DIST</t>
  </si>
  <si>
    <t>P116</t>
  </si>
  <si>
    <t>BETHLEHEM TWSP 3RD WARD 3RD DISTRICT</t>
  </si>
  <si>
    <t>P259</t>
  </si>
  <si>
    <t>ALLENTOWN 17TH WARD 1ST DIST</t>
  </si>
  <si>
    <t>P96</t>
  </si>
  <si>
    <t>UPPER MT BETHEL TWSP - CENTERVILLE</t>
  </si>
  <si>
    <t>P360</t>
  </si>
  <si>
    <t>PEN ARGYL BORO 2ND WARD</t>
  </si>
  <si>
    <t>P349</t>
  </si>
  <si>
    <t>BETHLEHEM 13TH WARD 4TH DIST</t>
  </si>
  <si>
    <t>P118</t>
  </si>
  <si>
    <t>FRANKLIN TOWNSHIP-LONG RUN</t>
  </si>
  <si>
    <t>P9</t>
  </si>
  <si>
    <t>ALLENTOWN 8TH WARD 1ST DIST</t>
  </si>
  <si>
    <t>P61</t>
  </si>
  <si>
    <t>LOWER MACUNGIE 5TH DISTRICT</t>
  </si>
  <si>
    <t>P144</t>
  </si>
  <si>
    <t>LOWER SAUCON TWSP - 6</t>
  </si>
  <si>
    <t>P324</t>
  </si>
  <si>
    <t>COPLAY 1ST DISTRICT</t>
  </si>
  <si>
    <t>P127</t>
  </si>
  <si>
    <t>BETHLEHEM 13TH WARD 8TH DIST</t>
  </si>
  <si>
    <t>P122</t>
  </si>
  <si>
    <t>SOUTH WHITEHALL 7TH DISTRICT</t>
  </si>
  <si>
    <t>P179</t>
  </si>
  <si>
    <t>LEHIGH TWSP - TREICHLERS</t>
  </si>
  <si>
    <t>P310</t>
  </si>
  <si>
    <t>HANOVER #3</t>
  </si>
  <si>
    <t>P299</t>
  </si>
  <si>
    <t>FRANKLIN TOWNSHIP-HARRITY</t>
  </si>
  <si>
    <t>P8</t>
  </si>
  <si>
    <t>ALLENTOWN 8TH WARD 7TH DIST</t>
  </si>
  <si>
    <t>P67</t>
  </si>
  <si>
    <t>ALLENTOWN 19TH WARD 1ST DIST</t>
  </si>
  <si>
    <t>P104</t>
  </si>
  <si>
    <t>BETHLEHEM TWSP 4TH WARD 4TH DISTRICT</t>
  </si>
  <si>
    <t>P265</t>
  </si>
  <si>
    <t>BETHLEHEM TWSP 1ST WARD 1ST DISTRICT</t>
  </si>
  <si>
    <t>P249</t>
  </si>
  <si>
    <t>TOWAMENSING TOWNSHIP-NORTH</t>
  </si>
  <si>
    <t>P46</t>
  </si>
  <si>
    <t>SALISBURY 3RD WARD 2ND DIST</t>
  </si>
  <si>
    <t>P165</t>
  </si>
  <si>
    <t>BETHLEHEM 17TH WARD</t>
  </si>
  <si>
    <t>P248</t>
  </si>
  <si>
    <t>FOUNTAIN HILL 2ND DIST</t>
  </si>
  <si>
    <t>P136</t>
  </si>
  <si>
    <t>NORTHAMPTON BORO 4TH WARD</t>
  </si>
  <si>
    <t>P337</t>
  </si>
  <si>
    <t>TOWAMENSING TOWNSHIP-SOUTH-2</t>
  </si>
  <si>
    <t>P48</t>
  </si>
  <si>
    <t>FOUNTAIN HILL 3RD DIST</t>
  </si>
  <si>
    <t>P137</t>
  </si>
  <si>
    <t>PLAINFIELD TWSP - PLAINFIELD CHURCH</t>
  </si>
  <si>
    <t>P355</t>
  </si>
  <si>
    <t>BETHLEHEM 14TH WARD 8TH DISTRICT</t>
  </si>
  <si>
    <t>P243</t>
  </si>
  <si>
    <t>EAST PENN TOWNSHIP-NORTH</t>
  </si>
  <si>
    <t>P4</t>
  </si>
  <si>
    <t>UPPER NAZARETH - WEST 2</t>
  </si>
  <si>
    <t>P368</t>
  </si>
  <si>
    <t>PLAINFIELD TWSP - KESSLERSVILLE</t>
  </si>
  <si>
    <t>P354</t>
  </si>
  <si>
    <t>ALLENTOWN 11TH WARD 7TH DIST</t>
  </si>
  <si>
    <t>P78</t>
  </si>
  <si>
    <t>TATAMY BORO</t>
  </si>
  <si>
    <t>P359</t>
  </si>
  <si>
    <t>SALISBURY 5TH WARD 1ST DIST</t>
  </si>
  <si>
    <t>P168</t>
  </si>
  <si>
    <t>PENN FOREST TOWNSHIP-MIDDLE</t>
  </si>
  <si>
    <t>P40</t>
  </si>
  <si>
    <t>SOUTH WHITEHALL 4TH DISTRICT</t>
  </si>
  <si>
    <t>P176</t>
  </si>
  <si>
    <t>ALLENTOWN 6TH WARD 1ST DIST</t>
  </si>
  <si>
    <t>P58</t>
  </si>
  <si>
    <t>ALLENTOWN 17TH WARD 2ND DIST</t>
  </si>
  <si>
    <t>P97</t>
  </si>
  <si>
    <t>ALLENTOWN 8TH WARD 5TH DIST</t>
  </si>
  <si>
    <t>P65</t>
  </si>
  <si>
    <t>BETHLEHEM TWSP 3RD WARD 1ST DISTRICT</t>
  </si>
  <si>
    <t>P257</t>
  </si>
  <si>
    <t>JIM THORPE BOROUGH-3RD</t>
  </si>
  <si>
    <t>P12</t>
  </si>
  <si>
    <t>WEATHERLY BOROUGH-EAST</t>
  </si>
  <si>
    <t>P49</t>
  </si>
  <si>
    <t>NESQUEHONING BOROUGH-EAST</t>
  </si>
  <si>
    <t>P30</t>
  </si>
  <si>
    <t>ALLENTOWN 11TH WARD 5TH DIST</t>
  </si>
  <si>
    <t>P76</t>
  </si>
  <si>
    <t>SLATINGTON 1ST DIST</t>
  </si>
  <si>
    <t>P170</t>
  </si>
  <si>
    <t>LEHIGH TWSP - NORTHWESTERN</t>
  </si>
  <si>
    <t>P308</t>
  </si>
  <si>
    <t>UPPER MT BETHEL TWSP - JOHNSONVILLE</t>
  </si>
  <si>
    <t>P361</t>
  </si>
  <si>
    <t>ALLENTOWN 13TH WARD 4TH DIST</t>
  </si>
  <si>
    <t>P87</t>
  </si>
  <si>
    <t>PEN ARGYL BORO 3RD WARD</t>
  </si>
  <si>
    <t>P350</t>
  </si>
  <si>
    <t>NORTH CATASAUQUA 1ST WARD</t>
  </si>
  <si>
    <t>P332</t>
  </si>
  <si>
    <t>ALLENTOWN 12TH WARD 4TH DIST</t>
  </si>
  <si>
    <t>P82</t>
  </si>
  <si>
    <t>ALLENTOWN 19TH WARD 3RD DIST</t>
  </si>
  <si>
    <t>P106</t>
  </si>
  <si>
    <t>ALLENTOWN 18TH WARD 1ST DIST</t>
  </si>
  <si>
    <t>P101</t>
  </si>
  <si>
    <t>WASHINGTON EASTERN DISTRICT</t>
  </si>
  <si>
    <t>P197</t>
  </si>
  <si>
    <t>WASHINGTON WESTERN DISTRICT</t>
  </si>
  <si>
    <t>P199</t>
  </si>
  <si>
    <t>STOCKERTOWN BORO</t>
  </si>
  <si>
    <t>P358</t>
  </si>
  <si>
    <t>BETHLEHEM TWSP 2ND WARD 3RD DISTRICT</t>
  </si>
  <si>
    <t>P255</t>
  </si>
  <si>
    <t>BETHLEHEM TWSP 3RD WARD 2ND DISTRICT</t>
  </si>
  <si>
    <t>P258</t>
  </si>
  <si>
    <t>WEST EASTON</t>
  </si>
  <si>
    <t>P372</t>
  </si>
  <si>
    <t>BETHLEHEM 12TH WARD 2ND DIST</t>
  </si>
  <si>
    <t>P114</t>
  </si>
  <si>
    <t>EAST BANGOR</t>
  </si>
  <si>
    <t>P272</t>
  </si>
  <si>
    <t>WILLIAMS TWSP - WESTERN</t>
  </si>
  <si>
    <t>P376</t>
  </si>
  <si>
    <t>LANSFORD BOROUGH-WEST WARD</t>
  </si>
  <si>
    <t>P19</t>
  </si>
  <si>
    <t>BETHLEHEM 13TH WARD 6TH DIST</t>
  </si>
  <si>
    <t>P120</t>
  </si>
  <si>
    <t>LYNN JACKSONVILLE DISTRICT</t>
  </si>
  <si>
    <t>P152</t>
  </si>
  <si>
    <t>LANSFORD BOROUGH-MIDDLE WARD</t>
  </si>
  <si>
    <t>P18</t>
  </si>
  <si>
    <t>MAHONING TOWNSHIP - NEW MAHONING</t>
  </si>
  <si>
    <t>P28</t>
  </si>
  <si>
    <t>SUMMIT HILL-3RD/1ST DIST</t>
  </si>
  <si>
    <t>P44</t>
  </si>
  <si>
    <t>PALMERTON BOROUGH-WESTERN</t>
  </si>
  <si>
    <t>P35</t>
  </si>
  <si>
    <t>EAST PENN TOWNSHIP-SOUTH</t>
  </si>
  <si>
    <t>P5</t>
  </si>
  <si>
    <t>ALLENTOWN 17TH WARD 3RD DIST</t>
  </si>
  <si>
    <t>P98</t>
  </si>
  <si>
    <t>UPPER MT BETHEL TWSP - SLATEFORD</t>
  </si>
  <si>
    <t>P363</t>
  </si>
  <si>
    <t>LOWER TOWAMENSING TWP.-SOUTH</t>
  </si>
  <si>
    <t>P26</t>
  </si>
  <si>
    <t>MOORE TWSP - POINT PHILLIPS</t>
  </si>
  <si>
    <t>P328</t>
  </si>
  <si>
    <t>WHITEHALL 2ND DISTRICT</t>
  </si>
  <si>
    <t>P202</t>
  </si>
  <si>
    <t>LOWER NAZARETH EAST</t>
  </si>
  <si>
    <t>P313</t>
  </si>
  <si>
    <t>UPPER MT BETHEL TWSP - NORTH BANGOR</t>
  </si>
  <si>
    <t>P362</t>
  </si>
  <si>
    <t>BETHLEHEM 6TH WARD</t>
  </si>
  <si>
    <t>P230</t>
  </si>
  <si>
    <t>PACKER TOWNSHIP</t>
  </si>
  <si>
    <t>P32</t>
  </si>
  <si>
    <t>SALISBURY 4TH WARD 2ND DIST</t>
  </si>
  <si>
    <t>P167</t>
  </si>
  <si>
    <t>LOWER MT BETHEL - LOWER</t>
  </si>
  <si>
    <t>P311</t>
  </si>
  <si>
    <t>FRANKLIN TOWNSHIP-IND DIST</t>
  </si>
  <si>
    <t>P7</t>
  </si>
  <si>
    <t>SUMMIT HILL BOROUGH-2ND</t>
  </si>
  <si>
    <t>P43</t>
  </si>
  <si>
    <t>WHITEHALL 5TH DISTRICT</t>
  </si>
  <si>
    <t>P205</t>
  </si>
  <si>
    <t>EMMAUS 5TH DISTRICT</t>
  </si>
  <si>
    <t>P133</t>
  </si>
  <si>
    <t>JIM THORPE BOROUGH-5TH</t>
  </si>
  <si>
    <t>P14</t>
  </si>
  <si>
    <t>BEAVER MEADOWS BOROUGH</t>
  </si>
  <si>
    <t>P2</t>
  </si>
  <si>
    <t>JIM THORPE BOROUGH-1ST</t>
  </si>
  <si>
    <t>P10</t>
  </si>
  <si>
    <t>SLATINGTON 2ND DIST</t>
  </si>
  <si>
    <t>P171</t>
  </si>
  <si>
    <t>KIDDER TOWNSHIP-SOUTH</t>
  </si>
  <si>
    <t>P16</t>
  </si>
  <si>
    <t>SALISBURY 3RD WARD 1ST DIST</t>
  </si>
  <si>
    <t>P164</t>
  </si>
  <si>
    <t>PEN ARGYL BORO 4TH WARD</t>
  </si>
  <si>
    <t>P351</t>
  </si>
  <si>
    <t>SUMMIT HILL BOROUGH-1ST</t>
  </si>
  <si>
    <t>P42</t>
  </si>
  <si>
    <t>ALLENTOWN 17TH WARD 4TH DIST</t>
  </si>
  <si>
    <t>P99</t>
  </si>
  <si>
    <t>JIM THORPE BOROUGH-2ND</t>
  </si>
  <si>
    <t>P11</t>
  </si>
  <si>
    <t>MAHONING TOWNSHIP - PACKERTON/JAMESTOWN</t>
  </si>
  <si>
    <t>P29</t>
  </si>
  <si>
    <t>BANKS TOWNSHIP</t>
  </si>
  <si>
    <t>P1</t>
  </si>
  <si>
    <t>WEATHERLY BOROUGH-WEST</t>
  </si>
  <si>
    <t>P50</t>
  </si>
  <si>
    <t>PEN ARGYL BORO 1ST WARD</t>
  </si>
  <si>
    <t>P348</t>
  </si>
  <si>
    <t>LYNN LYNNVILLE DISTRICT</t>
  </si>
  <si>
    <t>P153</t>
  </si>
  <si>
    <t>BOWMANSTOWN BOROUGH</t>
  </si>
  <si>
    <t>P3</t>
  </si>
  <si>
    <t>PORTLAND BORO</t>
  </si>
  <si>
    <t>P356</t>
  </si>
  <si>
    <t>EASTON 5TH WARD</t>
  </si>
  <si>
    <t>P278</t>
  </si>
  <si>
    <t>SUMMIT HILL BOROUGH-3RD/2ND</t>
  </si>
  <si>
    <t>P45</t>
  </si>
  <si>
    <t>GLENDON</t>
  </si>
  <si>
    <t>P296</t>
  </si>
  <si>
    <t>PARRYVILLE BOROUGH</t>
  </si>
  <si>
    <t>P36</t>
  </si>
  <si>
    <t>JIM THORPE BOROUGH-4TH</t>
  </si>
  <si>
    <t>P13</t>
  </si>
  <si>
    <t>WEISSPORT BOROUGH</t>
  </si>
  <si>
    <t>P51</t>
  </si>
  <si>
    <t>LAUSANNE TOWNSHIP</t>
  </si>
  <si>
    <t>P20</t>
  </si>
  <si>
    <t>CHAPMAN</t>
  </si>
  <si>
    <t>P269</t>
  </si>
  <si>
    <t>LEHIGH TOWNSHIP</t>
  </si>
  <si>
    <t>P21</t>
  </si>
  <si>
    <t>KIDDER TOWNSHIP-NORTH</t>
  </si>
  <si>
    <t>P15</t>
  </si>
  <si>
    <t>EAST SIDE BOROUGH</t>
  </si>
  <si>
    <t>P6</t>
  </si>
  <si>
    <t>ALLENTOWN 18TH WD 2ND DT PARK</t>
  </si>
  <si>
    <t>P103</t>
  </si>
  <si>
    <t>ALLENTOWN 19TH WARD 5TH DT SAL</t>
  </si>
  <si>
    <t>P109</t>
  </si>
  <si>
    <t>Definitions and caveats</t>
  </si>
  <si>
    <t>Source: Pennsylvania Department of State full voter export, as consolidated in PA_07_Precinct_Data (Precinct Consolidated tab). Municipal demographic context comes from the ACS tab of PA_07_Municipal_Data.</t>
  </si>
  <si>
    <t>Generations follow the Pew cut-offs: Gen Z born 1997 or later, Millennials 1981–96, Gen X 1965–80, Boomers 1946–64, Silent and Greatest 1945 or earlier.</t>
  </si>
  <si>
    <t>Registrants are people on the roll at the 2026 primary. Earlier years count those still on the current roll who were registered by that election, so historical figures understate the electorate of the time and understate it more the further back you go.</t>
  </si>
  <si>
    <t>Party is each person's current registration. A voter who switched party in 2024 is counted under the new party in every year shown, so the drift in Gen Z men's margin is partly real and partly this artefact.</t>
  </si>
  <si>
    <t>Margins are Democratic minus Republican registrants ÷ all registrants. They are registration, not vote choice: the district's straight-ticket pattern makes them a good proxy, not a measurement.</t>
  </si>
  <si>
    <t>Turnout is ballots cast ÷ registrants. 2026 is the May closed primary and is not comparable with a general election.</t>
  </si>
  <si>
    <t>Sex is as recorded on the voter file. About a quarter of records have no sex recorded; those people are excluded from the women and men columns but included in every total, so women plus men is less than the total.</t>
  </si>
  <si>
    <t>Unaffiliated / other means registrants who are neither Democratic nor Republican.</t>
  </si>
  <si>
    <t>Municipal ACS columns describe the whole municipality, not its Gen Z residents. The census publishes nothing below municipality level, so no precinct-level demographic figures exist here.</t>
  </si>
  <si>
    <t>Gen Z Muni Consolidated: the Gen Z rows of Muni Consolidated for all 89 municipalities and every election (2026 primary, 2024, 2022, 2020, 2018), in the same layout. Each block opens with a shaded Generation Z total (Sex = All) followed by Female, Male and Unknown; filter out the All rows before summing. Turnout = voted ÷ registered. The share columns divide by the municipality's all-generation totals, so they give Gen Z's (or Gen Z women's, men's) share of that municipality's electorate.</t>
  </si>
  <si>
    <t>Gen Z Share of Electorate: district registered voters and ballots cast by generation at each election, Gen Z's share of each, shares for every generation, and turnout. Every figure is a live SUMIFS on the Muni Consolidated tab.</t>
  </si>
  <si>
    <t>Muni Consolidated: copied as values from PA07_Municipal_Data (Muni Consolidated tab) on 6 October 2026, with municipality IDs stored as values because Master Data is not in this workbook. Pasting a newer copy over it in the same layout updates both Gen Z tabs.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</si>
</sst>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0;0.0"/>
    <numFmt numFmtId="166" formatCode="0&quot; primary&quot;"/>
    <numFmt numFmtId="167" formatCode="\+#,##0;\-#,##0;0"/>
    <numFmt numFmtId="168" formatCode="\+0.0%;\-0.0%;0.0%"/>
    <numFmt numFmtId="169" formatCode="\+0.0%;\-0.0%"/>
    <numFmt numFmtId="170" formatCode="\+#,##0;\-#,##0"/>
  </numFmts>
  <fonts count="15" x14ac:knownFonts="1">
    <font>
      <sz val="11"/>
      <color theme="1"/>
      <name val="Calibri"/>
      <charset val="1"/>
    </font>
    <font>
      <sz val="10"/>
      <name val="Arial"/>
      <family val="2"/>
    </font>
    <font>
      <b/>
      <sz val="14"/>
      <color theme="1"/>
      <name val="Arial"/>
      <family val="2"/>
    </font>
    <font>
      <i/>
      <sz val="9"/>
      <color theme="1"/>
      <name val="Arial"/>
      <family val="2"/>
    </font>
    <font>
      <u/>
      <sz val="11"/>
      <color rgb="FF0000FF"/>
      <name val="Calibri"/>
      <family val="2"/>
    </font>
    <font>
      <b/>
      <sz val="12"/>
      <color theme="1"/>
      <name val="Arial"/>
      <family val="2"/>
    </font>
    <font>
      <b/>
      <sz val="10"/>
      <color theme="1"/>
      <name val="Arial"/>
      <family val="2"/>
    </font>
    <font>
      <sz val="10"/>
      <color theme="1"/>
      <name val="Arial"/>
      <family val="2"/>
    </font>
    <font>
      <b/>
      <sz val="14"/>
      <name val="Arial"/>
      <family val="2"/>
    </font>
    <font>
      <sz val="9"/>
      <name val="Arial"/>
      <family val="2"/>
    </font>
    <font>
      <b/>
      <sz val="12"/>
      <name val="Arial"/>
      <family val="2"/>
    </font>
    <font>
      <b/>
      <sz val="10"/>
      <name val="Arial"/>
      <family val="2"/>
    </font>
    <font>
      <sz val="10"/>
      <name val="Arial"/>
      <family val="2"/>
    </font>
    <font>
      <i/>
      <sz val="10"/>
      <color rgb="FF808080"/>
      <name val="Arial"/>
      <family val="2"/>
    </font>
    <font>
      <i/>
      <sz val="9"/>
      <color rgb="FF808080"/>
      <name val="Arial"/>
      <family val="2"/>
    </font>
  </fonts>
  <fills count="4">
    <fill>
      <patternFill patternType="none"/>
    </fill>
    <fill>
      <patternFill patternType="gray125"/>
    </fill>
    <fill>
      <patternFill patternType="solid">
        <fgColor rgb="FFD9D9D9"/>
        <bgColor rgb="FFE2EFDA"/>
      </patternFill>
    </fill>
    <fill>
      <patternFill patternType="solid">
        <fgColor rgb="FFE2EFDA"/>
        <bgColor rgb="FFF2F2F2"/>
      </patternFill>
    </fill>
  </fills>
  <borders count="2">
    <border>
      <left/>
      <right/>
      <top/>
      <bottom/>
      <diagonal/>
    </border>
    <border>
      <left/>
      <right/>
      <top style="thin">
        <color rgb="FF808080"/>
      </top>
      <bottom/>
      <diagonal/>
    </border>
  </borders>
  <cellStyleXfs count="1">
    <xf numFmtId="0" fontId="0" fillId="0" borderId="0"/>
  </cellStyleXfs>
  <cellXfs count="44">
    <xf numFmtId="0" fontId="0" fillId="0" borderId="0" xfId="0"/>
    <xf numFmtId="0" fontId="12" fillId="0" borderId="0" xfId="0" applyFont="1" applyAlignment="1">
      <alignment vertical="top" wrapText="1"/>
    </xf>
    <xf numFmtId="0" fontId="2" fillId="0" borderId="0" xfId="0" applyFont="1"/>
    <xf numFmtId="0" fontId="3" fillId="0" borderId="0" xfId="0" applyFont="1"/>
    <xf numFmtId="0" fontId="4" fillId="0" borderId="0" xfId="0" applyFont="1"/>
    <xf numFmtId="0" fontId="5" fillId="0" borderId="0" xfId="0" applyFont="1"/>
    <xf numFmtId="0" fontId="6" fillId="2" borderId="0" xfId="0" applyFont="1" applyFill="1" applyAlignment="1">
      <alignment horizontal="center" vertical="center" wrapText="1"/>
    </xf>
    <xf numFmtId="0" fontId="7" fillId="0" borderId="0" xfId="0" applyFont="1"/>
    <xf numFmtId="3" fontId="7" fillId="0" borderId="0" xfId="0" applyNumberFormat="1" applyFont="1"/>
    <xf numFmtId="164" fontId="7" fillId="0" borderId="0" xfId="0" applyNumberFormat="1" applyFont="1"/>
    <xf numFmtId="0" fontId="7" fillId="0" borderId="0" xfId="0" applyFont="1" applyAlignment="1">
      <alignment vertical="top" wrapText="1"/>
    </xf>
    <xf numFmtId="0" fontId="8" fillId="0" borderId="0" xfId="0" applyFont="1"/>
    <xf numFmtId="0" fontId="9" fillId="0" borderId="0" xfId="0" applyFont="1"/>
    <xf numFmtId="0" fontId="10" fillId="0" borderId="0" xfId="0" applyFont="1"/>
    <xf numFmtId="0" fontId="11" fillId="2" borderId="0" xfId="0" applyFont="1" applyFill="1" applyAlignment="1">
      <alignment horizontal="center" vertical="center" wrapText="1"/>
    </xf>
    <xf numFmtId="0" fontId="11" fillId="0" borderId="0" xfId="0" applyFont="1"/>
    <xf numFmtId="3" fontId="12" fillId="0" borderId="0" xfId="0" applyNumberFormat="1" applyFont="1"/>
    <xf numFmtId="164" fontId="11" fillId="3" borderId="0" xfId="0" applyNumberFormat="1" applyFont="1" applyFill="1"/>
    <xf numFmtId="165" fontId="12" fillId="0" borderId="0" xfId="0" applyNumberFormat="1" applyFont="1"/>
    <xf numFmtId="0" fontId="12" fillId="0" borderId="0" xfId="0" applyFont="1"/>
    <xf numFmtId="164" fontId="12" fillId="0" borderId="0" xfId="0" applyNumberFormat="1" applyFont="1"/>
    <xf numFmtId="0" fontId="13" fillId="0" borderId="0" xfId="0" applyFont="1" applyAlignment="1">
      <alignment horizontal="right"/>
    </xf>
    <xf numFmtId="0" fontId="11" fillId="0" borderId="0" xfId="0" applyFont="1" applyAlignment="1">
      <alignment horizontal="right"/>
    </xf>
    <xf numFmtId="1" fontId="11" fillId="2" borderId="0" xfId="0" applyNumberFormat="1" applyFont="1" applyFill="1" applyAlignment="1">
      <alignment horizontal="center" vertical="center" wrapText="1"/>
    </xf>
    <xf numFmtId="166" fontId="11" fillId="2" borderId="0" xfId="0" applyNumberFormat="1" applyFont="1" applyFill="1" applyAlignment="1">
      <alignment horizontal="center" vertical="center" wrapText="1"/>
    </xf>
    <xf numFmtId="167" fontId="12" fillId="0" borderId="0" xfId="0" applyNumberFormat="1" applyFont="1"/>
    <xf numFmtId="168" fontId="12" fillId="0" borderId="0" xfId="0" applyNumberFormat="1" applyFont="1"/>
    <xf numFmtId="0" fontId="11" fillId="3" borderId="0" xfId="0" applyFont="1" applyFill="1"/>
    <xf numFmtId="3" fontId="11" fillId="3" borderId="0" xfId="0" applyNumberFormat="1" applyFont="1" applyFill="1"/>
    <xf numFmtId="167" fontId="11" fillId="3" borderId="0" xfId="0" applyNumberFormat="1" applyFont="1" applyFill="1"/>
    <xf numFmtId="168" fontId="11" fillId="3" borderId="0" xfId="0" applyNumberFormat="1" applyFont="1" applyFill="1"/>
    <xf numFmtId="0" fontId="11" fillId="0" borderId="1" xfId="0" applyFont="1" applyBorder="1"/>
    <xf numFmtId="3" fontId="11" fillId="0" borderId="1" xfId="0" applyNumberFormat="1" applyFont="1" applyBorder="1"/>
    <xf numFmtId="167" fontId="11" fillId="0" borderId="1" xfId="0" applyNumberFormat="1" applyFont="1" applyBorder="1"/>
    <xf numFmtId="168" fontId="11" fillId="0" borderId="1" xfId="0" applyNumberFormat="1" applyFont="1" applyBorder="1"/>
    <xf numFmtId="0" fontId="14" fillId="0" borderId="0" xfId="0" applyFont="1"/>
    <xf numFmtId="3" fontId="14" fillId="0" borderId="0" xfId="0" applyNumberFormat="1" applyFont="1"/>
    <xf numFmtId="164" fontId="11" fillId="0" borderId="1" xfId="0" applyNumberFormat="1" applyFont="1" applyBorder="1"/>
    <xf numFmtId="169" fontId="7" fillId="0" borderId="0" xfId="0" applyNumberFormat="1" applyFont="1"/>
    <xf numFmtId="0" fontId="6" fillId="3" borderId="0" xfId="0" applyFont="1" applyFill="1"/>
    <xf numFmtId="170" fontId="6" fillId="3" borderId="0" xfId="0" applyNumberFormat="1" applyFont="1" applyFill="1"/>
    <xf numFmtId="169" fontId="6" fillId="3" borderId="0" xfId="0" applyNumberFormat="1" applyFont="1" applyFill="1"/>
    <xf numFmtId="170" fontId="7" fillId="0" borderId="0" xfId="0" applyNumberFormat="1" applyFont="1"/>
    <xf numFmtId="0" fontId="6"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E87BA4"/>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2A78D6"/>
      <rgbColor rgb="FF33CCCC"/>
      <rgbColor rgb="FF99CC00"/>
      <rgbColor rgb="FFFFCC00"/>
      <rgbColor rgb="FFEDA100"/>
      <rgbColor rgb="FFEB6834"/>
      <rgbColor rgb="FF666699"/>
      <rgbColor rgb="FF8B8B8B"/>
      <rgbColor rgb="FF003366"/>
      <rgbColor rgb="FF1BAF7A"/>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ea typeface="Calibri"/>
              </a:defRPr>
            </a:pPr>
            <a:r>
              <a:rPr lang="en-US" sz="1800" b="1" strike="noStrike" spc="-1">
                <a:solidFill>
                  <a:srgbClr val="000000"/>
                </a:solidFill>
                <a:latin typeface="Calibri"/>
                <a:ea typeface="Calibri"/>
              </a:rPr>
              <a:t>Gen Z's share of the electorate</a:t>
            </a:r>
          </a:p>
        </c:rich>
      </c:tx>
      <c:overlay val="0"/>
      <c:spPr>
        <a:noFill/>
        <a:ln w="0">
          <a:noFill/>
        </a:ln>
      </c:spPr>
    </c:title>
    <c:autoTitleDeleted val="0"/>
    <c:plotArea>
      <c:layout/>
      <c:barChart>
        <c:barDir val="col"/>
        <c:grouping val="clustered"/>
        <c:varyColors val="0"/>
        <c:ser>
          <c:idx val="0"/>
          <c:order val="0"/>
          <c:tx>
            <c:strRef>
              <c:f>'Gen Z Share of Electorate'!$D$5</c:f>
              <c:strCache>
                <c:ptCount val="1"/>
                <c:pt idx="0">
                  <c:v>Gen Z share of registered</c:v>
                </c:pt>
              </c:strCache>
            </c:strRef>
          </c:tx>
          <c:spPr>
            <a:solidFill>
              <a:srgbClr val="2A78D6"/>
            </a:solidFill>
            <a:ln w="0">
              <a:solidFill>
                <a:srgbClr val="2A78D6"/>
              </a:solidFill>
            </a:ln>
          </c:spPr>
          <c:invertIfNegative val="0"/>
          <c:dLbls>
            <c:spPr>
              <a:noFill/>
              <a:ln>
                <a:noFill/>
              </a:ln>
              <a:effectLst/>
            </c:spPr>
            <c:txPr>
              <a:bodyPr wrap="square"/>
              <a:lstStyle/>
              <a:p>
                <a:pPr>
                  <a:defRPr sz="1000" b="0" strike="noStrike" spc="-1">
                    <a:solidFill>
                      <a:srgbClr val="000000"/>
                    </a:solidFill>
                    <a:latin typeface="Calibri"/>
                    <a:ea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'Gen Z Share of Electorate'!$A$6:$A$10</c:f>
              <c:strCache>
                <c:ptCount val="5"/>
                <c:pt idx="0">
                  <c:v>2018 midterm</c:v>
                </c:pt>
                <c:pt idx="1">
                  <c:v>2020 presidential</c:v>
                </c:pt>
                <c:pt idx="2">
                  <c:v>2022 midterm</c:v>
                </c:pt>
                <c:pt idx="3">
                  <c:v>2024 presidential</c:v>
                </c:pt>
                <c:pt idx="4">
                  <c:v>2026 primary (May)</c:v>
                </c:pt>
              </c:strCache>
            </c:strRef>
          </c:cat>
          <c:val>
            <c:numRef>
              <c:f>'Gen Z Share of Electorate'!$D$6:$D$10</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165D-5B4B-B3CA-0BAA88BD155B}"/>
            </c:ext>
          </c:extLst>
        </c:ser>
        <c:ser>
          <c:idx val="1"/>
          <c:order val="1"/>
          <c:tx>
            <c:strRef>
              <c:f>'Gen Z Share of Electorate'!$H$5</c:f>
              <c:strCache>
                <c:ptCount val="1"/>
                <c:pt idx="0">
                  <c:v>Gen Z share of ballots cast</c:v>
                </c:pt>
              </c:strCache>
            </c:strRef>
          </c:tx>
          <c:spPr>
            <a:solidFill>
              <a:srgbClr val="EB6834"/>
            </a:solidFill>
            <a:ln w="0">
              <a:solidFill>
                <a:srgbClr val="EB6834"/>
              </a:solidFill>
            </a:ln>
          </c:spPr>
          <c:invertIfNegative val="0"/>
          <c:dLbls>
            <c:spPr>
              <a:noFill/>
              <a:ln>
                <a:noFill/>
              </a:ln>
              <a:effectLst/>
            </c:spPr>
            <c:txPr>
              <a:bodyPr wrap="square"/>
              <a:lstStyle/>
              <a:p>
                <a:pPr>
                  <a:defRPr sz="1000" b="0" strike="noStrike" spc="-1">
                    <a:solidFill>
                      <a:srgbClr val="000000"/>
                    </a:solidFill>
                    <a:latin typeface="Calibri"/>
                    <a:ea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'Gen Z Share of Electorate'!$A$6:$A$10</c:f>
              <c:strCache>
                <c:ptCount val="5"/>
                <c:pt idx="0">
                  <c:v>2018 midterm</c:v>
                </c:pt>
                <c:pt idx="1">
                  <c:v>2020 presidential</c:v>
                </c:pt>
                <c:pt idx="2">
                  <c:v>2022 midterm</c:v>
                </c:pt>
                <c:pt idx="3">
                  <c:v>2024 presidential</c:v>
                </c:pt>
                <c:pt idx="4">
                  <c:v>2026 primary (May)</c:v>
                </c:pt>
              </c:strCache>
            </c:strRef>
          </c:cat>
          <c:val>
            <c:numRef>
              <c:f>'Gen Z Share of Electorate'!$H$6:$H$10</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165D-5B4B-B3CA-0BAA88BD155B}"/>
            </c:ext>
          </c:extLst>
        </c:ser>
        <c:dLbls>
          <c:showLegendKey val="0"/>
          <c:showVal val="0"/>
          <c:showCatName val="0"/>
          <c:showSerName val="0"/>
          <c:showPercent val="0"/>
          <c:showBubbleSize val="0"/>
        </c:dLbls>
        <c:gapWidth val="80"/>
        <c:axId val="69470310"/>
        <c:axId val="32974160"/>
      </c:barChart>
      <c:catAx>
        <c:axId val="69470310"/>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ea typeface="Calibri"/>
              </a:defRPr>
            </a:pPr>
            <a:endParaRPr lang="en-US"/>
          </a:p>
        </c:txPr>
        <c:crossAx val="32974160"/>
        <c:crosses val="autoZero"/>
        <c:auto val="1"/>
        <c:lblAlgn val="ctr"/>
        <c:lblOffset val="100"/>
        <c:noMultiLvlLbl val="0"/>
      </c:catAx>
      <c:valAx>
        <c:axId val="32974160"/>
        <c:scaling>
          <c:orientation val="minMax"/>
        </c:scaling>
        <c:delete val="0"/>
        <c:axPos val="l"/>
        <c:title>
          <c:tx>
            <c:rich>
              <a:bodyPr rot="-540000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Share</a:t>
                </a:r>
              </a:p>
            </c:rich>
          </c:tx>
          <c:overlay val="0"/>
          <c:spPr>
            <a:noFill/>
            <a:ln w="0">
              <a:noFill/>
            </a:ln>
          </c:spPr>
        </c:title>
        <c:numFmt formatCode="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ea typeface="Calibri"/>
              </a:defRPr>
            </a:pPr>
            <a:endParaRPr lang="en-US"/>
          </a:p>
        </c:txPr>
        <c:crossAx val="69470310"/>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ea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ea typeface="Calibri"/>
              </a:defRPr>
            </a:pPr>
            <a:r>
              <a:rPr lang="en-US" sz="1800" b="1" strike="noStrike" spc="-1">
                <a:solidFill>
                  <a:srgbClr val="000000"/>
                </a:solidFill>
                <a:latin typeface="Calibri"/>
                <a:ea typeface="Calibri"/>
              </a:rPr>
              <a:t>Ballots cast by generation</a:t>
            </a:r>
          </a:p>
        </c:rich>
      </c:tx>
      <c:overlay val="0"/>
      <c:spPr>
        <a:noFill/>
        <a:ln w="0">
          <a:noFill/>
        </a:ln>
      </c:spPr>
    </c:title>
    <c:autoTitleDeleted val="0"/>
    <c:plotArea>
      <c:layout/>
      <c:barChart>
        <c:barDir val="col"/>
        <c:grouping val="stacked"/>
        <c:varyColors val="0"/>
        <c:ser>
          <c:idx val="0"/>
          <c:order val="0"/>
          <c:tx>
            <c:strRef>
              <c:f>'Gen Z Share of Electorate'!$A$31</c:f>
              <c:strCache>
                <c:ptCount val="1"/>
                <c:pt idx="0">
                  <c:v>Silent &amp; Greatest</c:v>
                </c:pt>
              </c:strCache>
            </c:strRef>
          </c:tx>
          <c:spPr>
            <a:solidFill>
              <a:srgbClr val="2A78D6"/>
            </a:solidFill>
            <a:ln w="0">
              <a:solidFill>
                <a:srgbClr val="FFFFFF"/>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'Gen Z Share of Electorate'!$A$6:$A$10</c:f>
              <c:strCache>
                <c:ptCount val="5"/>
                <c:pt idx="0">
                  <c:v>2018 midterm</c:v>
                </c:pt>
                <c:pt idx="1">
                  <c:v>2020 presidential</c:v>
                </c:pt>
                <c:pt idx="2">
                  <c:v>2022 midterm</c:v>
                </c:pt>
                <c:pt idx="3">
                  <c:v>2024 presidential</c:v>
                </c:pt>
                <c:pt idx="4">
                  <c:v>2026 primary (May)</c:v>
                </c:pt>
              </c:strCache>
            </c:strRef>
          </c:cat>
          <c:val>
            <c:numRef>
              <c:f>'Gen Z Share of Electorate'!$B$31:$F$31</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0-57F8-6E46-8CE1-75971027580C}"/>
            </c:ext>
          </c:extLst>
        </c:ser>
        <c:ser>
          <c:idx val="1"/>
          <c:order val="1"/>
          <c:tx>
            <c:strRef>
              <c:f>'Gen Z Share of Electorate'!$A$32</c:f>
              <c:strCache>
                <c:ptCount val="1"/>
                <c:pt idx="0">
                  <c:v>Baby Boomer</c:v>
                </c:pt>
              </c:strCache>
            </c:strRef>
          </c:tx>
          <c:spPr>
            <a:solidFill>
              <a:srgbClr val="EB6834"/>
            </a:solidFill>
            <a:ln w="0">
              <a:solidFill>
                <a:srgbClr val="FFFFFF"/>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'Gen Z Share of Electorate'!$A$6:$A$10</c:f>
              <c:strCache>
                <c:ptCount val="5"/>
                <c:pt idx="0">
                  <c:v>2018 midterm</c:v>
                </c:pt>
                <c:pt idx="1">
                  <c:v>2020 presidential</c:v>
                </c:pt>
                <c:pt idx="2">
                  <c:v>2022 midterm</c:v>
                </c:pt>
                <c:pt idx="3">
                  <c:v>2024 presidential</c:v>
                </c:pt>
                <c:pt idx="4">
                  <c:v>2026 primary (May)</c:v>
                </c:pt>
              </c:strCache>
            </c:strRef>
          </c:cat>
          <c:val>
            <c:numRef>
              <c:f>'Gen Z Share of Electorate'!$B$32:$F$32</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1-57F8-6E46-8CE1-75971027580C}"/>
            </c:ext>
          </c:extLst>
        </c:ser>
        <c:ser>
          <c:idx val="2"/>
          <c:order val="2"/>
          <c:tx>
            <c:strRef>
              <c:f>'Gen Z Share of Electorate'!$A$33</c:f>
              <c:strCache>
                <c:ptCount val="1"/>
                <c:pt idx="0">
                  <c:v>Generation X</c:v>
                </c:pt>
              </c:strCache>
            </c:strRef>
          </c:tx>
          <c:spPr>
            <a:solidFill>
              <a:srgbClr val="1BAF7A"/>
            </a:solidFill>
            <a:ln w="0">
              <a:solidFill>
                <a:srgbClr val="FFFFFF"/>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'Gen Z Share of Electorate'!$A$6:$A$10</c:f>
              <c:strCache>
                <c:ptCount val="5"/>
                <c:pt idx="0">
                  <c:v>2018 midterm</c:v>
                </c:pt>
                <c:pt idx="1">
                  <c:v>2020 presidential</c:v>
                </c:pt>
                <c:pt idx="2">
                  <c:v>2022 midterm</c:v>
                </c:pt>
                <c:pt idx="3">
                  <c:v>2024 presidential</c:v>
                </c:pt>
                <c:pt idx="4">
                  <c:v>2026 primary (May)</c:v>
                </c:pt>
              </c:strCache>
            </c:strRef>
          </c:cat>
          <c:val>
            <c:numRef>
              <c:f>'Gen Z Share of Electorate'!$B$33:$F$33</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2-57F8-6E46-8CE1-75971027580C}"/>
            </c:ext>
          </c:extLst>
        </c:ser>
        <c:ser>
          <c:idx val="3"/>
          <c:order val="3"/>
          <c:tx>
            <c:strRef>
              <c:f>'Gen Z Share of Electorate'!$A$34</c:f>
              <c:strCache>
                <c:ptCount val="1"/>
                <c:pt idx="0">
                  <c:v>Millennial</c:v>
                </c:pt>
              </c:strCache>
            </c:strRef>
          </c:tx>
          <c:spPr>
            <a:solidFill>
              <a:srgbClr val="EDA100"/>
            </a:solidFill>
            <a:ln w="0">
              <a:solidFill>
                <a:srgbClr val="FFFFFF"/>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'Gen Z Share of Electorate'!$A$6:$A$10</c:f>
              <c:strCache>
                <c:ptCount val="5"/>
                <c:pt idx="0">
                  <c:v>2018 midterm</c:v>
                </c:pt>
                <c:pt idx="1">
                  <c:v>2020 presidential</c:v>
                </c:pt>
                <c:pt idx="2">
                  <c:v>2022 midterm</c:v>
                </c:pt>
                <c:pt idx="3">
                  <c:v>2024 presidential</c:v>
                </c:pt>
                <c:pt idx="4">
                  <c:v>2026 primary (May)</c:v>
                </c:pt>
              </c:strCache>
            </c:strRef>
          </c:cat>
          <c:val>
            <c:numRef>
              <c:f>'Gen Z Share of Electorate'!$B$34:$F$34</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3-57F8-6E46-8CE1-75971027580C}"/>
            </c:ext>
          </c:extLst>
        </c:ser>
        <c:ser>
          <c:idx val="4"/>
          <c:order val="4"/>
          <c:tx>
            <c:strRef>
              <c:f>'Gen Z Share of Electorate'!$A$35</c:f>
              <c:strCache>
                <c:ptCount val="1"/>
                <c:pt idx="0">
                  <c:v>Generation Z</c:v>
                </c:pt>
              </c:strCache>
            </c:strRef>
          </c:tx>
          <c:spPr>
            <a:solidFill>
              <a:srgbClr val="E87BA4"/>
            </a:solidFill>
            <a:ln w="0">
              <a:solidFill>
                <a:srgbClr val="FFFFFF"/>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'Gen Z Share of Electorate'!$A$6:$A$10</c:f>
              <c:strCache>
                <c:ptCount val="5"/>
                <c:pt idx="0">
                  <c:v>2018 midterm</c:v>
                </c:pt>
                <c:pt idx="1">
                  <c:v>2020 presidential</c:v>
                </c:pt>
                <c:pt idx="2">
                  <c:v>2022 midterm</c:v>
                </c:pt>
                <c:pt idx="3">
                  <c:v>2024 presidential</c:v>
                </c:pt>
                <c:pt idx="4">
                  <c:v>2026 primary (May)</c:v>
                </c:pt>
              </c:strCache>
            </c:strRef>
          </c:cat>
          <c:val>
            <c:numRef>
              <c:f>'Gen Z Share of Electorate'!$B$35:$F$35</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4-57F8-6E46-8CE1-75971027580C}"/>
            </c:ext>
          </c:extLst>
        </c:ser>
        <c:dLbls>
          <c:showLegendKey val="0"/>
          <c:showVal val="0"/>
          <c:showCatName val="0"/>
          <c:showSerName val="0"/>
          <c:showPercent val="0"/>
          <c:showBubbleSize val="0"/>
        </c:dLbls>
        <c:gapWidth val="60"/>
        <c:overlap val="100"/>
        <c:axId val="84848081"/>
        <c:axId val="52721713"/>
      </c:barChart>
      <c:catAx>
        <c:axId val="84848081"/>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ea typeface="Calibri"/>
              </a:defRPr>
            </a:pPr>
            <a:endParaRPr lang="en-US"/>
          </a:p>
        </c:txPr>
        <c:crossAx val="52721713"/>
        <c:crosses val="autoZero"/>
        <c:auto val="1"/>
        <c:lblAlgn val="ctr"/>
        <c:lblOffset val="100"/>
        <c:noMultiLvlLbl val="0"/>
      </c:catAx>
      <c:valAx>
        <c:axId val="52721713"/>
        <c:scaling>
          <c:orientation val="minMax"/>
        </c:scaling>
        <c:delete val="0"/>
        <c:axPos val="l"/>
        <c:majorGridlines>
          <c:spPr>
            <a:ln w="6480">
              <a:solidFill>
                <a:srgbClr val="8B8B8B"/>
              </a:solidFill>
              <a:round/>
            </a:ln>
          </c:spPr>
        </c:majorGridlines>
        <c:title>
          <c:tx>
            <c:rich>
              <a:bodyPr rot="-540000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Ballots cast</a:t>
                </a:r>
              </a:p>
            </c:rich>
          </c:tx>
          <c:overlay val="0"/>
          <c:spPr>
            <a:noFill/>
            <a:ln w="0">
              <a:noFill/>
            </a:ln>
          </c:spPr>
        </c:title>
        <c:numFmt formatCode="#,##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ea typeface="Calibri"/>
              </a:defRPr>
            </a:pPr>
            <a:endParaRPr lang="en-US"/>
          </a:p>
        </c:txPr>
        <c:crossAx val="84848081"/>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ea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2</xdr:row>
      <xdr:rowOff>160920</xdr:rowOff>
    </xdr:from>
    <xdr:to>
      <xdr:col>23</xdr:col>
      <xdr:colOff>4320</xdr:colOff>
      <xdr:row>17</xdr:row>
      <xdr:rowOff>20160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27</xdr:row>
      <xdr:rowOff>160920</xdr:rowOff>
    </xdr:from>
    <xdr:to>
      <xdr:col>23</xdr:col>
      <xdr:colOff>4320</xdr:colOff>
      <xdr:row>42</xdr:row>
      <xdr:rowOff>37080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laude.ai/artifact/9QdeKSBeHZ5ZJrFjcTQBp9"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tabSelected="1" zoomScaleNormal="100" workbookViewId="0">
      <selection activeCell="C15" sqref="C15"/>
    </sheetView>
  </sheetViews>
  <sheetFormatPr baseColWidth="10" defaultColWidth="14.5" defaultRowHeight="15" x14ac:dyDescent="0.2"/>
  <cols>
    <col min="1" max="1" width="46" customWidth="1"/>
    <col min="2" max="3" width="18" customWidth="1"/>
    <col min="4" max="4" width="24" customWidth="1"/>
    <col min="5" max="26" width="8.6640625" customWidth="1"/>
  </cols>
  <sheetData>
    <row r="1" spans="1:3" ht="18" x14ac:dyDescent="0.2">
      <c r="A1" s="2" t="s">
        <v>0</v>
      </c>
    </row>
    <row r="2" spans="1:3" x14ac:dyDescent="0.2">
      <c r="A2" s="3" t="s">
        <v>1</v>
      </c>
    </row>
    <row r="3" spans="1:3" x14ac:dyDescent="0.2">
      <c r="A3" s="4" t="s">
        <v>2</v>
      </c>
    </row>
    <row r="4" spans="1:3" ht="16" x14ac:dyDescent="0.2">
      <c r="A4" s="5" t="s">
        <v>3</v>
      </c>
    </row>
    <row r="5" spans="1:3" x14ac:dyDescent="0.2">
      <c r="A5" s="6" t="s">
        <v>4</v>
      </c>
      <c r="B5" s="6" t="s">
        <v>5</v>
      </c>
      <c r="C5" s="6" t="s">
        <v>6</v>
      </c>
    </row>
    <row r="6" spans="1:3" x14ac:dyDescent="0.2">
      <c r="A6" s="7" t="s">
        <v>7</v>
      </c>
      <c r="B6" s="8">
        <v>83381</v>
      </c>
      <c r="C6" s="7" t="s">
        <v>8</v>
      </c>
    </row>
    <row r="7" spans="1:3" x14ac:dyDescent="0.2">
      <c r="A7" s="7" t="s">
        <v>9</v>
      </c>
      <c r="B7" s="9">
        <v>0.157</v>
      </c>
      <c r="C7" s="7" t="s">
        <v>10</v>
      </c>
    </row>
    <row r="8" spans="1:3" x14ac:dyDescent="0.2">
      <c r="A8" s="7" t="s">
        <v>11</v>
      </c>
      <c r="B8" s="8">
        <v>33039</v>
      </c>
      <c r="C8" s="7" t="s">
        <v>12</v>
      </c>
    </row>
    <row r="9" spans="1:3" x14ac:dyDescent="0.2">
      <c r="A9" s="7" t="s">
        <v>13</v>
      </c>
      <c r="B9" s="8">
        <v>29840</v>
      </c>
      <c r="C9" s="7" t="s">
        <v>14</v>
      </c>
    </row>
    <row r="10" spans="1:3" x14ac:dyDescent="0.2">
      <c r="A10" s="7" t="s">
        <v>15</v>
      </c>
      <c r="B10" s="9">
        <v>0.36099999999999999</v>
      </c>
      <c r="C10" s="7" t="s">
        <v>16</v>
      </c>
    </row>
    <row r="11" spans="1:3" x14ac:dyDescent="0.2">
      <c r="A11" s="7" t="s">
        <v>17</v>
      </c>
      <c r="B11" s="8">
        <v>8091</v>
      </c>
      <c r="C11" s="7" t="s">
        <v>18</v>
      </c>
    </row>
    <row r="12" spans="1:3" x14ac:dyDescent="0.2">
      <c r="A12" s="7" t="s">
        <v>19</v>
      </c>
      <c r="B12" s="9">
        <v>0.34399999999999997</v>
      </c>
      <c r="C12" s="7" t="s">
        <v>20</v>
      </c>
    </row>
    <row r="13" spans="1:3" x14ac:dyDescent="0.2">
      <c r="A13" s="7" t="s">
        <v>21</v>
      </c>
      <c r="B13" s="8">
        <v>2951</v>
      </c>
      <c r="C13" s="7" t="s">
        <v>22</v>
      </c>
    </row>
    <row r="16" spans="1:3" ht="16" x14ac:dyDescent="0.2">
      <c r="A16" s="5" t="s">
        <v>23</v>
      </c>
    </row>
    <row r="17" spans="1:4" x14ac:dyDescent="0.2">
      <c r="A17" s="6" t="s">
        <v>24</v>
      </c>
      <c r="B17" s="6" t="s">
        <v>25</v>
      </c>
    </row>
    <row r="18" spans="1:4" ht="45.75" customHeight="1" x14ac:dyDescent="0.2">
      <c r="A18" s="7" t="s">
        <v>26</v>
      </c>
      <c r="B18" s="10" t="s">
        <v>27</v>
      </c>
    </row>
    <row r="19" spans="1:4" ht="45.75" customHeight="1" x14ac:dyDescent="0.2">
      <c r="A19" s="7" t="s">
        <v>28</v>
      </c>
      <c r="B19" s="10" t="s">
        <v>29</v>
      </c>
    </row>
    <row r="20" spans="1:4" ht="45.75" customHeight="1" x14ac:dyDescent="0.2">
      <c r="A20" s="7" t="s">
        <v>30</v>
      </c>
      <c r="B20" s="10" t="s">
        <v>31</v>
      </c>
    </row>
    <row r="21" spans="1:4" ht="45.75" customHeight="1" x14ac:dyDescent="0.2">
      <c r="A21" s="7" t="s">
        <v>32</v>
      </c>
      <c r="B21" s="10" t="s">
        <v>33</v>
      </c>
    </row>
    <row r="22" spans="1:4" ht="45.75" customHeight="1" x14ac:dyDescent="0.2">
      <c r="A22" s="7" t="s">
        <v>34</v>
      </c>
      <c r="B22" s="10" t="s">
        <v>35</v>
      </c>
    </row>
    <row r="23" spans="1:4" ht="15.75" customHeight="1" x14ac:dyDescent="0.2"/>
    <row r="24" spans="1:4" ht="15.75" customHeight="1" x14ac:dyDescent="0.2"/>
    <row r="25" spans="1:4" ht="15.75" customHeight="1" x14ac:dyDescent="0.2">
      <c r="A25" s="5" t="s">
        <v>36</v>
      </c>
    </row>
    <row r="26" spans="1:4" ht="15.75" customHeight="1" x14ac:dyDescent="0.2">
      <c r="A26" s="6" t="s">
        <v>37</v>
      </c>
      <c r="B26" s="6" t="s">
        <v>38</v>
      </c>
      <c r="C26" s="6" t="s">
        <v>39</v>
      </c>
      <c r="D26" s="6" t="s">
        <v>40</v>
      </c>
    </row>
    <row r="27" spans="1:4" ht="15.75" customHeight="1" x14ac:dyDescent="0.2">
      <c r="A27" s="7" t="s">
        <v>41</v>
      </c>
      <c r="B27" s="8">
        <v>11828</v>
      </c>
      <c r="C27" s="8">
        <v>9788</v>
      </c>
      <c r="D27" s="8">
        <v>2951</v>
      </c>
    </row>
    <row r="28" spans="1:4" ht="15.75" customHeight="1" x14ac:dyDescent="0.2">
      <c r="A28" s="7" t="s">
        <v>42</v>
      </c>
      <c r="B28" s="8">
        <v>21310</v>
      </c>
      <c r="C28" s="8">
        <v>18411</v>
      </c>
      <c r="D28" s="8">
        <v>5270</v>
      </c>
    </row>
    <row r="29" spans="1:4" ht="15.75" customHeight="1" x14ac:dyDescent="0.2">
      <c r="A29" s="7" t="s">
        <v>43</v>
      </c>
      <c r="B29" s="8">
        <v>14868</v>
      </c>
      <c r="C29" s="8">
        <v>9788</v>
      </c>
      <c r="D29" s="8">
        <v>3863</v>
      </c>
    </row>
    <row r="30" spans="1:4" ht="15.75" customHeight="1" x14ac:dyDescent="0.2">
      <c r="A30" s="7" t="s">
        <v>44</v>
      </c>
      <c r="B30" s="8">
        <v>9912</v>
      </c>
      <c r="C30" s="8">
        <v>8952</v>
      </c>
      <c r="D30" s="8">
        <v>2427</v>
      </c>
    </row>
    <row r="31" spans="1:4" ht="15.75" customHeight="1" x14ac:dyDescent="0.2"/>
    <row r="32" spans="1:4" ht="15.75" customHeight="1" x14ac:dyDescent="0.2">
      <c r="A32" s="3" t="s">
        <v>45</v>
      </c>
    </row>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A3" r:id="rId1" xr:uid="{00000000-0004-0000-0000-000000000000}"/>
  </hyperlinks>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77"/>
  <sheetViews>
    <sheetView zoomScaleNormal="100" workbookViewId="0">
      <selection activeCell="G48" sqref="G48"/>
    </sheetView>
  </sheetViews>
  <sheetFormatPr baseColWidth="10" defaultColWidth="8.6640625" defaultRowHeight="15" x14ac:dyDescent="0.2"/>
  <cols>
    <col min="1" max="1" width="30" customWidth="1"/>
    <col min="2" max="12" width="13" customWidth="1"/>
    <col min="13" max="13" width="3" customWidth="1"/>
  </cols>
  <sheetData>
    <row r="1" spans="1:11" ht="18" x14ac:dyDescent="0.2">
      <c r="A1" s="11" t="s">
        <v>46</v>
      </c>
    </row>
    <row r="2" spans="1:11" x14ac:dyDescent="0.2">
      <c r="A2" s="12" t="s">
        <v>47</v>
      </c>
    </row>
    <row r="4" spans="1:11" ht="16" x14ac:dyDescent="0.2">
      <c r="A4" s="13" t="s">
        <v>48</v>
      </c>
    </row>
    <row r="5" spans="1:11" ht="42" customHeight="1" x14ac:dyDescent="0.2">
      <c r="A5" s="14" t="s">
        <v>49</v>
      </c>
      <c r="B5" s="14" t="s">
        <v>50</v>
      </c>
      <c r="C5" s="14" t="s">
        <v>51</v>
      </c>
      <c r="D5" s="14" t="s">
        <v>52</v>
      </c>
      <c r="E5" s="14" t="s">
        <v>53</v>
      </c>
      <c r="F5" s="14" t="s">
        <v>54</v>
      </c>
      <c r="G5" s="14" t="s">
        <v>55</v>
      </c>
      <c r="H5" s="14" t="s">
        <v>56</v>
      </c>
      <c r="I5" s="14" t="s">
        <v>53</v>
      </c>
      <c r="J5" s="14" t="s">
        <v>57</v>
      </c>
      <c r="K5" s="14" t="s">
        <v>58</v>
      </c>
    </row>
    <row r="6" spans="1:11" x14ac:dyDescent="0.2">
      <c r="A6" s="15" t="s">
        <v>59</v>
      </c>
      <c r="B6" s="16" t="e">
        <f>B23</f>
        <v>#REF!</v>
      </c>
      <c r="C6" s="16" t="e">
        <f>B24</f>
        <v>#REF!</v>
      </c>
      <c r="D6" s="17" t="e">
        <f>IF(C6=0,"",B6/C6)</f>
        <v>#REF!</v>
      </c>
      <c r="E6" s="18"/>
      <c r="F6" s="16" t="e">
        <f>B35</f>
        <v>#REF!</v>
      </c>
      <c r="G6" s="16" t="e">
        <f>B36</f>
        <v>#REF!</v>
      </c>
      <c r="H6" s="17" t="e">
        <f>IF(G6=0,"",F6/G6)</f>
        <v>#REF!</v>
      </c>
      <c r="I6" s="19"/>
      <c r="J6" s="20" t="e">
        <f t="shared" ref="J6:K10" si="0">IF(B6=0,"",F6/B6)</f>
        <v>#REF!</v>
      </c>
      <c r="K6" s="20" t="e">
        <f t="shared" si="0"/>
        <v>#REF!</v>
      </c>
    </row>
    <row r="7" spans="1:11" x14ac:dyDescent="0.2">
      <c r="A7" s="15" t="s">
        <v>60</v>
      </c>
      <c r="B7" s="16" t="e">
        <f>C23</f>
        <v>#REF!</v>
      </c>
      <c r="C7" s="16" t="e">
        <f>C24</f>
        <v>#REF!</v>
      </c>
      <c r="D7" s="17" t="e">
        <f>IF(C7=0,"",B7/C7)</f>
        <v>#REF!</v>
      </c>
      <c r="E7" s="18" t="e">
        <f>(D7-D6)*100</f>
        <v>#REF!</v>
      </c>
      <c r="F7" s="16" t="e">
        <f>C35</f>
        <v>#REF!</v>
      </c>
      <c r="G7" s="16" t="e">
        <f>C36</f>
        <v>#REF!</v>
      </c>
      <c r="H7" s="17" t="e">
        <f>IF(G7=0,"",F7/G7)</f>
        <v>#REF!</v>
      </c>
      <c r="I7" s="18" t="e">
        <f>(H7-H6)*100</f>
        <v>#REF!</v>
      </c>
      <c r="J7" s="20" t="e">
        <f t="shared" si="0"/>
        <v>#REF!</v>
      </c>
      <c r="K7" s="20" t="e">
        <f t="shared" si="0"/>
        <v>#REF!</v>
      </c>
    </row>
    <row r="8" spans="1:11" x14ac:dyDescent="0.2">
      <c r="A8" s="15" t="s">
        <v>61</v>
      </c>
      <c r="B8" s="16" t="e">
        <f>D23</f>
        <v>#REF!</v>
      </c>
      <c r="C8" s="16" t="e">
        <f>D24</f>
        <v>#REF!</v>
      </c>
      <c r="D8" s="17" t="e">
        <f>IF(C8=0,"",B8/C8)</f>
        <v>#REF!</v>
      </c>
      <c r="E8" s="18" t="e">
        <f>(D8-D7)*100</f>
        <v>#REF!</v>
      </c>
      <c r="F8" s="16" t="e">
        <f>D35</f>
        <v>#REF!</v>
      </c>
      <c r="G8" s="16" t="e">
        <f>D36</f>
        <v>#REF!</v>
      </c>
      <c r="H8" s="17" t="e">
        <f>IF(G8=0,"",F8/G8)</f>
        <v>#REF!</v>
      </c>
      <c r="I8" s="18" t="e">
        <f>(H8-H7)*100</f>
        <v>#REF!</v>
      </c>
      <c r="J8" s="20" t="e">
        <f t="shared" si="0"/>
        <v>#REF!</v>
      </c>
      <c r="K8" s="20" t="e">
        <f t="shared" si="0"/>
        <v>#REF!</v>
      </c>
    </row>
    <row r="9" spans="1:11" x14ac:dyDescent="0.2">
      <c r="A9" s="15" t="s">
        <v>62</v>
      </c>
      <c r="B9" s="16" t="e">
        <f>E23</f>
        <v>#REF!</v>
      </c>
      <c r="C9" s="16" t="e">
        <f>E24</f>
        <v>#REF!</v>
      </c>
      <c r="D9" s="17" t="e">
        <f>IF(C9=0,"",B9/C9)</f>
        <v>#REF!</v>
      </c>
      <c r="E9" s="18" t="e">
        <f>(D9-D8)*100</f>
        <v>#REF!</v>
      </c>
      <c r="F9" s="16" t="e">
        <f>E35</f>
        <v>#REF!</v>
      </c>
      <c r="G9" s="16" t="e">
        <f>E36</f>
        <v>#REF!</v>
      </c>
      <c r="H9" s="17" t="e">
        <f>IF(G9=0,"",F9/G9)</f>
        <v>#REF!</v>
      </c>
      <c r="I9" s="18" t="e">
        <f>(H9-H8)*100</f>
        <v>#REF!</v>
      </c>
      <c r="J9" s="20" t="e">
        <f t="shared" si="0"/>
        <v>#REF!</v>
      </c>
      <c r="K9" s="20" t="e">
        <f t="shared" si="0"/>
        <v>#REF!</v>
      </c>
    </row>
    <row r="10" spans="1:11" x14ac:dyDescent="0.2">
      <c r="A10" s="19" t="s">
        <v>63</v>
      </c>
      <c r="B10" s="16" t="e">
        <f>F23</f>
        <v>#REF!</v>
      </c>
      <c r="C10" s="16" t="e">
        <f>F24</f>
        <v>#REF!</v>
      </c>
      <c r="D10" s="17" t="e">
        <f>IF(C10=0,"",B10/C10)</f>
        <v>#REF!</v>
      </c>
      <c r="E10" s="18" t="e">
        <f>(D10-D9)*100</f>
        <v>#REF!</v>
      </c>
      <c r="F10" s="16" t="e">
        <f>F35</f>
        <v>#REF!</v>
      </c>
      <c r="G10" s="16" t="e">
        <f>F36</f>
        <v>#REF!</v>
      </c>
      <c r="H10" s="17" t="e">
        <f>IF(G10=0,"",F10/G10)</f>
        <v>#REF!</v>
      </c>
      <c r="I10" s="21" t="s">
        <v>64</v>
      </c>
      <c r="J10" s="20" t="e">
        <f t="shared" si="0"/>
        <v>#REF!</v>
      </c>
      <c r="K10" s="20" t="e">
        <f t="shared" si="0"/>
        <v>#REF!</v>
      </c>
    </row>
    <row r="12" spans="1:11" x14ac:dyDescent="0.2">
      <c r="A12" s="15" t="s">
        <v>65</v>
      </c>
      <c r="D12" s="22" t="s">
        <v>66</v>
      </c>
      <c r="H12" s="22" t="s">
        <v>67</v>
      </c>
    </row>
    <row r="13" spans="1:11" x14ac:dyDescent="0.2">
      <c r="A13" s="19" t="s">
        <v>68</v>
      </c>
      <c r="D13" s="18" t="e">
        <f>(D8-D6)*100</f>
        <v>#REF!</v>
      </c>
      <c r="H13" s="18" t="e">
        <f>(H8-H6)*100</f>
        <v>#REF!</v>
      </c>
    </row>
    <row r="14" spans="1:11" x14ac:dyDescent="0.2">
      <c r="A14" s="19" t="s">
        <v>69</v>
      </c>
      <c r="D14" s="18" t="e">
        <f>(D9-D7)*100</f>
        <v>#REF!</v>
      </c>
      <c r="H14" s="18" t="e">
        <f>(H9-H7)*100</f>
        <v>#REF!</v>
      </c>
    </row>
    <row r="17" spans="1:12" ht="16" x14ac:dyDescent="0.2">
      <c r="A17" s="13" t="s">
        <v>70</v>
      </c>
    </row>
    <row r="18" spans="1:12" ht="42" customHeight="1" x14ac:dyDescent="0.2">
      <c r="A18" s="14" t="s">
        <v>71</v>
      </c>
      <c r="B18" s="23">
        <v>2018</v>
      </c>
      <c r="C18" s="23">
        <v>2020</v>
      </c>
      <c r="D18" s="23">
        <v>2022</v>
      </c>
      <c r="E18" s="23">
        <v>2024</v>
      </c>
      <c r="F18" s="24">
        <v>2026</v>
      </c>
      <c r="G18" s="14" t="s">
        <v>72</v>
      </c>
      <c r="H18" s="14" t="s">
        <v>73</v>
      </c>
      <c r="I18" s="14" t="s">
        <v>74</v>
      </c>
      <c r="J18" s="14" t="s">
        <v>75</v>
      </c>
      <c r="K18" s="14" t="s">
        <v>76</v>
      </c>
      <c r="L18" s="14" t="s">
        <v>77</v>
      </c>
    </row>
    <row r="19" spans="1:12" x14ac:dyDescent="0.2">
      <c r="A19" s="19" t="s">
        <v>78</v>
      </c>
      <c r="B19" s="16" t="e">
        <f>SUMIFS(#REF!,#REF!,B$18,#REF!,$A19)+SUMIFS(#REF!,#REF!,B$18,#REF!,$A19)+SUMIFS(#REF!,#REF!,B$18,#REF!,$A19)</f>
        <v>#REF!</v>
      </c>
      <c r="C19" s="16" t="e">
        <f>SUMIFS(#REF!,#REF!,C$18,#REF!,$A19)+SUMIFS(#REF!,#REF!,C$18,#REF!,$A19)+SUMIFS(#REF!,#REF!,C$18,#REF!,$A19)</f>
        <v>#REF!</v>
      </c>
      <c r="D19" s="16" t="e">
        <f>SUMIFS(#REF!,#REF!,D$18,#REF!,$A19)+SUMIFS(#REF!,#REF!,D$18,#REF!,$A19)+SUMIFS(#REF!,#REF!,D$18,#REF!,$A19)</f>
        <v>#REF!</v>
      </c>
      <c r="E19" s="16" t="e">
        <f>SUMIFS(#REF!,#REF!,E$18,#REF!,$A19)+SUMIFS(#REF!,#REF!,E$18,#REF!,$A19)+SUMIFS(#REF!,#REF!,E$18,#REF!,$A19)</f>
        <v>#REF!</v>
      </c>
      <c r="F19" s="16" t="e">
        <f>SUMIFS(#REF!,#REF!,F$18,#REF!,$A19)+SUMIFS(#REF!,#REF!,F$18,#REF!,$A19)+SUMIFS(#REF!,#REF!,F$18,#REF!,$A19)</f>
        <v>#REF!</v>
      </c>
      <c r="G19" s="25" t="e">
        <f t="shared" ref="G19:J24" si="1">C19-B19</f>
        <v>#REF!</v>
      </c>
      <c r="H19" s="25" t="e">
        <f t="shared" si="1"/>
        <v>#REF!</v>
      </c>
      <c r="I19" s="25" t="e">
        <f t="shared" si="1"/>
        <v>#REF!</v>
      </c>
      <c r="J19" s="25" t="e">
        <f t="shared" si="1"/>
        <v>#REF!</v>
      </c>
      <c r="K19" s="25" t="e">
        <f t="shared" ref="K19:K24" si="2">F19-B19</f>
        <v>#REF!</v>
      </c>
      <c r="L19" s="26" t="e">
        <f t="shared" ref="L19:L24" si="3">IF(B19=0,"",F19/B19-1)</f>
        <v>#REF!</v>
      </c>
    </row>
    <row r="20" spans="1:12" x14ac:dyDescent="0.2">
      <c r="A20" s="19" t="s">
        <v>79</v>
      </c>
      <c r="B20" s="16" t="e">
        <f>SUMIFS(#REF!,#REF!,B$18,#REF!,$A20)+SUMIFS(#REF!,#REF!,B$18,#REF!,$A20)+SUMIFS(#REF!,#REF!,B$18,#REF!,$A20)</f>
        <v>#REF!</v>
      </c>
      <c r="C20" s="16" t="e">
        <f>SUMIFS(#REF!,#REF!,C$18,#REF!,$A20)+SUMIFS(#REF!,#REF!,C$18,#REF!,$A20)+SUMIFS(#REF!,#REF!,C$18,#REF!,$A20)</f>
        <v>#REF!</v>
      </c>
      <c r="D20" s="16" t="e">
        <f>SUMIFS(#REF!,#REF!,D$18,#REF!,$A20)+SUMIFS(#REF!,#REF!,D$18,#REF!,$A20)+SUMIFS(#REF!,#REF!,D$18,#REF!,$A20)</f>
        <v>#REF!</v>
      </c>
      <c r="E20" s="16" t="e">
        <f>SUMIFS(#REF!,#REF!,E$18,#REF!,$A20)+SUMIFS(#REF!,#REF!,E$18,#REF!,$A20)+SUMIFS(#REF!,#REF!,E$18,#REF!,$A20)</f>
        <v>#REF!</v>
      </c>
      <c r="F20" s="16" t="e">
        <f>SUMIFS(#REF!,#REF!,F$18,#REF!,$A20)+SUMIFS(#REF!,#REF!,F$18,#REF!,$A20)+SUMIFS(#REF!,#REF!,F$18,#REF!,$A20)</f>
        <v>#REF!</v>
      </c>
      <c r="G20" s="25" t="e">
        <f t="shared" si="1"/>
        <v>#REF!</v>
      </c>
      <c r="H20" s="25" t="e">
        <f t="shared" si="1"/>
        <v>#REF!</v>
      </c>
      <c r="I20" s="25" t="e">
        <f t="shared" si="1"/>
        <v>#REF!</v>
      </c>
      <c r="J20" s="25" t="e">
        <f t="shared" si="1"/>
        <v>#REF!</v>
      </c>
      <c r="K20" s="25" t="e">
        <f t="shared" si="2"/>
        <v>#REF!</v>
      </c>
      <c r="L20" s="26" t="e">
        <f t="shared" si="3"/>
        <v>#REF!</v>
      </c>
    </row>
    <row r="21" spans="1:12" x14ac:dyDescent="0.2">
      <c r="A21" s="19" t="s">
        <v>80</v>
      </c>
      <c r="B21" s="16" t="e">
        <f>SUMIFS(#REF!,#REF!,B$18,#REF!,$A21)+SUMIFS(#REF!,#REF!,B$18,#REF!,$A21)+SUMIFS(#REF!,#REF!,B$18,#REF!,$A21)</f>
        <v>#REF!</v>
      </c>
      <c r="C21" s="16" t="e">
        <f>SUMIFS(#REF!,#REF!,C$18,#REF!,$A21)+SUMIFS(#REF!,#REF!,C$18,#REF!,$A21)+SUMIFS(#REF!,#REF!,C$18,#REF!,$A21)</f>
        <v>#REF!</v>
      </c>
      <c r="D21" s="16" t="e">
        <f>SUMIFS(#REF!,#REF!,D$18,#REF!,$A21)+SUMIFS(#REF!,#REF!,D$18,#REF!,$A21)+SUMIFS(#REF!,#REF!,D$18,#REF!,$A21)</f>
        <v>#REF!</v>
      </c>
      <c r="E21" s="16" t="e">
        <f>SUMIFS(#REF!,#REF!,E$18,#REF!,$A21)+SUMIFS(#REF!,#REF!,E$18,#REF!,$A21)+SUMIFS(#REF!,#REF!,E$18,#REF!,$A21)</f>
        <v>#REF!</v>
      </c>
      <c r="F21" s="16" t="e">
        <f>SUMIFS(#REF!,#REF!,F$18,#REF!,$A21)+SUMIFS(#REF!,#REF!,F$18,#REF!,$A21)+SUMIFS(#REF!,#REF!,F$18,#REF!,$A21)</f>
        <v>#REF!</v>
      </c>
      <c r="G21" s="25" t="e">
        <f t="shared" si="1"/>
        <v>#REF!</v>
      </c>
      <c r="H21" s="25" t="e">
        <f t="shared" si="1"/>
        <v>#REF!</v>
      </c>
      <c r="I21" s="25" t="e">
        <f t="shared" si="1"/>
        <v>#REF!</v>
      </c>
      <c r="J21" s="25" t="e">
        <f t="shared" si="1"/>
        <v>#REF!</v>
      </c>
      <c r="K21" s="25" t="e">
        <f t="shared" si="2"/>
        <v>#REF!</v>
      </c>
      <c r="L21" s="26" t="e">
        <f t="shared" si="3"/>
        <v>#REF!</v>
      </c>
    </row>
    <row r="22" spans="1:12" x14ac:dyDescent="0.2">
      <c r="A22" s="19" t="s">
        <v>81</v>
      </c>
      <c r="B22" s="16" t="e">
        <f>SUMIFS(#REF!,#REF!,B$18,#REF!,$A22)+SUMIFS(#REF!,#REF!,B$18,#REF!,$A22)+SUMIFS(#REF!,#REF!,B$18,#REF!,$A22)</f>
        <v>#REF!</v>
      </c>
      <c r="C22" s="16" t="e">
        <f>SUMIFS(#REF!,#REF!,C$18,#REF!,$A22)+SUMIFS(#REF!,#REF!,C$18,#REF!,$A22)+SUMIFS(#REF!,#REF!,C$18,#REF!,$A22)</f>
        <v>#REF!</v>
      </c>
      <c r="D22" s="16" t="e">
        <f>SUMIFS(#REF!,#REF!,D$18,#REF!,$A22)+SUMIFS(#REF!,#REF!,D$18,#REF!,$A22)+SUMIFS(#REF!,#REF!,D$18,#REF!,$A22)</f>
        <v>#REF!</v>
      </c>
      <c r="E22" s="16" t="e">
        <f>SUMIFS(#REF!,#REF!,E$18,#REF!,$A22)+SUMIFS(#REF!,#REF!,E$18,#REF!,$A22)+SUMIFS(#REF!,#REF!,E$18,#REF!,$A22)</f>
        <v>#REF!</v>
      </c>
      <c r="F22" s="16" t="e">
        <f>SUMIFS(#REF!,#REF!,F$18,#REF!,$A22)+SUMIFS(#REF!,#REF!,F$18,#REF!,$A22)+SUMIFS(#REF!,#REF!,F$18,#REF!,$A22)</f>
        <v>#REF!</v>
      </c>
      <c r="G22" s="25" t="e">
        <f t="shared" si="1"/>
        <v>#REF!</v>
      </c>
      <c r="H22" s="25" t="e">
        <f t="shared" si="1"/>
        <v>#REF!</v>
      </c>
      <c r="I22" s="25" t="e">
        <f t="shared" si="1"/>
        <v>#REF!</v>
      </c>
      <c r="J22" s="25" t="e">
        <f t="shared" si="1"/>
        <v>#REF!</v>
      </c>
      <c r="K22" s="25" t="e">
        <f t="shared" si="2"/>
        <v>#REF!</v>
      </c>
      <c r="L22" s="26" t="e">
        <f t="shared" si="3"/>
        <v>#REF!</v>
      </c>
    </row>
    <row r="23" spans="1:12" x14ac:dyDescent="0.2">
      <c r="A23" s="27" t="s">
        <v>82</v>
      </c>
      <c r="B23" s="28" t="e">
        <f>SUMIFS(#REF!,#REF!,B$18,#REF!,$A23)+SUMIFS(#REF!,#REF!,B$18,#REF!,$A23)+SUMIFS(#REF!,#REF!,B$18,#REF!,$A23)</f>
        <v>#REF!</v>
      </c>
      <c r="C23" s="28" t="e">
        <f>SUMIFS(#REF!,#REF!,C$18,#REF!,$A23)+SUMIFS(#REF!,#REF!,C$18,#REF!,$A23)+SUMIFS(#REF!,#REF!,C$18,#REF!,$A23)</f>
        <v>#REF!</v>
      </c>
      <c r="D23" s="28" t="e">
        <f>SUMIFS(#REF!,#REF!,D$18,#REF!,$A23)+SUMIFS(#REF!,#REF!,D$18,#REF!,$A23)+SUMIFS(#REF!,#REF!,D$18,#REF!,$A23)</f>
        <v>#REF!</v>
      </c>
      <c r="E23" s="28" t="e">
        <f>SUMIFS(#REF!,#REF!,E$18,#REF!,$A23)+SUMIFS(#REF!,#REF!,E$18,#REF!,$A23)+SUMIFS(#REF!,#REF!,E$18,#REF!,$A23)</f>
        <v>#REF!</v>
      </c>
      <c r="F23" s="28" t="e">
        <f>SUMIFS(#REF!,#REF!,F$18,#REF!,$A23)+SUMIFS(#REF!,#REF!,F$18,#REF!,$A23)+SUMIFS(#REF!,#REF!,F$18,#REF!,$A23)</f>
        <v>#REF!</v>
      </c>
      <c r="G23" s="29" t="e">
        <f t="shared" si="1"/>
        <v>#REF!</v>
      </c>
      <c r="H23" s="29" t="e">
        <f t="shared" si="1"/>
        <v>#REF!</v>
      </c>
      <c r="I23" s="29" t="e">
        <f t="shared" si="1"/>
        <v>#REF!</v>
      </c>
      <c r="J23" s="29" t="e">
        <f t="shared" si="1"/>
        <v>#REF!</v>
      </c>
      <c r="K23" s="29" t="e">
        <f t="shared" si="2"/>
        <v>#REF!</v>
      </c>
      <c r="L23" s="30" t="e">
        <f t="shared" si="3"/>
        <v>#REF!</v>
      </c>
    </row>
    <row r="24" spans="1:12" x14ac:dyDescent="0.2">
      <c r="A24" s="31" t="s">
        <v>83</v>
      </c>
      <c r="B24" s="32" t="e">
        <f>SUM(B19:B23)</f>
        <v>#REF!</v>
      </c>
      <c r="C24" s="32" t="e">
        <f>SUM(C19:C23)</f>
        <v>#REF!</v>
      </c>
      <c r="D24" s="32" t="e">
        <f>SUM(D19:D23)</f>
        <v>#REF!</v>
      </c>
      <c r="E24" s="32" t="e">
        <f>SUM(E19:E23)</f>
        <v>#REF!</v>
      </c>
      <c r="F24" s="32" t="e">
        <f>SUM(F19:F23)</f>
        <v>#REF!</v>
      </c>
      <c r="G24" s="33" t="e">
        <f t="shared" si="1"/>
        <v>#REF!</v>
      </c>
      <c r="H24" s="33" t="e">
        <f t="shared" si="1"/>
        <v>#REF!</v>
      </c>
      <c r="I24" s="33" t="e">
        <f t="shared" si="1"/>
        <v>#REF!</v>
      </c>
      <c r="J24" s="33" t="e">
        <f t="shared" si="1"/>
        <v>#REF!</v>
      </c>
      <c r="K24" s="33" t="e">
        <f t="shared" si="2"/>
        <v>#REF!</v>
      </c>
      <c r="L24" s="34" t="e">
        <f t="shared" si="3"/>
        <v>#REF!</v>
      </c>
    </row>
    <row r="25" spans="1:12" x14ac:dyDescent="0.2">
      <c r="A25" s="35" t="s">
        <v>84</v>
      </c>
      <c r="B25" s="36" t="e">
        <f>B24-(SUMIFS(#REF!,#REF!,B$18,#REF!,"All")+SUMIFS(#REF!,#REF!,B$18,#REF!,"All")+SUMIFS(#REF!,#REF!,B$18,#REF!,"All"))</f>
        <v>#REF!</v>
      </c>
      <c r="C25" s="36" t="e">
        <f>C24-(SUMIFS(#REF!,#REF!,C$18,#REF!,"All")+SUMIFS(#REF!,#REF!,C$18,#REF!,"All")+SUMIFS(#REF!,#REF!,C$18,#REF!,"All"))</f>
        <v>#REF!</v>
      </c>
      <c r="D25" s="36" t="e">
        <f>D24-(SUMIFS(#REF!,#REF!,D$18,#REF!,"All")+SUMIFS(#REF!,#REF!,D$18,#REF!,"All")+SUMIFS(#REF!,#REF!,D$18,#REF!,"All"))</f>
        <v>#REF!</v>
      </c>
      <c r="E25" s="36" t="e">
        <f>E24-(SUMIFS(#REF!,#REF!,E$18,#REF!,"All")+SUMIFS(#REF!,#REF!,E$18,#REF!,"All")+SUMIFS(#REF!,#REF!,E$18,#REF!,"All"))</f>
        <v>#REF!</v>
      </c>
      <c r="F25" s="36" t="e">
        <f>F24-(SUMIFS(#REF!,#REF!,F$18,#REF!,"All")+SUMIFS(#REF!,#REF!,F$18,#REF!,"All")+SUMIFS(#REF!,#REF!,F$18,#REF!,"All"))</f>
        <v>#REF!</v>
      </c>
    </row>
    <row r="26" spans="1:12" x14ac:dyDescent="0.2">
      <c r="A26" s="35" t="s">
        <v>85</v>
      </c>
      <c r="B26" s="36" t="e">
        <f>B23-SUMIFS(#REF!,#REF!,B$18,#REF!,"All")</f>
        <v>#REF!</v>
      </c>
      <c r="C26" s="36" t="e">
        <f>C23-SUMIFS(#REF!,#REF!,C$18,#REF!,"All")</f>
        <v>#REF!</v>
      </c>
      <c r="D26" s="36" t="e">
        <f>D23-SUMIFS(#REF!,#REF!,D$18,#REF!,"All")</f>
        <v>#REF!</v>
      </c>
      <c r="E26" s="36" t="e">
        <f>E23-SUMIFS(#REF!,#REF!,E$18,#REF!,"All")</f>
        <v>#REF!</v>
      </c>
      <c r="F26" s="36" t="e">
        <f>F23-SUMIFS(#REF!,#REF!,F$18,#REF!,"All")</f>
        <v>#REF!</v>
      </c>
    </row>
    <row r="29" spans="1:12" ht="16" x14ac:dyDescent="0.2">
      <c r="A29" s="13" t="s">
        <v>86</v>
      </c>
    </row>
    <row r="30" spans="1:12" ht="42" customHeight="1" x14ac:dyDescent="0.2">
      <c r="A30" s="14" t="s">
        <v>71</v>
      </c>
      <c r="B30" s="23">
        <v>2018</v>
      </c>
      <c r="C30" s="23">
        <v>2020</v>
      </c>
      <c r="D30" s="23">
        <v>2022</v>
      </c>
      <c r="E30" s="23">
        <v>2024</v>
      </c>
      <c r="F30" s="24">
        <v>2026</v>
      </c>
      <c r="G30" s="14" t="s">
        <v>87</v>
      </c>
      <c r="H30" s="14" t="s">
        <v>88</v>
      </c>
    </row>
    <row r="31" spans="1:12" x14ac:dyDescent="0.2">
      <c r="A31" s="19" t="s">
        <v>78</v>
      </c>
      <c r="B31" s="16" t="e">
        <f>SUMIFS(#REF!,#REF!,B$30,#REF!,$A31)+SUMIFS(#REF!,#REF!,B$30,#REF!,$A31)+SUMIFS(#REF!,#REF!,B$30,#REF!,$A31)</f>
        <v>#REF!</v>
      </c>
      <c r="C31" s="16" t="e">
        <f>SUMIFS(#REF!,#REF!,C$30,#REF!,$A31)+SUMIFS(#REF!,#REF!,C$30,#REF!,$A31)+SUMIFS(#REF!,#REF!,C$30,#REF!,$A31)</f>
        <v>#REF!</v>
      </c>
      <c r="D31" s="16" t="e">
        <f>SUMIFS(#REF!,#REF!,D$30,#REF!,$A31)+SUMIFS(#REF!,#REF!,D$30,#REF!,$A31)+SUMIFS(#REF!,#REF!,D$30,#REF!,$A31)</f>
        <v>#REF!</v>
      </c>
      <c r="E31" s="16" t="e">
        <f>SUMIFS(#REF!,#REF!,E$30,#REF!,$A31)+SUMIFS(#REF!,#REF!,E$30,#REF!,$A31)+SUMIFS(#REF!,#REF!,E$30,#REF!,$A31)</f>
        <v>#REF!</v>
      </c>
      <c r="F31" s="16" t="e">
        <f>SUMIFS(#REF!,#REF!,F$30,#REF!,$A31)+SUMIFS(#REF!,#REF!,F$30,#REF!,$A31)+SUMIFS(#REF!,#REF!,F$30,#REF!,$A31)</f>
        <v>#REF!</v>
      </c>
      <c r="G31" s="25" t="e">
        <f t="shared" ref="G31:H36" si="4">D31-B31</f>
        <v>#REF!</v>
      </c>
      <c r="H31" s="25" t="e">
        <f t="shared" si="4"/>
        <v>#REF!</v>
      </c>
    </row>
    <row r="32" spans="1:12" x14ac:dyDescent="0.2">
      <c r="A32" s="19" t="s">
        <v>79</v>
      </c>
      <c r="B32" s="16" t="e">
        <f>SUMIFS(#REF!,#REF!,B$30,#REF!,$A32)+SUMIFS(#REF!,#REF!,B$30,#REF!,$A32)+SUMIFS(#REF!,#REF!,B$30,#REF!,$A32)</f>
        <v>#REF!</v>
      </c>
      <c r="C32" s="16" t="e">
        <f>SUMIFS(#REF!,#REF!,C$30,#REF!,$A32)+SUMIFS(#REF!,#REF!,C$30,#REF!,$A32)+SUMIFS(#REF!,#REF!,C$30,#REF!,$A32)</f>
        <v>#REF!</v>
      </c>
      <c r="D32" s="16" t="e">
        <f>SUMIFS(#REF!,#REF!,D$30,#REF!,$A32)+SUMIFS(#REF!,#REF!,D$30,#REF!,$A32)+SUMIFS(#REF!,#REF!,D$30,#REF!,$A32)</f>
        <v>#REF!</v>
      </c>
      <c r="E32" s="16" t="e">
        <f>SUMIFS(#REF!,#REF!,E$30,#REF!,$A32)+SUMIFS(#REF!,#REF!,E$30,#REF!,$A32)+SUMIFS(#REF!,#REF!,E$30,#REF!,$A32)</f>
        <v>#REF!</v>
      </c>
      <c r="F32" s="16" t="e">
        <f>SUMIFS(#REF!,#REF!,F$30,#REF!,$A32)+SUMIFS(#REF!,#REF!,F$30,#REF!,$A32)+SUMIFS(#REF!,#REF!,F$30,#REF!,$A32)</f>
        <v>#REF!</v>
      </c>
      <c r="G32" s="25" t="e">
        <f t="shared" si="4"/>
        <v>#REF!</v>
      </c>
      <c r="H32" s="25" t="e">
        <f t="shared" si="4"/>
        <v>#REF!</v>
      </c>
    </row>
    <row r="33" spans="1:8" x14ac:dyDescent="0.2">
      <c r="A33" s="19" t="s">
        <v>80</v>
      </c>
      <c r="B33" s="16" t="e">
        <f>SUMIFS(#REF!,#REF!,B$30,#REF!,$A33)+SUMIFS(#REF!,#REF!,B$30,#REF!,$A33)+SUMIFS(#REF!,#REF!,B$30,#REF!,$A33)</f>
        <v>#REF!</v>
      </c>
      <c r="C33" s="16" t="e">
        <f>SUMIFS(#REF!,#REF!,C$30,#REF!,$A33)+SUMIFS(#REF!,#REF!,C$30,#REF!,$A33)+SUMIFS(#REF!,#REF!,C$30,#REF!,$A33)</f>
        <v>#REF!</v>
      </c>
      <c r="D33" s="16" t="e">
        <f>SUMIFS(#REF!,#REF!,D$30,#REF!,$A33)+SUMIFS(#REF!,#REF!,D$30,#REF!,$A33)+SUMIFS(#REF!,#REF!,D$30,#REF!,$A33)</f>
        <v>#REF!</v>
      </c>
      <c r="E33" s="16" t="e">
        <f>SUMIFS(#REF!,#REF!,E$30,#REF!,$A33)+SUMIFS(#REF!,#REF!,E$30,#REF!,$A33)+SUMIFS(#REF!,#REF!,E$30,#REF!,$A33)</f>
        <v>#REF!</v>
      </c>
      <c r="F33" s="16" t="e">
        <f>SUMIFS(#REF!,#REF!,F$30,#REF!,$A33)+SUMIFS(#REF!,#REF!,F$30,#REF!,$A33)+SUMIFS(#REF!,#REF!,F$30,#REF!,$A33)</f>
        <v>#REF!</v>
      </c>
      <c r="G33" s="25" t="e">
        <f t="shared" si="4"/>
        <v>#REF!</v>
      </c>
      <c r="H33" s="25" t="e">
        <f t="shared" si="4"/>
        <v>#REF!</v>
      </c>
    </row>
    <row r="34" spans="1:8" x14ac:dyDescent="0.2">
      <c r="A34" s="19" t="s">
        <v>81</v>
      </c>
      <c r="B34" s="16" t="e">
        <f>SUMIFS(#REF!,#REF!,B$30,#REF!,$A34)+SUMIFS(#REF!,#REF!,B$30,#REF!,$A34)+SUMIFS(#REF!,#REF!,B$30,#REF!,$A34)</f>
        <v>#REF!</v>
      </c>
      <c r="C34" s="16" t="e">
        <f>SUMIFS(#REF!,#REF!,C$30,#REF!,$A34)+SUMIFS(#REF!,#REF!,C$30,#REF!,$A34)+SUMIFS(#REF!,#REF!,C$30,#REF!,$A34)</f>
        <v>#REF!</v>
      </c>
      <c r="D34" s="16" t="e">
        <f>SUMIFS(#REF!,#REF!,D$30,#REF!,$A34)+SUMIFS(#REF!,#REF!,D$30,#REF!,$A34)+SUMIFS(#REF!,#REF!,D$30,#REF!,$A34)</f>
        <v>#REF!</v>
      </c>
      <c r="E34" s="16" t="e">
        <f>SUMIFS(#REF!,#REF!,E$30,#REF!,$A34)+SUMIFS(#REF!,#REF!,E$30,#REF!,$A34)+SUMIFS(#REF!,#REF!,E$30,#REF!,$A34)</f>
        <v>#REF!</v>
      </c>
      <c r="F34" s="16" t="e">
        <f>SUMIFS(#REF!,#REF!,F$30,#REF!,$A34)+SUMIFS(#REF!,#REF!,F$30,#REF!,$A34)+SUMIFS(#REF!,#REF!,F$30,#REF!,$A34)</f>
        <v>#REF!</v>
      </c>
      <c r="G34" s="25" t="e">
        <f t="shared" si="4"/>
        <v>#REF!</v>
      </c>
      <c r="H34" s="25" t="e">
        <f t="shared" si="4"/>
        <v>#REF!</v>
      </c>
    </row>
    <row r="35" spans="1:8" x14ac:dyDescent="0.2">
      <c r="A35" s="27" t="s">
        <v>82</v>
      </c>
      <c r="B35" s="28" t="e">
        <f>SUMIFS(#REF!,#REF!,B$30,#REF!,$A35)+SUMIFS(#REF!,#REF!,B$30,#REF!,$A35)+SUMIFS(#REF!,#REF!,B$30,#REF!,$A35)</f>
        <v>#REF!</v>
      </c>
      <c r="C35" s="28" t="e">
        <f>SUMIFS(#REF!,#REF!,C$30,#REF!,$A35)+SUMIFS(#REF!,#REF!,C$30,#REF!,$A35)+SUMIFS(#REF!,#REF!,C$30,#REF!,$A35)</f>
        <v>#REF!</v>
      </c>
      <c r="D35" s="28" t="e">
        <f>SUMIFS(#REF!,#REF!,D$30,#REF!,$A35)+SUMIFS(#REF!,#REF!,D$30,#REF!,$A35)+SUMIFS(#REF!,#REF!,D$30,#REF!,$A35)</f>
        <v>#REF!</v>
      </c>
      <c r="E35" s="28" t="e">
        <f>SUMIFS(#REF!,#REF!,E$30,#REF!,$A35)+SUMIFS(#REF!,#REF!,E$30,#REF!,$A35)+SUMIFS(#REF!,#REF!,E$30,#REF!,$A35)</f>
        <v>#REF!</v>
      </c>
      <c r="F35" s="28" t="e">
        <f>SUMIFS(#REF!,#REF!,F$30,#REF!,$A35)+SUMIFS(#REF!,#REF!,F$30,#REF!,$A35)+SUMIFS(#REF!,#REF!,F$30,#REF!,$A35)</f>
        <v>#REF!</v>
      </c>
      <c r="G35" s="29" t="e">
        <f t="shared" si="4"/>
        <v>#REF!</v>
      </c>
      <c r="H35" s="29" t="e">
        <f t="shared" si="4"/>
        <v>#REF!</v>
      </c>
    </row>
    <row r="36" spans="1:8" x14ac:dyDescent="0.2">
      <c r="A36" s="31" t="s">
        <v>83</v>
      </c>
      <c r="B36" s="32" t="e">
        <f>SUM(B31:B35)</f>
        <v>#REF!</v>
      </c>
      <c r="C36" s="32" t="e">
        <f>SUM(C31:C35)</f>
        <v>#REF!</v>
      </c>
      <c r="D36" s="32" t="e">
        <f>SUM(D31:D35)</f>
        <v>#REF!</v>
      </c>
      <c r="E36" s="32" t="e">
        <f>SUM(E31:E35)</f>
        <v>#REF!</v>
      </c>
      <c r="F36" s="32" t="e">
        <f>SUM(F31:F35)</f>
        <v>#REF!</v>
      </c>
      <c r="G36" s="33" t="e">
        <f t="shared" si="4"/>
        <v>#REF!</v>
      </c>
      <c r="H36" s="33" t="e">
        <f t="shared" si="4"/>
        <v>#REF!</v>
      </c>
    </row>
    <row r="37" spans="1:8" x14ac:dyDescent="0.2">
      <c r="A37" s="35" t="s">
        <v>84</v>
      </c>
      <c r="B37" s="36" t="e">
        <f>B36-(SUMIFS(#REF!,#REF!,B$30,#REF!,"All")+SUMIFS(#REF!,#REF!,B$30,#REF!,"All")+SUMIFS(#REF!,#REF!,B$30,#REF!,"All"))</f>
        <v>#REF!</v>
      </c>
      <c r="C37" s="36" t="e">
        <f>C36-(SUMIFS(#REF!,#REF!,C$30,#REF!,"All")+SUMIFS(#REF!,#REF!,C$30,#REF!,"All")+SUMIFS(#REF!,#REF!,C$30,#REF!,"All"))</f>
        <v>#REF!</v>
      </c>
      <c r="D37" s="36" t="e">
        <f>D36-(SUMIFS(#REF!,#REF!,D$30,#REF!,"All")+SUMIFS(#REF!,#REF!,D$30,#REF!,"All")+SUMIFS(#REF!,#REF!,D$30,#REF!,"All"))</f>
        <v>#REF!</v>
      </c>
      <c r="E37" s="36" t="e">
        <f>E36-(SUMIFS(#REF!,#REF!,E$30,#REF!,"All")+SUMIFS(#REF!,#REF!,E$30,#REF!,"All")+SUMIFS(#REF!,#REF!,E$30,#REF!,"All"))</f>
        <v>#REF!</v>
      </c>
      <c r="F37" s="36" t="e">
        <f>F36-(SUMIFS(#REF!,#REF!,F$30,#REF!,"All")+SUMIFS(#REF!,#REF!,F$30,#REF!,"All")+SUMIFS(#REF!,#REF!,F$30,#REF!,"All"))</f>
        <v>#REF!</v>
      </c>
    </row>
    <row r="38" spans="1:8" x14ac:dyDescent="0.2">
      <c r="A38" s="35" t="s">
        <v>85</v>
      </c>
      <c r="B38" s="36" t="e">
        <f>B35-SUMIFS(#REF!,#REF!,B$30,#REF!,"All")</f>
        <v>#REF!</v>
      </c>
      <c r="C38" s="36" t="e">
        <f>C35-SUMIFS(#REF!,#REF!,C$30,#REF!,"All")</f>
        <v>#REF!</v>
      </c>
      <c r="D38" s="36" t="e">
        <f>D35-SUMIFS(#REF!,#REF!,D$30,#REF!,"All")</f>
        <v>#REF!</v>
      </c>
      <c r="E38" s="36" t="e">
        <f>E35-SUMIFS(#REF!,#REF!,E$30,#REF!,"All")</f>
        <v>#REF!</v>
      </c>
      <c r="F38" s="36" t="e">
        <f>F35-SUMIFS(#REF!,#REF!,F$30,#REF!,"All")</f>
        <v>#REF!</v>
      </c>
    </row>
    <row r="41" spans="1:8" ht="16" x14ac:dyDescent="0.2">
      <c r="A41" s="13" t="s">
        <v>89</v>
      </c>
    </row>
    <row r="42" spans="1:8" ht="42" customHeight="1" x14ac:dyDescent="0.2">
      <c r="A42" s="14" t="s">
        <v>71</v>
      </c>
      <c r="B42" s="23">
        <v>2018</v>
      </c>
      <c r="C42" s="23">
        <v>2020</v>
      </c>
      <c r="D42" s="23">
        <v>2022</v>
      </c>
      <c r="E42" s="23">
        <v>2024</v>
      </c>
      <c r="F42" s="24">
        <v>2026</v>
      </c>
    </row>
    <row r="43" spans="1:8" x14ac:dyDescent="0.2">
      <c r="A43" s="19" t="s">
        <v>78</v>
      </c>
      <c r="B43" s="20" t="e">
        <f>IF(B24=0,"",B19/B24)</f>
        <v>#REF!</v>
      </c>
      <c r="C43" s="20" t="e">
        <f>IF(C24=0,"",C19/C24)</f>
        <v>#REF!</v>
      </c>
      <c r="D43" s="20" t="e">
        <f>IF(D24=0,"",D19/D24)</f>
        <v>#REF!</v>
      </c>
      <c r="E43" s="20" t="e">
        <f>IF(E24=0,"",E19/E24)</f>
        <v>#REF!</v>
      </c>
      <c r="F43" s="20" t="e">
        <f>IF(F24=0,"",F19/F24)</f>
        <v>#REF!</v>
      </c>
    </row>
    <row r="44" spans="1:8" x14ac:dyDescent="0.2">
      <c r="A44" s="19" t="s">
        <v>79</v>
      </c>
      <c r="B44" s="20" t="e">
        <f>IF(B24=0,"",B20/B24)</f>
        <v>#REF!</v>
      </c>
      <c r="C44" s="20" t="e">
        <f>IF(C24=0,"",C20/C24)</f>
        <v>#REF!</v>
      </c>
      <c r="D44" s="20" t="e">
        <f>IF(D24=0,"",D20/D24)</f>
        <v>#REF!</v>
      </c>
      <c r="E44" s="20" t="e">
        <f>IF(E24=0,"",E20/E24)</f>
        <v>#REF!</v>
      </c>
      <c r="F44" s="20" t="e">
        <f>IF(F24=0,"",F20/F24)</f>
        <v>#REF!</v>
      </c>
    </row>
    <row r="45" spans="1:8" x14ac:dyDescent="0.2">
      <c r="A45" s="19" t="s">
        <v>80</v>
      </c>
      <c r="B45" s="20" t="e">
        <f>IF(B24=0,"",B21/B24)</f>
        <v>#REF!</v>
      </c>
      <c r="C45" s="20" t="e">
        <f>IF(C24=0,"",C21/C24)</f>
        <v>#REF!</v>
      </c>
      <c r="D45" s="20" t="e">
        <f>IF(D24=0,"",D21/D24)</f>
        <v>#REF!</v>
      </c>
      <c r="E45" s="20" t="e">
        <f>IF(E24=0,"",E21/E24)</f>
        <v>#REF!</v>
      </c>
      <c r="F45" s="20" t="e">
        <f>IF(F24=0,"",F21/F24)</f>
        <v>#REF!</v>
      </c>
    </row>
    <row r="46" spans="1:8" x14ac:dyDescent="0.2">
      <c r="A46" s="19" t="s">
        <v>81</v>
      </c>
      <c r="B46" s="20" t="e">
        <f>IF(B24=0,"",B22/B24)</f>
        <v>#REF!</v>
      </c>
      <c r="C46" s="20" t="e">
        <f>IF(C24=0,"",C22/C24)</f>
        <v>#REF!</v>
      </c>
      <c r="D46" s="20" t="e">
        <f>IF(D24=0,"",D22/D24)</f>
        <v>#REF!</v>
      </c>
      <c r="E46" s="20" t="e">
        <f>IF(E24=0,"",E22/E24)</f>
        <v>#REF!</v>
      </c>
      <c r="F46" s="20" t="e">
        <f>IF(F24=0,"",F22/F24)</f>
        <v>#REF!</v>
      </c>
    </row>
    <row r="47" spans="1:8" x14ac:dyDescent="0.2">
      <c r="A47" s="27" t="s">
        <v>82</v>
      </c>
      <c r="B47" s="17" t="e">
        <f>IF(B24=0,"",B23/B24)</f>
        <v>#REF!</v>
      </c>
      <c r="C47" s="17" t="e">
        <f>IF(C24=0,"",C23/C24)</f>
        <v>#REF!</v>
      </c>
      <c r="D47" s="17" t="e">
        <f>IF(D24=0,"",D23/D24)</f>
        <v>#REF!</v>
      </c>
      <c r="E47" s="17" t="e">
        <f>IF(E24=0,"",E23/E24)</f>
        <v>#REF!</v>
      </c>
      <c r="F47" s="17" t="e">
        <f>IF(F24=0,"",F23/F24)</f>
        <v>#REF!</v>
      </c>
    </row>
    <row r="48" spans="1:8" x14ac:dyDescent="0.2">
      <c r="A48" s="31" t="s">
        <v>83</v>
      </c>
      <c r="B48" s="37" t="e">
        <f>IF(B24=0,"",B24/B24)</f>
        <v>#REF!</v>
      </c>
      <c r="C48" s="37" t="e">
        <f>IF(C24=0,"",C24/C24)</f>
        <v>#REF!</v>
      </c>
      <c r="D48" s="37" t="e">
        <f>IF(D24=0,"",D24/D24)</f>
        <v>#REF!</v>
      </c>
      <c r="E48" s="37" t="e">
        <f>IF(E24=0,"",E24/E24)</f>
        <v>#REF!</v>
      </c>
      <c r="F48" s="37" t="e">
        <f>IF(F24=0,"",F24/F24)</f>
        <v>#REF!</v>
      </c>
    </row>
    <row r="51" spans="1:6" ht="16" x14ac:dyDescent="0.2">
      <c r="A51" s="13" t="s">
        <v>90</v>
      </c>
    </row>
    <row r="52" spans="1:6" ht="42" customHeight="1" x14ac:dyDescent="0.2">
      <c r="A52" s="14" t="s">
        <v>71</v>
      </c>
      <c r="B52" s="23">
        <v>2018</v>
      </c>
      <c r="C52" s="23">
        <v>2020</v>
      </c>
      <c r="D52" s="23">
        <v>2022</v>
      </c>
      <c r="E52" s="23">
        <v>2024</v>
      </c>
      <c r="F52" s="24">
        <v>2026</v>
      </c>
    </row>
    <row r="53" spans="1:6" x14ac:dyDescent="0.2">
      <c r="A53" s="19" t="s">
        <v>78</v>
      </c>
      <c r="B53" s="20" t="e">
        <f>IF(B36=0,"",B31/B36)</f>
        <v>#REF!</v>
      </c>
      <c r="C53" s="20" t="e">
        <f>IF(C36=0,"",C31/C36)</f>
        <v>#REF!</v>
      </c>
      <c r="D53" s="20" t="e">
        <f>IF(D36=0,"",D31/D36)</f>
        <v>#REF!</v>
      </c>
      <c r="E53" s="20" t="e">
        <f>IF(E36=0,"",E31/E36)</f>
        <v>#REF!</v>
      </c>
      <c r="F53" s="20" t="e">
        <f>IF(F36=0,"",F31/F36)</f>
        <v>#REF!</v>
      </c>
    </row>
    <row r="54" spans="1:6" x14ac:dyDescent="0.2">
      <c r="A54" s="19" t="s">
        <v>79</v>
      </c>
      <c r="B54" s="20" t="e">
        <f>IF(B36=0,"",B32/B36)</f>
        <v>#REF!</v>
      </c>
      <c r="C54" s="20" t="e">
        <f>IF(C36=0,"",C32/C36)</f>
        <v>#REF!</v>
      </c>
      <c r="D54" s="20" t="e">
        <f>IF(D36=0,"",D32/D36)</f>
        <v>#REF!</v>
      </c>
      <c r="E54" s="20" t="e">
        <f>IF(E36=0,"",E32/E36)</f>
        <v>#REF!</v>
      </c>
      <c r="F54" s="20" t="e">
        <f>IF(F36=0,"",F32/F36)</f>
        <v>#REF!</v>
      </c>
    </row>
    <row r="55" spans="1:6" x14ac:dyDescent="0.2">
      <c r="A55" s="19" t="s">
        <v>80</v>
      </c>
      <c r="B55" s="20" t="e">
        <f>IF(B36=0,"",B33/B36)</f>
        <v>#REF!</v>
      </c>
      <c r="C55" s="20" t="e">
        <f>IF(C36=0,"",C33/C36)</f>
        <v>#REF!</v>
      </c>
      <c r="D55" s="20" t="e">
        <f>IF(D36=0,"",D33/D36)</f>
        <v>#REF!</v>
      </c>
      <c r="E55" s="20" t="e">
        <f>IF(E36=0,"",E33/E36)</f>
        <v>#REF!</v>
      </c>
      <c r="F55" s="20" t="e">
        <f>IF(F36=0,"",F33/F36)</f>
        <v>#REF!</v>
      </c>
    </row>
    <row r="56" spans="1:6" x14ac:dyDescent="0.2">
      <c r="A56" s="19" t="s">
        <v>81</v>
      </c>
      <c r="B56" s="20" t="e">
        <f>IF(B36=0,"",B34/B36)</f>
        <v>#REF!</v>
      </c>
      <c r="C56" s="20" t="e">
        <f>IF(C36=0,"",C34/C36)</f>
        <v>#REF!</v>
      </c>
      <c r="D56" s="20" t="e">
        <f>IF(D36=0,"",D34/D36)</f>
        <v>#REF!</v>
      </c>
      <c r="E56" s="20" t="e">
        <f>IF(E36=0,"",E34/E36)</f>
        <v>#REF!</v>
      </c>
      <c r="F56" s="20" t="e">
        <f>IF(F36=0,"",F34/F36)</f>
        <v>#REF!</v>
      </c>
    </row>
    <row r="57" spans="1:6" x14ac:dyDescent="0.2">
      <c r="A57" s="27" t="s">
        <v>82</v>
      </c>
      <c r="B57" s="17" t="e">
        <f>IF(B36=0,"",B35/B36)</f>
        <v>#REF!</v>
      </c>
      <c r="C57" s="17" t="e">
        <f>IF(C36=0,"",C35/C36)</f>
        <v>#REF!</v>
      </c>
      <c r="D57" s="17" t="e">
        <f>IF(D36=0,"",D35/D36)</f>
        <v>#REF!</v>
      </c>
      <c r="E57" s="17" t="e">
        <f>IF(E36=0,"",E35/E36)</f>
        <v>#REF!</v>
      </c>
      <c r="F57" s="17" t="e">
        <f>IF(F36=0,"",F35/F36)</f>
        <v>#REF!</v>
      </c>
    </row>
    <row r="58" spans="1:6" x14ac:dyDescent="0.2">
      <c r="A58" s="31" t="s">
        <v>83</v>
      </c>
      <c r="B58" s="37" t="e">
        <f>IF(B36=0,"",B36/B36)</f>
        <v>#REF!</v>
      </c>
      <c r="C58" s="37" t="e">
        <f>IF(C36=0,"",C36/C36)</f>
        <v>#REF!</v>
      </c>
      <c r="D58" s="37" t="e">
        <f>IF(D36=0,"",D36/D36)</f>
        <v>#REF!</v>
      </c>
      <c r="E58" s="37" t="e">
        <f>IF(E36=0,"",E36/E36)</f>
        <v>#REF!</v>
      </c>
      <c r="F58" s="37" t="e">
        <f>IF(F36=0,"",F36/F36)</f>
        <v>#REF!</v>
      </c>
    </row>
    <row r="61" spans="1:6" ht="16" x14ac:dyDescent="0.2">
      <c r="A61" s="13" t="s">
        <v>91</v>
      </c>
    </row>
    <row r="62" spans="1:6" ht="42" customHeight="1" x14ac:dyDescent="0.2">
      <c r="A62" s="14" t="s">
        <v>71</v>
      </c>
      <c r="B62" s="23">
        <v>2018</v>
      </c>
      <c r="C62" s="23">
        <v>2020</v>
      </c>
      <c r="D62" s="23">
        <v>2022</v>
      </c>
      <c r="E62" s="23">
        <v>2024</v>
      </c>
      <c r="F62" s="24">
        <v>2026</v>
      </c>
    </row>
    <row r="63" spans="1:6" x14ac:dyDescent="0.2">
      <c r="A63" s="19" t="s">
        <v>78</v>
      </c>
      <c r="B63" s="20" t="e">
        <f t="shared" ref="B63:F68" si="5">IF(B19=0,"",B31/B19)</f>
        <v>#REF!</v>
      </c>
      <c r="C63" s="20" t="e">
        <f t="shared" si="5"/>
        <v>#REF!</v>
      </c>
      <c r="D63" s="20" t="e">
        <f t="shared" si="5"/>
        <v>#REF!</v>
      </c>
      <c r="E63" s="20" t="e">
        <f t="shared" si="5"/>
        <v>#REF!</v>
      </c>
      <c r="F63" s="20" t="e">
        <f t="shared" si="5"/>
        <v>#REF!</v>
      </c>
    </row>
    <row r="64" spans="1:6" x14ac:dyDescent="0.2">
      <c r="A64" s="19" t="s">
        <v>79</v>
      </c>
      <c r="B64" s="20" t="e">
        <f t="shared" si="5"/>
        <v>#REF!</v>
      </c>
      <c r="C64" s="20" t="e">
        <f t="shared" si="5"/>
        <v>#REF!</v>
      </c>
      <c r="D64" s="20" t="e">
        <f t="shared" si="5"/>
        <v>#REF!</v>
      </c>
      <c r="E64" s="20" t="e">
        <f t="shared" si="5"/>
        <v>#REF!</v>
      </c>
      <c r="F64" s="20" t="e">
        <f t="shared" si="5"/>
        <v>#REF!</v>
      </c>
    </row>
    <row r="65" spans="1:12" x14ac:dyDescent="0.2">
      <c r="A65" s="19" t="s">
        <v>80</v>
      </c>
      <c r="B65" s="20" t="e">
        <f t="shared" si="5"/>
        <v>#REF!</v>
      </c>
      <c r="C65" s="20" t="e">
        <f t="shared" si="5"/>
        <v>#REF!</v>
      </c>
      <c r="D65" s="20" t="e">
        <f t="shared" si="5"/>
        <v>#REF!</v>
      </c>
      <c r="E65" s="20" t="e">
        <f t="shared" si="5"/>
        <v>#REF!</v>
      </c>
      <c r="F65" s="20" t="e">
        <f t="shared" si="5"/>
        <v>#REF!</v>
      </c>
    </row>
    <row r="66" spans="1:12" x14ac:dyDescent="0.2">
      <c r="A66" s="19" t="s">
        <v>81</v>
      </c>
      <c r="B66" s="20" t="e">
        <f t="shared" si="5"/>
        <v>#REF!</v>
      </c>
      <c r="C66" s="20" t="e">
        <f t="shared" si="5"/>
        <v>#REF!</v>
      </c>
      <c r="D66" s="20" t="e">
        <f t="shared" si="5"/>
        <v>#REF!</v>
      </c>
      <c r="E66" s="20" t="e">
        <f t="shared" si="5"/>
        <v>#REF!</v>
      </c>
      <c r="F66" s="20" t="e">
        <f t="shared" si="5"/>
        <v>#REF!</v>
      </c>
    </row>
    <row r="67" spans="1:12" x14ac:dyDescent="0.2">
      <c r="A67" s="27" t="s">
        <v>82</v>
      </c>
      <c r="B67" s="17" t="e">
        <f t="shared" si="5"/>
        <v>#REF!</v>
      </c>
      <c r="C67" s="17" t="e">
        <f t="shared" si="5"/>
        <v>#REF!</v>
      </c>
      <c r="D67" s="17" t="e">
        <f t="shared" si="5"/>
        <v>#REF!</v>
      </c>
      <c r="E67" s="17" t="e">
        <f t="shared" si="5"/>
        <v>#REF!</v>
      </c>
      <c r="F67" s="17" t="e">
        <f t="shared" si="5"/>
        <v>#REF!</v>
      </c>
    </row>
    <row r="68" spans="1:12" x14ac:dyDescent="0.2">
      <c r="A68" s="31" t="s">
        <v>83</v>
      </c>
      <c r="B68" s="37" t="e">
        <f t="shared" si="5"/>
        <v>#REF!</v>
      </c>
      <c r="C68" s="37" t="e">
        <f t="shared" si="5"/>
        <v>#REF!</v>
      </c>
      <c r="D68" s="37" t="e">
        <f t="shared" si="5"/>
        <v>#REF!</v>
      </c>
      <c r="E68" s="37" t="e">
        <f t="shared" si="5"/>
        <v>#REF!</v>
      </c>
      <c r="F68" s="37" t="e">
        <f t="shared" si="5"/>
        <v>#REF!</v>
      </c>
    </row>
    <row r="71" spans="1:12" ht="16" x14ac:dyDescent="0.2">
      <c r="A71" s="13" t="s">
        <v>92</v>
      </c>
    </row>
    <row r="72" spans="1:12" ht="30" customHeight="1" x14ac:dyDescent="0.2">
      <c r="A72" s="1" t="s">
        <v>93</v>
      </c>
      <c r="B72" s="1"/>
      <c r="C72" s="1"/>
      <c r="D72" s="1"/>
      <c r="E72" s="1"/>
      <c r="F72" s="1"/>
      <c r="G72" s="1"/>
      <c r="H72" s="1"/>
      <c r="I72" s="1"/>
      <c r="J72" s="1"/>
      <c r="K72" s="1"/>
      <c r="L72" s="1"/>
    </row>
    <row r="73" spans="1:12" ht="43.5" customHeight="1" x14ac:dyDescent="0.2">
      <c r="A73" s="1" t="s">
        <v>94</v>
      </c>
      <c r="B73" s="1"/>
      <c r="C73" s="1"/>
      <c r="D73" s="1"/>
      <c r="E73" s="1"/>
      <c r="F73" s="1"/>
      <c r="G73" s="1"/>
      <c r="H73" s="1"/>
      <c r="I73" s="1"/>
      <c r="J73" s="1"/>
      <c r="K73" s="1"/>
      <c r="L73" s="1"/>
    </row>
    <row r="74" spans="1:12" ht="16.5" customHeight="1" x14ac:dyDescent="0.2">
      <c r="A74" s="1" t="s">
        <v>95</v>
      </c>
      <c r="B74" s="1"/>
      <c r="C74" s="1"/>
      <c r="D74" s="1"/>
      <c r="E74" s="1"/>
      <c r="F74" s="1"/>
      <c r="G74" s="1"/>
      <c r="H74" s="1"/>
      <c r="I74" s="1"/>
      <c r="J74" s="1"/>
      <c r="K74" s="1"/>
      <c r="L74" s="1"/>
    </row>
    <row r="75" spans="1:12" ht="30" customHeight="1" x14ac:dyDescent="0.2">
      <c r="A75" s="1" t="s">
        <v>96</v>
      </c>
      <c r="B75" s="1"/>
      <c r="C75" s="1"/>
      <c r="D75" s="1"/>
      <c r="E75" s="1"/>
      <c r="F75" s="1"/>
      <c r="G75" s="1"/>
      <c r="H75" s="1"/>
      <c r="I75" s="1"/>
      <c r="J75" s="1"/>
      <c r="K75" s="1"/>
      <c r="L75" s="1"/>
    </row>
    <row r="76" spans="1:12" ht="30" customHeight="1" x14ac:dyDescent="0.2">
      <c r="A76" s="1" t="s">
        <v>97</v>
      </c>
      <c r="B76" s="1"/>
      <c r="C76" s="1"/>
      <c r="D76" s="1"/>
      <c r="E76" s="1"/>
      <c r="F76" s="1"/>
      <c r="G76" s="1"/>
      <c r="H76" s="1"/>
      <c r="I76" s="1"/>
      <c r="J76" s="1"/>
      <c r="K76" s="1"/>
      <c r="L76" s="1"/>
    </row>
    <row r="77" spans="1:12" ht="30" customHeight="1" x14ac:dyDescent="0.2">
      <c r="A77" s="1" t="s">
        <v>98</v>
      </c>
      <c r="B77" s="1"/>
      <c r="C77" s="1"/>
      <c r="D77" s="1"/>
      <c r="E77" s="1"/>
      <c r="F77" s="1"/>
      <c r="G77" s="1"/>
      <c r="H77" s="1"/>
      <c r="I77" s="1"/>
      <c r="J77" s="1"/>
      <c r="K77" s="1"/>
      <c r="L77" s="1"/>
    </row>
  </sheetData>
  <mergeCells count="6">
    <mergeCell ref="A77:L77"/>
    <mergeCell ref="A72:L72"/>
    <mergeCell ref="A73:L73"/>
    <mergeCell ref="A74:L74"/>
    <mergeCell ref="A75:L75"/>
    <mergeCell ref="A76:L76"/>
  </mergeCells>
  <pageMargins left="0.75" right="0.75" top="1" bottom="1" header="0.511811023622047" footer="0.511811023622047"/>
  <pageSetup fitToHeight="0" orientation="landscape"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0"/>
  <sheetViews>
    <sheetView topLeftCell="A14" zoomScaleNormal="100" workbookViewId="0"/>
  </sheetViews>
  <sheetFormatPr baseColWidth="10" defaultColWidth="14.5" defaultRowHeight="15" x14ac:dyDescent="0.2"/>
  <cols>
    <col min="1" max="1" width="22" customWidth="1"/>
    <col min="2" max="2" width="20" customWidth="1"/>
    <col min="3" max="3" width="13" customWidth="1"/>
    <col min="4" max="4" width="12" customWidth="1"/>
    <col min="5" max="5" width="14" customWidth="1"/>
    <col min="6" max="7" width="12" customWidth="1"/>
    <col min="8" max="8" width="13" customWidth="1"/>
    <col min="9" max="26" width="8.6640625" customWidth="1"/>
  </cols>
  <sheetData>
    <row r="1" spans="1:8" ht="16" x14ac:dyDescent="0.2">
      <c r="A1" s="5" t="s">
        <v>99</v>
      </c>
    </row>
    <row r="3" spans="1:8" ht="28" x14ac:dyDescent="0.2">
      <c r="A3" s="6" t="s">
        <v>71</v>
      </c>
      <c r="B3" s="6" t="s">
        <v>100</v>
      </c>
      <c r="C3" s="6" t="s">
        <v>101</v>
      </c>
      <c r="D3" s="6" t="s">
        <v>102</v>
      </c>
      <c r="E3" s="6" t="s">
        <v>103</v>
      </c>
      <c r="F3" s="6" t="s">
        <v>104</v>
      </c>
      <c r="G3" s="6" t="s">
        <v>105</v>
      </c>
      <c r="H3" s="6" t="s">
        <v>106</v>
      </c>
    </row>
    <row r="4" spans="1:8" x14ac:dyDescent="0.2">
      <c r="A4" s="7" t="s">
        <v>82</v>
      </c>
      <c r="B4" s="7" t="s">
        <v>107</v>
      </c>
      <c r="C4" s="8">
        <v>33039</v>
      </c>
      <c r="D4" s="38">
        <v>0.30000908017797201</v>
      </c>
      <c r="E4" s="9">
        <v>0.23326977208753299</v>
      </c>
      <c r="F4" s="9">
        <v>0.35785411405974599</v>
      </c>
      <c r="G4" s="9">
        <v>0.64464670810605096</v>
      </c>
      <c r="H4" s="9">
        <v>0.180402076953801</v>
      </c>
    </row>
    <row r="5" spans="1:8" x14ac:dyDescent="0.2">
      <c r="A5" s="7" t="s">
        <v>82</v>
      </c>
      <c r="B5" s="7" t="s">
        <v>108</v>
      </c>
      <c r="C5" s="8">
        <v>29840</v>
      </c>
      <c r="D5" s="38">
        <v>-6.1126005361930302E-2</v>
      </c>
      <c r="E5" s="9">
        <v>0.280764075067024</v>
      </c>
      <c r="F5" s="9">
        <v>0.32807892338212402</v>
      </c>
      <c r="G5" s="9">
        <v>0.61747136130437796</v>
      </c>
      <c r="H5" s="9">
        <v>0.132047720215722</v>
      </c>
    </row>
    <row r="6" spans="1:8" x14ac:dyDescent="0.2">
      <c r="A6" s="39" t="s">
        <v>82</v>
      </c>
      <c r="B6" s="39" t="s">
        <v>109</v>
      </c>
      <c r="C6" s="40">
        <v>3199</v>
      </c>
      <c r="D6" s="41">
        <v>0.36113508553990198</v>
      </c>
      <c r="E6" s="41">
        <v>-4.7494302979491199E-2</v>
      </c>
      <c r="F6" s="41">
        <v>2.9775190677621299E-2</v>
      </c>
      <c r="G6" s="41">
        <v>2.7175346801672599E-2</v>
      </c>
      <c r="H6" s="41">
        <v>4.8354356738079599E-2</v>
      </c>
    </row>
    <row r="7" spans="1:8" x14ac:dyDescent="0.2">
      <c r="A7" s="7" t="s">
        <v>81</v>
      </c>
      <c r="B7" s="7" t="s">
        <v>107</v>
      </c>
      <c r="C7" s="8">
        <v>56414</v>
      </c>
      <c r="D7" s="38">
        <v>0.18514907647038001</v>
      </c>
      <c r="E7" s="9">
        <v>0.23056333534229101</v>
      </c>
      <c r="F7" s="9">
        <v>0.41549785556972302</v>
      </c>
      <c r="G7" s="9">
        <v>0.69643144908592802</v>
      </c>
      <c r="H7" s="9">
        <v>0.16022690286883301</v>
      </c>
    </row>
    <row r="8" spans="1:8" x14ac:dyDescent="0.2">
      <c r="A8" s="7" t="s">
        <v>81</v>
      </c>
      <c r="B8" s="7" t="s">
        <v>108</v>
      </c>
      <c r="C8" s="8">
        <v>52051</v>
      </c>
      <c r="D8" s="38">
        <v>-2.6762213982440299E-2</v>
      </c>
      <c r="E8" s="9">
        <v>0.26981229947551399</v>
      </c>
      <c r="F8" s="9">
        <v>0.40777626773124998</v>
      </c>
      <c r="G8" s="9">
        <v>0.65814739951799694</v>
      </c>
      <c r="H8" s="9">
        <v>0.142790189032964</v>
      </c>
    </row>
    <row r="9" spans="1:8" x14ac:dyDescent="0.2">
      <c r="A9" s="39" t="s">
        <v>81</v>
      </c>
      <c r="B9" s="39" t="s">
        <v>109</v>
      </c>
      <c r="C9" s="40">
        <v>4363</v>
      </c>
      <c r="D9" s="41">
        <v>0.21191129045282001</v>
      </c>
      <c r="E9" s="41">
        <v>-3.9248964133223499E-2</v>
      </c>
      <c r="F9" s="41">
        <v>7.7215878384734897E-3</v>
      </c>
      <c r="G9" s="41">
        <v>3.8284049567930703E-2</v>
      </c>
      <c r="H9" s="41">
        <v>1.74367138358698E-2</v>
      </c>
    </row>
    <row r="10" spans="1:8" x14ac:dyDescent="0.2">
      <c r="A10" s="7" t="s">
        <v>80</v>
      </c>
      <c r="B10" s="7" t="s">
        <v>107</v>
      </c>
      <c r="C10" s="8">
        <v>49096</v>
      </c>
      <c r="D10" s="38">
        <v>7.2185106729672502E-2</v>
      </c>
      <c r="E10" s="9">
        <v>0.174189343327359</v>
      </c>
      <c r="F10" s="9">
        <v>0.57388772320472803</v>
      </c>
      <c r="G10" s="9">
        <v>0.79870462604275605</v>
      </c>
      <c r="H10" s="9">
        <v>0.15068646470676</v>
      </c>
    </row>
    <row r="11" spans="1:8" x14ac:dyDescent="0.2">
      <c r="A11" s="7" t="s">
        <v>80</v>
      </c>
      <c r="B11" s="7" t="s">
        <v>108</v>
      </c>
      <c r="C11" s="8">
        <v>46434</v>
      </c>
      <c r="D11" s="38">
        <v>-0.125920661584184</v>
      </c>
      <c r="E11" s="9">
        <v>0.20715424042727301</v>
      </c>
      <c r="F11" s="9">
        <v>0.58018674561603301</v>
      </c>
      <c r="G11" s="9">
        <v>0.77919826652221003</v>
      </c>
      <c r="H11" s="9">
        <v>0.12706076307112599</v>
      </c>
    </row>
    <row r="12" spans="1:8" x14ac:dyDescent="0.2">
      <c r="A12" s="39" t="s">
        <v>80</v>
      </c>
      <c r="B12" s="39" t="s">
        <v>109</v>
      </c>
      <c r="C12" s="40">
        <v>2662</v>
      </c>
      <c r="D12" s="41">
        <v>0.19810576831385701</v>
      </c>
      <c r="E12" s="41">
        <v>-3.29648970999145E-2</v>
      </c>
      <c r="F12" s="41">
        <v>-6.2990224113053097E-3</v>
      </c>
      <c r="G12" s="41">
        <v>1.9506359520545399E-2</v>
      </c>
      <c r="H12" s="41">
        <v>2.3625701635634402E-2</v>
      </c>
    </row>
    <row r="13" spans="1:8" x14ac:dyDescent="0.2">
      <c r="A13" s="7" t="s">
        <v>79</v>
      </c>
      <c r="B13" s="7" t="s">
        <v>107</v>
      </c>
      <c r="C13" s="8">
        <v>55687</v>
      </c>
      <c r="D13" s="38">
        <v>7.1452942338427305E-2</v>
      </c>
      <c r="E13" s="9">
        <v>0.10314795194569699</v>
      </c>
      <c r="F13" s="9">
        <v>0.74816299265197095</v>
      </c>
      <c r="G13" s="9">
        <v>0.87572749058541599</v>
      </c>
      <c r="H13" s="9">
        <v>0.29985119047619102</v>
      </c>
    </row>
    <row r="14" spans="1:8" x14ac:dyDescent="0.2">
      <c r="A14" s="7" t="s">
        <v>79</v>
      </c>
      <c r="B14" s="7" t="s">
        <v>108</v>
      </c>
      <c r="C14" s="8">
        <v>49388</v>
      </c>
      <c r="D14" s="38">
        <v>-0.10508625577063301</v>
      </c>
      <c r="E14" s="9">
        <v>0.13602494533084999</v>
      </c>
      <c r="F14" s="9">
        <v>0.76618938806314296</v>
      </c>
      <c r="G14" s="9">
        <v>0.86886378413524101</v>
      </c>
      <c r="H14" s="9">
        <v>0.24389843493488</v>
      </c>
    </row>
    <row r="15" spans="1:8" x14ac:dyDescent="0.2">
      <c r="A15" s="39" t="s">
        <v>79</v>
      </c>
      <c r="B15" s="39" t="s">
        <v>109</v>
      </c>
      <c r="C15" s="40">
        <v>6299</v>
      </c>
      <c r="D15" s="41">
        <v>0.17653919810905999</v>
      </c>
      <c r="E15" s="41">
        <v>-3.2876993385153097E-2</v>
      </c>
      <c r="F15" s="41">
        <v>-1.8026395411172701E-2</v>
      </c>
      <c r="G15" s="41">
        <v>6.8637064501754202E-3</v>
      </c>
      <c r="H15" s="41">
        <v>5.5952755541310302E-2</v>
      </c>
    </row>
    <row r="16" spans="1:8" x14ac:dyDescent="0.2">
      <c r="A16" s="7" t="s">
        <v>78</v>
      </c>
      <c r="B16" s="7" t="s">
        <v>107</v>
      </c>
      <c r="C16" s="8">
        <v>13893</v>
      </c>
      <c r="D16" s="38">
        <v>4.0452026200244698E-2</v>
      </c>
      <c r="E16" s="9">
        <v>6.2693442740948693E-2</v>
      </c>
      <c r="F16" s="9">
        <v>0.73908554572271401</v>
      </c>
      <c r="G16" s="9">
        <v>0.82009818076812002</v>
      </c>
      <c r="H16" s="9">
        <v>0.45539812412692099</v>
      </c>
    </row>
    <row r="17" spans="1:8" x14ac:dyDescent="0.2">
      <c r="A17" s="7" t="s">
        <v>78</v>
      </c>
      <c r="B17" s="7" t="s">
        <v>108</v>
      </c>
      <c r="C17" s="8">
        <v>9672</v>
      </c>
      <c r="D17" s="38">
        <v>-5.5624483043837901E-2</v>
      </c>
      <c r="E17" s="9">
        <v>9.09842845326716E-2</v>
      </c>
      <c r="F17" s="9">
        <v>0.80451762719020503</v>
      </c>
      <c r="G17" s="9">
        <v>0.85875530703116898</v>
      </c>
      <c r="H17" s="9">
        <v>0.36958803463657802</v>
      </c>
    </row>
    <row r="18" spans="1:8" x14ac:dyDescent="0.2">
      <c r="A18" s="39" t="s">
        <v>78</v>
      </c>
      <c r="B18" s="39" t="s">
        <v>109</v>
      </c>
      <c r="C18" s="40">
        <v>4221</v>
      </c>
      <c r="D18" s="41">
        <v>9.6076509244082606E-2</v>
      </c>
      <c r="E18" s="41">
        <v>-2.8290841791723E-2</v>
      </c>
      <c r="F18" s="41">
        <v>-6.5432081467490896E-2</v>
      </c>
      <c r="G18" s="41">
        <v>-3.8657126263048999E-2</v>
      </c>
      <c r="H18" s="41">
        <v>8.5810089490342495E-2</v>
      </c>
    </row>
    <row r="21" spans="1:8" ht="15.75" customHeight="1" x14ac:dyDescent="0.2">
      <c r="A21" s="5" t="s">
        <v>110</v>
      </c>
    </row>
    <row r="22" spans="1:8" ht="15.75" customHeight="1" x14ac:dyDescent="0.2">
      <c r="A22" s="6" t="s">
        <v>71</v>
      </c>
      <c r="B22" s="6" t="s">
        <v>100</v>
      </c>
      <c r="C22" s="6" t="s">
        <v>111</v>
      </c>
      <c r="D22" s="6" t="s">
        <v>112</v>
      </c>
      <c r="E22" s="6" t="s">
        <v>113</v>
      </c>
      <c r="F22" s="6" t="s">
        <v>114</v>
      </c>
      <c r="G22" s="6" t="s">
        <v>115</v>
      </c>
    </row>
    <row r="23" spans="1:8" ht="15.75" customHeight="1" x14ac:dyDescent="0.2">
      <c r="A23" s="7" t="s">
        <v>82</v>
      </c>
      <c r="B23" s="7" t="s">
        <v>107</v>
      </c>
      <c r="C23" s="38">
        <v>0.33597883597883599</v>
      </c>
      <c r="D23" s="38">
        <v>0.31654585565710702</v>
      </c>
      <c r="E23" s="38">
        <v>0.33260279193863501</v>
      </c>
      <c r="F23" s="38">
        <v>0.29776100469364503</v>
      </c>
      <c r="G23" s="38">
        <v>0.30000908017797201</v>
      </c>
    </row>
    <row r="24" spans="1:8" ht="15.75" customHeight="1" x14ac:dyDescent="0.2">
      <c r="A24" s="7" t="s">
        <v>82</v>
      </c>
      <c r="B24" s="7" t="s">
        <v>108</v>
      </c>
      <c r="C24" s="38">
        <v>5.3896576839038597E-3</v>
      </c>
      <c r="D24" s="38">
        <v>-4.35412641457356E-2</v>
      </c>
      <c r="E24" s="38">
        <v>-3.8228513216449503E-2</v>
      </c>
      <c r="F24" s="38">
        <v>-6.4199873497786206E-2</v>
      </c>
      <c r="G24" s="38">
        <v>-6.1126005361930302E-2</v>
      </c>
    </row>
    <row r="25" spans="1:8" ht="15.75" customHeight="1" x14ac:dyDescent="0.2">
      <c r="A25" s="7" t="s">
        <v>81</v>
      </c>
      <c r="B25" s="7" t="s">
        <v>107</v>
      </c>
      <c r="C25" s="38">
        <v>0.21340137766894801</v>
      </c>
      <c r="D25" s="38">
        <v>0.203275976842233</v>
      </c>
      <c r="E25" s="38">
        <v>0.20140257331633199</v>
      </c>
      <c r="F25" s="38">
        <v>0.18550018800694701</v>
      </c>
      <c r="G25" s="38">
        <v>0.18514907647038001</v>
      </c>
    </row>
    <row r="26" spans="1:8" ht="15.75" customHeight="1" x14ac:dyDescent="0.2">
      <c r="A26" s="7" t="s">
        <v>81</v>
      </c>
      <c r="B26" s="7" t="s">
        <v>108</v>
      </c>
      <c r="C26" s="38">
        <v>-9.8377411524211093E-3</v>
      </c>
      <c r="D26" s="38">
        <v>-1.77638453500523E-2</v>
      </c>
      <c r="E26" s="38">
        <v>-1.6159857300603101E-2</v>
      </c>
      <c r="F26" s="38">
        <v>-2.7617974034051199E-2</v>
      </c>
      <c r="G26" s="38">
        <v>-2.6762213982440299E-2</v>
      </c>
    </row>
    <row r="27" spans="1:8" ht="15.75" customHeight="1" x14ac:dyDescent="0.2">
      <c r="A27" s="7" t="s">
        <v>80</v>
      </c>
      <c r="B27" s="7" t="s">
        <v>107</v>
      </c>
      <c r="C27" s="38">
        <v>8.1352014340975595E-2</v>
      </c>
      <c r="D27" s="38">
        <v>7.4600355239786906E-2</v>
      </c>
      <c r="E27" s="38">
        <v>7.5579154712456603E-2</v>
      </c>
      <c r="F27" s="38">
        <v>7.1327553341941796E-2</v>
      </c>
      <c r="G27" s="38">
        <v>7.2185106729672502E-2</v>
      </c>
    </row>
    <row r="28" spans="1:8" ht="15.75" customHeight="1" x14ac:dyDescent="0.2">
      <c r="A28" s="7" t="s">
        <v>80</v>
      </c>
      <c r="B28" s="7" t="s">
        <v>108</v>
      </c>
      <c r="C28" s="38">
        <v>-0.127990491123363</v>
      </c>
      <c r="D28" s="38">
        <v>-0.130871070359281</v>
      </c>
      <c r="E28" s="38">
        <v>-0.12723753131405199</v>
      </c>
      <c r="F28" s="38">
        <v>-0.12686890574214499</v>
      </c>
      <c r="G28" s="38">
        <v>-0.125920661584184</v>
      </c>
    </row>
    <row r="29" spans="1:8" ht="15.75" customHeight="1" x14ac:dyDescent="0.2">
      <c r="A29" s="7" t="s">
        <v>79</v>
      </c>
      <c r="B29" s="7" t="s">
        <v>107</v>
      </c>
      <c r="C29" s="38">
        <v>7.4226804123711299E-2</v>
      </c>
      <c r="D29" s="38">
        <v>7.2074107546317198E-2</v>
      </c>
      <c r="E29" s="38">
        <v>7.1643286573146295E-2</v>
      </c>
      <c r="F29" s="38">
        <v>7.0902178417629205E-2</v>
      </c>
      <c r="G29" s="38">
        <v>7.1452942338427305E-2</v>
      </c>
    </row>
    <row r="30" spans="1:8" ht="15.75" customHeight="1" x14ac:dyDescent="0.2">
      <c r="A30" s="7" t="s">
        <v>79</v>
      </c>
      <c r="B30" s="7" t="s">
        <v>108</v>
      </c>
      <c r="C30" s="38">
        <v>-0.10764395555056699</v>
      </c>
      <c r="D30" s="38">
        <v>-0.108118474323461</v>
      </c>
      <c r="E30" s="38">
        <v>-0.106601538751808</v>
      </c>
      <c r="F30" s="38">
        <v>-0.105880201560468</v>
      </c>
      <c r="G30" s="38">
        <v>-0.10508625577063301</v>
      </c>
    </row>
    <row r="31" spans="1:8" ht="15.75" customHeight="1" x14ac:dyDescent="0.2">
      <c r="A31" s="7" t="s">
        <v>78</v>
      </c>
      <c r="B31" s="7" t="s">
        <v>107</v>
      </c>
      <c r="C31" s="38">
        <v>3.6293733179546303E-2</v>
      </c>
      <c r="D31" s="38">
        <v>3.9573706960798899E-2</v>
      </c>
      <c r="E31" s="38">
        <v>4.0707964601769897E-2</v>
      </c>
      <c r="F31" s="38">
        <v>4.0210799884493199E-2</v>
      </c>
      <c r="G31" s="38">
        <v>4.0452026200244698E-2</v>
      </c>
    </row>
    <row r="32" spans="1:8" ht="15.75" customHeight="1" x14ac:dyDescent="0.2">
      <c r="A32" s="7" t="s">
        <v>78</v>
      </c>
      <c r="B32" s="7" t="s">
        <v>108</v>
      </c>
      <c r="C32" s="38">
        <v>-5.9512088392954798E-2</v>
      </c>
      <c r="D32" s="38">
        <v>-5.6887184403962898E-2</v>
      </c>
      <c r="E32" s="38">
        <v>-5.5942579691788098E-2</v>
      </c>
      <c r="F32" s="38">
        <v>-5.6125090607849197E-2</v>
      </c>
      <c r="G32" s="38">
        <v>-5.5624483043837901E-2</v>
      </c>
    </row>
    <row r="33" spans="1:7" ht="15.75" customHeight="1" x14ac:dyDescent="0.2"/>
    <row r="34" spans="1:7" ht="15.75" customHeight="1" x14ac:dyDescent="0.2"/>
    <row r="35" spans="1:7" ht="15.75" customHeight="1" x14ac:dyDescent="0.2">
      <c r="A35" s="5" t="s">
        <v>116</v>
      </c>
    </row>
    <row r="36" spans="1:7" ht="15.75" customHeight="1" x14ac:dyDescent="0.2">
      <c r="A36" s="6" t="s">
        <v>71</v>
      </c>
      <c r="B36" s="6" t="s">
        <v>100</v>
      </c>
      <c r="C36" s="6" t="s">
        <v>111</v>
      </c>
      <c r="D36" s="6" t="s">
        <v>112</v>
      </c>
      <c r="E36" s="6" t="s">
        <v>113</v>
      </c>
      <c r="F36" s="6" t="s">
        <v>114</v>
      </c>
      <c r="G36" s="6" t="s">
        <v>117</v>
      </c>
    </row>
    <row r="37" spans="1:7" ht="15.75" customHeight="1" x14ac:dyDescent="0.2">
      <c r="A37" s="7" t="s">
        <v>82</v>
      </c>
      <c r="B37" s="7" t="s">
        <v>107</v>
      </c>
      <c r="C37" s="9">
        <v>0.283730158730159</v>
      </c>
      <c r="D37" s="9">
        <v>0.59004097069019901</v>
      </c>
      <c r="E37" s="9">
        <v>0.35785411405974599</v>
      </c>
      <c r="F37" s="9">
        <v>0.64464670810605096</v>
      </c>
      <c r="G37" s="9">
        <v>8.7744786464481403E-2</v>
      </c>
    </row>
    <row r="38" spans="1:7" ht="15.75" customHeight="1" x14ac:dyDescent="0.2">
      <c r="A38" s="7" t="s">
        <v>82</v>
      </c>
      <c r="B38" s="7" t="s">
        <v>108</v>
      </c>
      <c r="C38" s="9">
        <v>0.30167516387472698</v>
      </c>
      <c r="D38" s="9">
        <v>0.59508694452111499</v>
      </c>
      <c r="E38" s="9">
        <v>0.32807892338212402</v>
      </c>
      <c r="F38" s="9">
        <v>0.61747136130437796</v>
      </c>
      <c r="G38" s="9">
        <v>6.7794906166219901E-2</v>
      </c>
    </row>
    <row r="39" spans="1:7" ht="15.75" customHeight="1" x14ac:dyDescent="0.2">
      <c r="A39" s="7" t="s">
        <v>81</v>
      </c>
      <c r="B39" s="7" t="s">
        <v>107</v>
      </c>
      <c r="C39" s="9">
        <v>0.35842277501887998</v>
      </c>
      <c r="D39" s="9">
        <v>0.61727149859802699</v>
      </c>
      <c r="E39" s="9">
        <v>0.41549785556972302</v>
      </c>
      <c r="F39" s="9">
        <v>0.69643144908592802</v>
      </c>
      <c r="G39" s="9">
        <v>0.110593115184174</v>
      </c>
    </row>
    <row r="40" spans="1:7" ht="15.75" customHeight="1" x14ac:dyDescent="0.2">
      <c r="A40" s="7" t="s">
        <v>81</v>
      </c>
      <c r="B40" s="7" t="s">
        <v>108</v>
      </c>
      <c r="C40" s="9">
        <v>0.33839274306886402</v>
      </c>
      <c r="D40" s="9">
        <v>0.58883034304897797</v>
      </c>
      <c r="E40" s="9">
        <v>0.40777626773124998</v>
      </c>
      <c r="F40" s="9">
        <v>0.65814739951799694</v>
      </c>
      <c r="G40" s="9">
        <v>9.46955870204223E-2</v>
      </c>
    </row>
    <row r="41" spans="1:7" ht="15.75" customHeight="1" x14ac:dyDescent="0.2">
      <c r="A41" s="7" t="s">
        <v>80</v>
      </c>
      <c r="B41" s="7" t="s">
        <v>107</v>
      </c>
      <c r="C41" s="9">
        <v>0.51934144730635001</v>
      </c>
      <c r="D41" s="9">
        <v>0.76975199000065797</v>
      </c>
      <c r="E41" s="9">
        <v>0.57388772320472803</v>
      </c>
      <c r="F41" s="9">
        <v>0.79870462604275605</v>
      </c>
      <c r="G41" s="9">
        <v>0.179546195209386</v>
      </c>
    </row>
    <row r="42" spans="1:7" ht="15.75" customHeight="1" x14ac:dyDescent="0.2">
      <c r="A42" s="7" t="s">
        <v>80</v>
      </c>
      <c r="B42" s="7" t="s">
        <v>108</v>
      </c>
      <c r="C42" s="9">
        <v>0.51674169237772505</v>
      </c>
      <c r="D42" s="9">
        <v>0.74768431886227604</v>
      </c>
      <c r="E42" s="9">
        <v>0.58018674561603301</v>
      </c>
      <c r="F42" s="9">
        <v>0.77919826652221003</v>
      </c>
      <c r="G42" s="9">
        <v>0.157643106344489</v>
      </c>
    </row>
    <row r="43" spans="1:7" ht="15.75" customHeight="1" x14ac:dyDescent="0.2">
      <c r="A43" s="7" t="s">
        <v>79</v>
      </c>
      <c r="B43" s="7" t="s">
        <v>107</v>
      </c>
      <c r="C43" s="9">
        <v>0.69155432196669298</v>
      </c>
      <c r="D43" s="9">
        <v>0.84933724958578105</v>
      </c>
      <c r="E43" s="9">
        <v>0.74816299265197095</v>
      </c>
      <c r="F43" s="9">
        <v>0.87572749058541599</v>
      </c>
      <c r="G43" s="9">
        <v>0.40079372205362102</v>
      </c>
    </row>
    <row r="44" spans="1:7" ht="15.75" customHeight="1" x14ac:dyDescent="0.2">
      <c r="A44" s="7" t="s">
        <v>79</v>
      </c>
      <c r="B44" s="7" t="s">
        <v>108</v>
      </c>
      <c r="C44" s="9">
        <v>0.71114603210236804</v>
      </c>
      <c r="D44" s="9">
        <v>0.84515235457063698</v>
      </c>
      <c r="E44" s="9">
        <v>0.76618938806314296</v>
      </c>
      <c r="F44" s="9">
        <v>0.86886378413524101</v>
      </c>
      <c r="G44" s="9">
        <v>0.37630598525957698</v>
      </c>
    </row>
    <row r="45" spans="1:7" ht="15.75" customHeight="1" x14ac:dyDescent="0.2">
      <c r="A45" s="7" t="s">
        <v>78</v>
      </c>
      <c r="B45" s="7" t="s">
        <v>107</v>
      </c>
      <c r="C45" s="9">
        <v>0.74163783160323005</v>
      </c>
      <c r="D45" s="9">
        <v>0.84781636607542099</v>
      </c>
      <c r="E45" s="9">
        <v>0.73908554572271401</v>
      </c>
      <c r="F45" s="9">
        <v>0.82009818076812002</v>
      </c>
      <c r="G45" s="9">
        <v>0.412006046210322</v>
      </c>
    </row>
    <row r="46" spans="1:7" ht="15.75" customHeight="1" x14ac:dyDescent="0.2">
      <c r="A46" s="7" t="s">
        <v>78</v>
      </c>
      <c r="B46" s="7" t="s">
        <v>108</v>
      </c>
      <c r="C46" s="9">
        <v>0.80571053495241196</v>
      </c>
      <c r="D46" s="9">
        <v>0.87120485778203904</v>
      </c>
      <c r="E46" s="9">
        <v>0.80451762719020503</v>
      </c>
      <c r="F46" s="9">
        <v>0.85875530703116898</v>
      </c>
      <c r="G46" s="9">
        <v>0.44127377998345702</v>
      </c>
    </row>
    <row r="47" spans="1:7" ht="15.75" customHeight="1" x14ac:dyDescent="0.2"/>
    <row r="48" spans="1:7" ht="15.75" customHeight="1" x14ac:dyDescent="0.2">
      <c r="A48" s="3" t="s">
        <v>118</v>
      </c>
    </row>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000"/>
  <sheetViews>
    <sheetView zoomScaleNormal="100" workbookViewId="0">
      <pane xSplit="3" ySplit="3" topLeftCell="D4" activePane="bottomRight" state="frozen"/>
      <selection pane="topRight" activeCell="D1" sqref="D1"/>
      <selection pane="bottomLeft" activeCell="A4" sqref="A4"/>
      <selection pane="bottomRight" activeCell="D4" sqref="D4"/>
    </sheetView>
  </sheetViews>
  <sheetFormatPr baseColWidth="10" defaultColWidth="14.5" defaultRowHeight="15" x14ac:dyDescent="0.2"/>
  <cols>
    <col min="1" max="1" width="7" customWidth="1"/>
    <col min="2" max="2" width="12" customWidth="1"/>
    <col min="3" max="3" width="22" customWidth="1"/>
    <col min="4" max="5" width="12" customWidth="1"/>
    <col min="6" max="6" width="11" customWidth="1"/>
    <col min="7" max="7" width="10" customWidth="1"/>
    <col min="8" max="8" width="11" customWidth="1"/>
    <col min="9" max="9" width="12" customWidth="1"/>
    <col min="10" max="11" width="11" customWidth="1"/>
    <col min="12" max="14" width="12" customWidth="1"/>
    <col min="15" max="15" width="11" customWidth="1"/>
    <col min="16" max="16" width="10" customWidth="1"/>
    <col min="17" max="23" width="8.6640625" customWidth="1"/>
  </cols>
  <sheetData>
    <row r="1" spans="1:16" ht="16" x14ac:dyDescent="0.2">
      <c r="A1" s="5" t="s">
        <v>119</v>
      </c>
    </row>
    <row r="3" spans="1:16" ht="42" x14ac:dyDescent="0.2">
      <c r="A3" s="6" t="s">
        <v>120</v>
      </c>
      <c r="B3" s="6" t="s">
        <v>121</v>
      </c>
      <c r="C3" s="6" t="s">
        <v>122</v>
      </c>
      <c r="D3" s="6" t="s">
        <v>123</v>
      </c>
      <c r="E3" s="6" t="s">
        <v>124</v>
      </c>
      <c r="F3" s="6" t="s">
        <v>125</v>
      </c>
      <c r="G3" s="6" t="s">
        <v>126</v>
      </c>
      <c r="H3" s="6" t="s">
        <v>102</v>
      </c>
      <c r="I3" s="6" t="s">
        <v>127</v>
      </c>
      <c r="J3" s="6" t="s">
        <v>128</v>
      </c>
      <c r="K3" s="6" t="s">
        <v>129</v>
      </c>
      <c r="L3" s="6" t="s">
        <v>103</v>
      </c>
      <c r="M3" s="6" t="s">
        <v>130</v>
      </c>
      <c r="N3" s="6" t="s">
        <v>131</v>
      </c>
      <c r="O3" s="6" t="s">
        <v>132</v>
      </c>
      <c r="P3" s="6" t="s">
        <v>133</v>
      </c>
    </row>
    <row r="4" spans="1:16" x14ac:dyDescent="0.2">
      <c r="A4" s="7">
        <v>1</v>
      </c>
      <c r="B4" s="7" t="s">
        <v>134</v>
      </c>
      <c r="C4" s="7" t="s">
        <v>135</v>
      </c>
      <c r="D4" s="8">
        <v>13077</v>
      </c>
      <c r="E4" s="9">
        <v>0.18729858634469099</v>
      </c>
      <c r="F4" s="8">
        <v>5017</v>
      </c>
      <c r="G4" s="8">
        <v>3938</v>
      </c>
      <c r="H4" s="38">
        <v>0.356197904718208</v>
      </c>
      <c r="I4" s="38">
        <v>0.47518437313135298</v>
      </c>
      <c r="J4" s="38">
        <v>0.22778059928897901</v>
      </c>
      <c r="K4" s="38">
        <v>0.247403773842374</v>
      </c>
      <c r="L4" s="9">
        <v>0.33623919859294898</v>
      </c>
      <c r="M4" s="9">
        <v>0.21426581220395699</v>
      </c>
      <c r="N4" s="9">
        <v>0.45252732240437199</v>
      </c>
      <c r="O4" s="42">
        <v>10406</v>
      </c>
      <c r="P4" s="38">
        <v>3.8959191314114601</v>
      </c>
    </row>
    <row r="5" spans="1:16" x14ac:dyDescent="0.2">
      <c r="A5" s="7">
        <v>2</v>
      </c>
      <c r="B5" s="7" t="s">
        <v>136</v>
      </c>
      <c r="C5" s="7" t="s">
        <v>137</v>
      </c>
      <c r="D5" s="8">
        <v>9955</v>
      </c>
      <c r="E5" s="9">
        <v>0.25371460611157798</v>
      </c>
      <c r="F5" s="8">
        <v>4279</v>
      </c>
      <c r="G5" s="8">
        <v>3583</v>
      </c>
      <c r="H5" s="38">
        <v>0.38282270215971897</v>
      </c>
      <c r="I5" s="38">
        <v>0.55760691750408997</v>
      </c>
      <c r="J5" s="38">
        <v>0.20541445715880599</v>
      </c>
      <c r="K5" s="38">
        <v>0.35219246034528401</v>
      </c>
      <c r="L5" s="9">
        <v>0.303566047212456</v>
      </c>
      <c r="M5" s="9">
        <v>0.30007515971439302</v>
      </c>
      <c r="N5" s="9">
        <v>0.53397632617273105</v>
      </c>
      <c r="O5" s="42">
        <v>8031</v>
      </c>
      <c r="P5" s="38">
        <v>4.1741164241164199</v>
      </c>
    </row>
    <row r="6" spans="1:16" x14ac:dyDescent="0.2">
      <c r="A6" s="7">
        <v>3</v>
      </c>
      <c r="B6" s="7" t="s">
        <v>136</v>
      </c>
      <c r="C6" s="7" t="s">
        <v>138</v>
      </c>
      <c r="D6" s="8">
        <v>4369</v>
      </c>
      <c r="E6" s="9">
        <v>0.253481086098863</v>
      </c>
      <c r="F6" s="8">
        <v>1879</v>
      </c>
      <c r="G6" s="8">
        <v>1533</v>
      </c>
      <c r="H6" s="38">
        <v>0.417257953765164</v>
      </c>
      <c r="I6" s="38">
        <v>0.55561468866418295</v>
      </c>
      <c r="J6" s="38">
        <v>0.30202217873450798</v>
      </c>
      <c r="K6" s="38">
        <v>0.25359250992967602</v>
      </c>
      <c r="L6" s="9">
        <v>0.297093156328679</v>
      </c>
      <c r="M6" s="9">
        <v>0.32860520094562701</v>
      </c>
      <c r="N6" s="9">
        <v>0.602889885401096</v>
      </c>
      <c r="O6" s="42">
        <v>3746</v>
      </c>
      <c r="P6" s="38">
        <v>6.0128410914927803</v>
      </c>
    </row>
    <row r="7" spans="1:16" x14ac:dyDescent="0.2">
      <c r="A7" s="7">
        <v>4</v>
      </c>
      <c r="B7" s="7" t="s">
        <v>134</v>
      </c>
      <c r="C7" s="7" t="s">
        <v>139</v>
      </c>
      <c r="D7" s="8">
        <v>3544</v>
      </c>
      <c r="E7" s="9">
        <v>0.145508293644277</v>
      </c>
      <c r="F7" s="8">
        <v>1445</v>
      </c>
      <c r="G7" s="8">
        <v>1319</v>
      </c>
      <c r="H7" s="38">
        <v>8.0417607223476295E-2</v>
      </c>
      <c r="I7" s="38">
        <v>0.25951557093425598</v>
      </c>
      <c r="J7" s="38">
        <v>-0.100075815011372</v>
      </c>
      <c r="K7" s="38">
        <v>0.35959138594562801</v>
      </c>
      <c r="L7" s="9">
        <v>0.26382618510158001</v>
      </c>
      <c r="M7" s="9">
        <v>0.42051756007393698</v>
      </c>
      <c r="N7" s="9">
        <v>0.69207034865782202</v>
      </c>
      <c r="O7" s="42">
        <v>2779</v>
      </c>
      <c r="P7" s="38">
        <v>3.6326797385620901</v>
      </c>
    </row>
    <row r="8" spans="1:16" x14ac:dyDescent="0.2">
      <c r="A8" s="7">
        <v>5</v>
      </c>
      <c r="B8" s="7" t="s">
        <v>134</v>
      </c>
      <c r="C8" s="7" t="s">
        <v>140</v>
      </c>
      <c r="D8" s="8">
        <v>3167</v>
      </c>
      <c r="E8" s="9">
        <v>0.16278591621691099</v>
      </c>
      <c r="F8" s="8">
        <v>1279</v>
      </c>
      <c r="G8" s="8">
        <v>1140</v>
      </c>
      <c r="H8" s="38">
        <v>8.9674771076728804E-2</v>
      </c>
      <c r="I8" s="38">
        <v>0.28459734167318201</v>
      </c>
      <c r="J8" s="38">
        <v>-9.6491228070175405E-2</v>
      </c>
      <c r="K8" s="38">
        <v>0.38108856974335797</v>
      </c>
      <c r="L8" s="9">
        <v>0.25165772023997501</v>
      </c>
      <c r="M8" s="9">
        <v>0.39979808177687998</v>
      </c>
      <c r="N8" s="9">
        <v>0.68965517241379304</v>
      </c>
      <c r="O8" s="42">
        <v>2443</v>
      </c>
      <c r="P8" s="38">
        <v>3.3743093922651899</v>
      </c>
    </row>
    <row r="9" spans="1:16" x14ac:dyDescent="0.2">
      <c r="A9" s="7">
        <v>6</v>
      </c>
      <c r="B9" s="7" t="s">
        <v>136</v>
      </c>
      <c r="C9" s="7" t="s">
        <v>141</v>
      </c>
      <c r="D9" s="8">
        <v>2787</v>
      </c>
      <c r="E9" s="9">
        <v>0.13979735152487999</v>
      </c>
      <c r="F9" s="8">
        <v>1079</v>
      </c>
      <c r="G9" s="8">
        <v>1064</v>
      </c>
      <c r="H9" s="38">
        <v>0.14388231072838201</v>
      </c>
      <c r="I9" s="38">
        <v>0.32530120481927699</v>
      </c>
      <c r="J9" s="38">
        <v>-2.7255639097744401E-2</v>
      </c>
      <c r="K9" s="38">
        <v>0.35255684391702202</v>
      </c>
      <c r="L9" s="9">
        <v>0.271977036239684</v>
      </c>
      <c r="M9" s="9">
        <v>0.38284398388025298</v>
      </c>
      <c r="N9" s="9">
        <v>0.668895005898545</v>
      </c>
      <c r="O9" s="42">
        <v>2147</v>
      </c>
      <c r="P9" s="38">
        <v>3.3546874999999998</v>
      </c>
    </row>
    <row r="10" spans="1:16" x14ac:dyDescent="0.2">
      <c r="A10" s="7">
        <v>7</v>
      </c>
      <c r="B10" s="7" t="s">
        <v>134</v>
      </c>
      <c r="C10" s="7" t="s">
        <v>142</v>
      </c>
      <c r="D10" s="8">
        <v>2696</v>
      </c>
      <c r="E10" s="9">
        <v>0.14481387978729099</v>
      </c>
      <c r="F10" s="8">
        <v>1053</v>
      </c>
      <c r="G10" s="8">
        <v>920</v>
      </c>
      <c r="H10" s="38">
        <v>0.14725519287833799</v>
      </c>
      <c r="I10" s="38">
        <v>0.35897435897435898</v>
      </c>
      <c r="J10" s="38">
        <v>-7.1739130434782597E-2</v>
      </c>
      <c r="K10" s="38">
        <v>0.430713489409142</v>
      </c>
      <c r="L10" s="9">
        <v>0.28449554896142398</v>
      </c>
      <c r="M10" s="9">
        <v>0.33864053888548701</v>
      </c>
      <c r="N10" s="9">
        <v>0.62850182704019497</v>
      </c>
      <c r="O10" s="42">
        <v>2116</v>
      </c>
      <c r="P10" s="38">
        <v>3.6482758620689699</v>
      </c>
    </row>
    <row r="11" spans="1:16" x14ac:dyDescent="0.2">
      <c r="A11" s="7">
        <v>8</v>
      </c>
      <c r="B11" s="7" t="s">
        <v>136</v>
      </c>
      <c r="C11" s="7" t="s">
        <v>143</v>
      </c>
      <c r="D11" s="8">
        <v>2455</v>
      </c>
      <c r="E11" s="9">
        <v>0.14144964277483299</v>
      </c>
      <c r="F11" s="8">
        <v>937</v>
      </c>
      <c r="G11" s="8">
        <v>924</v>
      </c>
      <c r="H11" s="38">
        <v>0.118126272912424</v>
      </c>
      <c r="I11" s="38">
        <v>0.33404482390608298</v>
      </c>
      <c r="J11" s="38">
        <v>-9.5238095238095205E-2</v>
      </c>
      <c r="K11" s="38">
        <v>0.42928291914417899</v>
      </c>
      <c r="L11" s="9">
        <v>0.267617107942974</v>
      </c>
      <c r="M11" s="9">
        <v>0.36065573770491799</v>
      </c>
      <c r="N11" s="9">
        <v>0.681003584229391</v>
      </c>
      <c r="O11" s="42">
        <v>1925</v>
      </c>
      <c r="P11" s="38">
        <v>3.6320754716981098</v>
      </c>
    </row>
    <row r="12" spans="1:16" x14ac:dyDescent="0.2">
      <c r="A12" s="7">
        <v>9</v>
      </c>
      <c r="B12" s="7" t="s">
        <v>134</v>
      </c>
      <c r="C12" s="7" t="s">
        <v>137</v>
      </c>
      <c r="D12" s="8">
        <v>2012</v>
      </c>
      <c r="E12" s="9">
        <v>0.147183613752743</v>
      </c>
      <c r="F12" s="8">
        <v>805</v>
      </c>
      <c r="G12" s="8">
        <v>686</v>
      </c>
      <c r="H12" s="38">
        <v>0.28677932405566597</v>
      </c>
      <c r="I12" s="38">
        <v>0.413664596273292</v>
      </c>
      <c r="J12" s="38">
        <v>0.16909620991253599</v>
      </c>
      <c r="K12" s="38">
        <v>0.24456838636075601</v>
      </c>
      <c r="L12" s="9">
        <v>0.30566600397614302</v>
      </c>
      <c r="M12" s="9">
        <v>0.294351630867144</v>
      </c>
      <c r="N12" s="9">
        <v>0.55945205479452098</v>
      </c>
      <c r="O12" s="42">
        <v>1471</v>
      </c>
      <c r="P12" s="38">
        <v>2.7190388170055502</v>
      </c>
    </row>
    <row r="13" spans="1:16" x14ac:dyDescent="0.2">
      <c r="A13" s="7">
        <v>10</v>
      </c>
      <c r="B13" s="7" t="s">
        <v>134</v>
      </c>
      <c r="C13" s="7" t="s">
        <v>144</v>
      </c>
      <c r="D13" s="8">
        <v>1991</v>
      </c>
      <c r="E13" s="9">
        <v>0.151522070015221</v>
      </c>
      <c r="F13" s="8">
        <v>840</v>
      </c>
      <c r="G13" s="8">
        <v>727</v>
      </c>
      <c r="H13" s="38">
        <v>-1.25565042692115E-2</v>
      </c>
      <c r="I13" s="38">
        <v>0.13928571428571401</v>
      </c>
      <c r="J13" s="38">
        <v>-0.14442916093535099</v>
      </c>
      <c r="K13" s="38">
        <v>0.28371487522106498</v>
      </c>
      <c r="L13" s="9">
        <v>0.25615268709191402</v>
      </c>
      <c r="M13" s="9">
        <v>0.39052287581699402</v>
      </c>
      <c r="N13" s="9">
        <v>0.67566109012412301</v>
      </c>
      <c r="O13" s="42">
        <v>1531</v>
      </c>
      <c r="P13" s="38">
        <v>3.32826086956522</v>
      </c>
    </row>
    <row r="14" spans="1:16" x14ac:dyDescent="0.2">
      <c r="A14" s="7">
        <v>11</v>
      </c>
      <c r="B14" s="7" t="s">
        <v>134</v>
      </c>
      <c r="C14" s="7" t="s">
        <v>145</v>
      </c>
      <c r="D14" s="8">
        <v>1946</v>
      </c>
      <c r="E14" s="9">
        <v>0.12266767523953601</v>
      </c>
      <c r="F14" s="8">
        <v>733</v>
      </c>
      <c r="G14" s="8">
        <v>669</v>
      </c>
      <c r="H14" s="38">
        <v>0.16649537512846899</v>
      </c>
      <c r="I14" s="38">
        <v>0.32196452933151398</v>
      </c>
      <c r="J14" s="38">
        <v>-1.49476831091181E-3</v>
      </c>
      <c r="K14" s="38">
        <v>0.32345929764242598</v>
      </c>
      <c r="L14" s="9">
        <v>0.28365878725590998</v>
      </c>
      <c r="M14" s="9">
        <v>0.37981952420016402</v>
      </c>
      <c r="N14" s="9">
        <v>0.67376681614349798</v>
      </c>
      <c r="O14" s="42">
        <v>1469</v>
      </c>
      <c r="P14" s="38">
        <v>3.07966457023061</v>
      </c>
    </row>
    <row r="15" spans="1:16" x14ac:dyDescent="0.2">
      <c r="A15" s="7">
        <v>12</v>
      </c>
      <c r="B15" s="7" t="s">
        <v>136</v>
      </c>
      <c r="C15" s="7" t="s">
        <v>146</v>
      </c>
      <c r="D15" s="8">
        <v>1791</v>
      </c>
      <c r="E15" s="9">
        <v>0.13789651986449</v>
      </c>
      <c r="F15" s="8">
        <v>717</v>
      </c>
      <c r="G15" s="8">
        <v>650</v>
      </c>
      <c r="H15" s="38">
        <v>0.11669458403126801</v>
      </c>
      <c r="I15" s="38">
        <v>0.27475592747559302</v>
      </c>
      <c r="J15" s="38">
        <v>-7.2307692307692295E-2</v>
      </c>
      <c r="K15" s="38">
        <v>0.34706361978328498</v>
      </c>
      <c r="L15" s="9">
        <v>0.24678950307090999</v>
      </c>
      <c r="M15" s="9">
        <v>0.42895683453237399</v>
      </c>
      <c r="N15" s="9">
        <v>0.69365558912386704</v>
      </c>
      <c r="O15" s="42">
        <v>1414</v>
      </c>
      <c r="P15" s="38">
        <v>3.7506631299734798</v>
      </c>
    </row>
    <row r="16" spans="1:16" x14ac:dyDescent="0.2">
      <c r="A16" s="7">
        <v>13</v>
      </c>
      <c r="B16" s="7" t="s">
        <v>134</v>
      </c>
      <c r="C16" s="7" t="s">
        <v>147</v>
      </c>
      <c r="D16" s="8">
        <v>1643</v>
      </c>
      <c r="E16" s="9">
        <v>0.139107611548556</v>
      </c>
      <c r="F16" s="8">
        <v>579</v>
      </c>
      <c r="G16" s="8">
        <v>631</v>
      </c>
      <c r="H16" s="38">
        <v>-8.0340839926962906E-2</v>
      </c>
      <c r="I16" s="38">
        <v>0.136442141623489</v>
      </c>
      <c r="J16" s="38">
        <v>-0.250396196513471</v>
      </c>
      <c r="K16" s="38">
        <v>0.386838338136959</v>
      </c>
      <c r="L16" s="9">
        <v>0.246500304321363</v>
      </c>
      <c r="M16" s="9">
        <v>0.40090090090090102</v>
      </c>
      <c r="N16" s="9">
        <v>0.68190725016329201</v>
      </c>
      <c r="O16" s="42">
        <v>1208</v>
      </c>
      <c r="P16" s="38">
        <v>2.7770114942528701</v>
      </c>
    </row>
    <row r="17" spans="1:16" x14ac:dyDescent="0.2">
      <c r="A17" s="7">
        <v>14</v>
      </c>
      <c r="B17" s="7" t="s">
        <v>136</v>
      </c>
      <c r="C17" s="7" t="s">
        <v>148</v>
      </c>
      <c r="D17" s="8">
        <v>1251</v>
      </c>
      <c r="E17" s="9">
        <v>0.13322683706070301</v>
      </c>
      <c r="F17" s="8">
        <v>513</v>
      </c>
      <c r="G17" s="8">
        <v>495</v>
      </c>
      <c r="H17" s="38">
        <v>0.123900879296563</v>
      </c>
      <c r="I17" s="38">
        <v>0.35867446393762198</v>
      </c>
      <c r="J17" s="38">
        <v>-9.8989898989899003E-2</v>
      </c>
      <c r="K17" s="38">
        <v>0.457664362927521</v>
      </c>
      <c r="L17" s="9">
        <v>0.27338129496402902</v>
      </c>
      <c r="M17" s="9">
        <v>0.43461538461538501</v>
      </c>
      <c r="N17" s="9">
        <v>0.68642611683848798</v>
      </c>
      <c r="O17" s="42">
        <v>973</v>
      </c>
      <c r="P17" s="38">
        <v>3.5</v>
      </c>
    </row>
    <row r="18" spans="1:16" x14ac:dyDescent="0.2">
      <c r="A18" s="7">
        <v>15</v>
      </c>
      <c r="B18" s="7" t="s">
        <v>136</v>
      </c>
      <c r="C18" s="7" t="s">
        <v>149</v>
      </c>
      <c r="D18" s="8">
        <v>1242</v>
      </c>
      <c r="E18" s="9">
        <v>0.143219557195572</v>
      </c>
      <c r="F18" s="8">
        <v>490</v>
      </c>
      <c r="G18" s="8">
        <v>491</v>
      </c>
      <c r="H18" s="38">
        <v>2.0128824476650601E-2</v>
      </c>
      <c r="I18" s="38">
        <v>0.25306122448979601</v>
      </c>
      <c r="J18" s="38">
        <v>-0.15071283095723001</v>
      </c>
      <c r="K18" s="38">
        <v>0.40377405544702599</v>
      </c>
      <c r="L18" s="9">
        <v>0.24879227053140099</v>
      </c>
      <c r="M18" s="9">
        <v>0.40129032258064501</v>
      </c>
      <c r="N18" s="9">
        <v>0.68269230769230804</v>
      </c>
      <c r="O18" s="42">
        <v>964</v>
      </c>
      <c r="P18" s="38">
        <v>3.4676258992805802</v>
      </c>
    </row>
    <row r="19" spans="1:16" x14ac:dyDescent="0.2">
      <c r="A19" s="7">
        <v>16</v>
      </c>
      <c r="B19" s="7" t="s">
        <v>134</v>
      </c>
      <c r="C19" s="7" t="s">
        <v>150</v>
      </c>
      <c r="D19" s="8">
        <v>1236</v>
      </c>
      <c r="E19" s="9">
        <v>0.14315496872828401</v>
      </c>
      <c r="F19" s="8">
        <v>488</v>
      </c>
      <c r="G19" s="8">
        <v>465</v>
      </c>
      <c r="H19" s="38">
        <v>0.13106796116504901</v>
      </c>
      <c r="I19" s="38">
        <v>0.35655737704918</v>
      </c>
      <c r="J19" s="38">
        <v>-9.4623655913978505E-2</v>
      </c>
      <c r="K19" s="38">
        <v>0.45118103296315898</v>
      </c>
      <c r="L19" s="9">
        <v>0.24919093851132701</v>
      </c>
      <c r="M19" s="9">
        <v>0.338501291989664</v>
      </c>
      <c r="N19" s="9">
        <v>0.64590747330960896</v>
      </c>
      <c r="O19" s="42">
        <v>917</v>
      </c>
      <c r="P19" s="38">
        <v>2.8746081504702201</v>
      </c>
    </row>
    <row r="20" spans="1:16" x14ac:dyDescent="0.2">
      <c r="A20" s="7">
        <v>17</v>
      </c>
      <c r="B20" s="7" t="s">
        <v>134</v>
      </c>
      <c r="C20" s="7" t="s">
        <v>151</v>
      </c>
      <c r="D20" s="8">
        <v>1218</v>
      </c>
      <c r="E20" s="9">
        <v>0.12525709584533101</v>
      </c>
      <c r="F20" s="8">
        <v>469</v>
      </c>
      <c r="G20" s="8">
        <v>438</v>
      </c>
      <c r="H20" s="38">
        <v>5.0082101806239697E-2</v>
      </c>
      <c r="I20" s="38">
        <v>0.25159914712153503</v>
      </c>
      <c r="J20" s="38">
        <v>-0.17351598173516</v>
      </c>
      <c r="K20" s="38">
        <v>0.425115128856695</v>
      </c>
      <c r="L20" s="9">
        <v>0.26683087027914598</v>
      </c>
      <c r="M20" s="9">
        <v>0.394495412844037</v>
      </c>
      <c r="N20" s="9">
        <v>0.67736185383244196</v>
      </c>
      <c r="O20" s="42">
        <v>924</v>
      </c>
      <c r="P20" s="38">
        <v>3.1428571428571401</v>
      </c>
    </row>
    <row r="21" spans="1:16" ht="15.75" customHeight="1" x14ac:dyDescent="0.2">
      <c r="A21" s="7">
        <v>18</v>
      </c>
      <c r="B21" s="7" t="s">
        <v>136</v>
      </c>
      <c r="C21" s="7" t="s">
        <v>136</v>
      </c>
      <c r="D21" s="8">
        <v>1069</v>
      </c>
      <c r="E21" s="9">
        <v>0.147366969947615</v>
      </c>
      <c r="F21" s="8">
        <v>438</v>
      </c>
      <c r="G21" s="8">
        <v>388</v>
      </c>
      <c r="H21" s="38">
        <v>2.80636108512629E-2</v>
      </c>
      <c r="I21" s="38">
        <v>0.24200913242009101</v>
      </c>
      <c r="J21" s="38">
        <v>-0.201030927835052</v>
      </c>
      <c r="K21" s="38">
        <v>0.44304006025514298</v>
      </c>
      <c r="L21" s="9">
        <v>0.28344246959775499</v>
      </c>
      <c r="M21" s="9">
        <v>0.33911671924290199</v>
      </c>
      <c r="N21" s="9">
        <v>0.64759959141981605</v>
      </c>
      <c r="O21" s="42">
        <v>840</v>
      </c>
      <c r="P21" s="38">
        <v>3.66812227074236</v>
      </c>
    </row>
    <row r="22" spans="1:16" ht="15.75" customHeight="1" x14ac:dyDescent="0.2">
      <c r="A22" s="7">
        <v>19</v>
      </c>
      <c r="B22" s="7" t="s">
        <v>136</v>
      </c>
      <c r="C22" s="7" t="s">
        <v>134</v>
      </c>
      <c r="D22" s="8">
        <v>963</v>
      </c>
      <c r="E22" s="9">
        <v>0.11977611940298501</v>
      </c>
      <c r="F22" s="8">
        <v>366</v>
      </c>
      <c r="G22" s="8">
        <v>409</v>
      </c>
      <c r="H22" s="38">
        <v>-0.22949117341640701</v>
      </c>
      <c r="I22" s="38">
        <v>0</v>
      </c>
      <c r="J22" s="38">
        <v>-0.46210268948655298</v>
      </c>
      <c r="K22" s="38">
        <v>0.46210268948655298</v>
      </c>
      <c r="L22" s="9">
        <v>0.23676012461059201</v>
      </c>
      <c r="M22" s="9">
        <v>0.413223140495868</v>
      </c>
      <c r="N22" s="9">
        <v>0.70267260579064605</v>
      </c>
      <c r="O22" s="42">
        <v>751</v>
      </c>
      <c r="P22" s="38">
        <v>3.54245283018868</v>
      </c>
    </row>
    <row r="23" spans="1:16" ht="15.75" customHeight="1" x14ac:dyDescent="0.2">
      <c r="A23" s="7">
        <v>20</v>
      </c>
      <c r="B23" s="7" t="s">
        <v>152</v>
      </c>
      <c r="C23" s="7" t="s">
        <v>153</v>
      </c>
      <c r="D23" s="8">
        <v>901</v>
      </c>
      <c r="E23" s="9">
        <v>0.11461646101005001</v>
      </c>
      <c r="F23" s="8">
        <v>305</v>
      </c>
      <c r="G23" s="8">
        <v>304</v>
      </c>
      <c r="H23" s="38">
        <v>-0.13984461709212001</v>
      </c>
      <c r="I23" s="38">
        <v>5.9016393442623001E-2</v>
      </c>
      <c r="J23" s="38">
        <v>-0.32236842105263203</v>
      </c>
      <c r="K23" s="38">
        <v>0.38138481449525502</v>
      </c>
      <c r="L23" s="9">
        <v>0.26748057713651502</v>
      </c>
      <c r="M23" s="9">
        <v>0.29770992366412202</v>
      </c>
      <c r="N23" s="9">
        <v>0.56862745098039202</v>
      </c>
      <c r="O23" s="42">
        <v>710</v>
      </c>
      <c r="P23" s="38">
        <v>3.7172774869109899</v>
      </c>
    </row>
    <row r="24" spans="1:16" ht="15.75" customHeight="1" x14ac:dyDescent="0.2">
      <c r="A24" s="7">
        <v>21</v>
      </c>
      <c r="B24" s="7" t="s">
        <v>136</v>
      </c>
      <c r="C24" s="7" t="s">
        <v>154</v>
      </c>
      <c r="D24" s="8">
        <v>892</v>
      </c>
      <c r="E24" s="9">
        <v>0.134216069816431</v>
      </c>
      <c r="F24" s="8">
        <v>352</v>
      </c>
      <c r="G24" s="8">
        <v>360</v>
      </c>
      <c r="H24" s="38">
        <v>-0.135650224215247</v>
      </c>
      <c r="I24" s="38">
        <v>8.8068181818181795E-2</v>
      </c>
      <c r="J24" s="38">
        <v>-0.36666666666666697</v>
      </c>
      <c r="K24" s="38">
        <v>0.45473484848484902</v>
      </c>
      <c r="L24" s="9">
        <v>0.23878923766816099</v>
      </c>
      <c r="M24" s="9">
        <v>0.43557168784028999</v>
      </c>
      <c r="N24" s="9">
        <v>0.74240583232077795</v>
      </c>
      <c r="O24" s="42">
        <v>700</v>
      </c>
      <c r="P24" s="38">
        <v>3.6458333333333299</v>
      </c>
    </row>
    <row r="25" spans="1:16" ht="15.75" customHeight="1" x14ac:dyDescent="0.2">
      <c r="A25" s="7">
        <v>22</v>
      </c>
      <c r="B25" s="7" t="s">
        <v>136</v>
      </c>
      <c r="C25" s="7" t="s">
        <v>155</v>
      </c>
      <c r="D25" s="8">
        <v>843</v>
      </c>
      <c r="E25" s="9">
        <v>0.168229894232688</v>
      </c>
      <c r="F25" s="8">
        <v>323</v>
      </c>
      <c r="G25" s="8">
        <v>291</v>
      </c>
      <c r="H25" s="38">
        <v>0.24080664294187401</v>
      </c>
      <c r="I25" s="38">
        <v>0.39628482972136198</v>
      </c>
      <c r="J25" s="38">
        <v>0.14089347079037801</v>
      </c>
      <c r="K25" s="38">
        <v>0.25539135893098402</v>
      </c>
      <c r="L25" s="9">
        <v>0.33926453143535001</v>
      </c>
      <c r="M25" s="9">
        <v>0.28964059196617298</v>
      </c>
      <c r="N25" s="9">
        <v>0.56133333333333302</v>
      </c>
      <c r="O25" s="42">
        <v>678</v>
      </c>
      <c r="P25" s="38">
        <v>4.1090909090909102</v>
      </c>
    </row>
    <row r="26" spans="1:16" ht="15.75" customHeight="1" x14ac:dyDescent="0.2">
      <c r="A26" s="7">
        <v>23</v>
      </c>
      <c r="B26" s="7" t="s">
        <v>136</v>
      </c>
      <c r="C26" s="7" t="s">
        <v>156</v>
      </c>
      <c r="D26" s="8">
        <v>840</v>
      </c>
      <c r="E26" s="9">
        <v>0.117252931323283</v>
      </c>
      <c r="F26" s="8">
        <v>329</v>
      </c>
      <c r="G26" s="8">
        <v>353</v>
      </c>
      <c r="H26" s="38">
        <v>-0.23690476190476201</v>
      </c>
      <c r="I26" s="38">
        <v>-0.133738601823708</v>
      </c>
      <c r="J26" s="38">
        <v>-0.39943342776203999</v>
      </c>
      <c r="K26" s="38">
        <v>0.26569482593833199</v>
      </c>
      <c r="L26" s="9">
        <v>0.23452380952381</v>
      </c>
      <c r="M26" s="9">
        <v>0.45686274509803898</v>
      </c>
      <c r="N26" s="9">
        <v>0.73901808785529699</v>
      </c>
      <c r="O26" s="42">
        <v>670</v>
      </c>
      <c r="P26" s="38">
        <v>3.9411764705882399</v>
      </c>
    </row>
    <row r="27" spans="1:16" ht="15.75" customHeight="1" x14ac:dyDescent="0.2">
      <c r="A27" s="7">
        <v>24</v>
      </c>
      <c r="B27" s="7" t="s">
        <v>134</v>
      </c>
      <c r="C27" s="7" t="s">
        <v>157</v>
      </c>
      <c r="D27" s="8">
        <v>792</v>
      </c>
      <c r="E27" s="9">
        <v>0.123441396508728</v>
      </c>
      <c r="F27" s="8">
        <v>310</v>
      </c>
      <c r="G27" s="8">
        <v>314</v>
      </c>
      <c r="H27" s="38">
        <v>-9.7222222222222196E-2</v>
      </c>
      <c r="I27" s="38">
        <v>3.8709677419354799E-2</v>
      </c>
      <c r="J27" s="38">
        <v>-0.25477707006369399</v>
      </c>
      <c r="K27" s="38">
        <v>0.29348674748304898</v>
      </c>
      <c r="L27" s="9">
        <v>0.23358585858585901</v>
      </c>
      <c r="M27" s="9">
        <v>0.43673469387755098</v>
      </c>
      <c r="N27" s="9">
        <v>0.72727272727272696</v>
      </c>
      <c r="O27" s="42">
        <v>628</v>
      </c>
      <c r="P27" s="38">
        <v>3.8292682926829298</v>
      </c>
    </row>
    <row r="28" spans="1:16" ht="15.75" customHeight="1" x14ac:dyDescent="0.2">
      <c r="A28" s="7">
        <v>25</v>
      </c>
      <c r="B28" s="7" t="s">
        <v>158</v>
      </c>
      <c r="C28" s="7" t="s">
        <v>159</v>
      </c>
      <c r="D28" s="8">
        <v>792</v>
      </c>
      <c r="E28" s="9">
        <v>0.14122681883024299</v>
      </c>
      <c r="F28" s="8">
        <v>275</v>
      </c>
      <c r="G28" s="8">
        <v>284</v>
      </c>
      <c r="H28" s="38">
        <v>-0.15530303030303</v>
      </c>
      <c r="I28" s="38">
        <v>-6.9090909090909106E-2</v>
      </c>
      <c r="J28" s="38">
        <v>-0.31338028169014098</v>
      </c>
      <c r="K28" s="38">
        <v>0.244289372599232</v>
      </c>
      <c r="L28" s="9">
        <v>0.27651515151515199</v>
      </c>
      <c r="M28" s="9">
        <v>0.326340326340326</v>
      </c>
      <c r="N28" s="9">
        <v>0.64564564564564597</v>
      </c>
      <c r="O28" s="42">
        <v>640</v>
      </c>
      <c r="P28" s="38">
        <v>4.2105263157894699</v>
      </c>
    </row>
    <row r="29" spans="1:16" ht="15.75" customHeight="1" x14ac:dyDescent="0.2">
      <c r="A29" s="7">
        <v>26</v>
      </c>
      <c r="B29" s="7" t="s">
        <v>136</v>
      </c>
      <c r="C29" s="7" t="s">
        <v>160</v>
      </c>
      <c r="D29" s="8">
        <v>789</v>
      </c>
      <c r="E29" s="9">
        <v>0.154766575127501</v>
      </c>
      <c r="F29" s="8">
        <v>304</v>
      </c>
      <c r="G29" s="8">
        <v>321</v>
      </c>
      <c r="H29" s="38">
        <v>-3.1685678073510803E-2</v>
      </c>
      <c r="I29" s="38">
        <v>0.217105263157895</v>
      </c>
      <c r="J29" s="38">
        <v>-0.27725856697819301</v>
      </c>
      <c r="K29" s="38">
        <v>0.49436383013608798</v>
      </c>
      <c r="L29" s="9">
        <v>0.256020278833967</v>
      </c>
      <c r="M29" s="9">
        <v>0.431865828092243</v>
      </c>
      <c r="N29" s="9">
        <v>0.71724137931034504</v>
      </c>
      <c r="O29" s="42">
        <v>635</v>
      </c>
      <c r="P29" s="38">
        <v>4.12337662337662</v>
      </c>
    </row>
    <row r="30" spans="1:16" ht="15.75" customHeight="1" x14ac:dyDescent="0.2">
      <c r="A30" s="7">
        <v>27</v>
      </c>
      <c r="B30" s="7" t="s">
        <v>136</v>
      </c>
      <c r="C30" s="7" t="s">
        <v>161</v>
      </c>
      <c r="D30" s="8">
        <v>767</v>
      </c>
      <c r="E30" s="9">
        <v>0.14344492238638501</v>
      </c>
      <c r="F30" s="8">
        <v>293</v>
      </c>
      <c r="G30" s="8">
        <v>313</v>
      </c>
      <c r="H30" s="38">
        <v>1.95567144719687E-2</v>
      </c>
      <c r="I30" s="38">
        <v>0.23890784982935201</v>
      </c>
      <c r="J30" s="38">
        <v>-0.18530351437699699</v>
      </c>
      <c r="K30" s="38">
        <v>0.42421136420634797</v>
      </c>
      <c r="L30" s="9">
        <v>0.24771838331160401</v>
      </c>
      <c r="M30" s="9">
        <v>0.47533632286995497</v>
      </c>
      <c r="N30" s="9">
        <v>0.75994318181818199</v>
      </c>
      <c r="O30" s="42">
        <v>627</v>
      </c>
      <c r="P30" s="38">
        <v>4.4785714285714304</v>
      </c>
    </row>
    <row r="31" spans="1:16" ht="15.75" customHeight="1" x14ac:dyDescent="0.2">
      <c r="A31" s="7">
        <v>28</v>
      </c>
      <c r="B31" s="7" t="s">
        <v>136</v>
      </c>
      <c r="C31" s="7" t="s">
        <v>162</v>
      </c>
      <c r="D31" s="8">
        <v>675</v>
      </c>
      <c r="E31" s="9">
        <v>0.12818078237751601</v>
      </c>
      <c r="F31" s="8">
        <v>264</v>
      </c>
      <c r="G31" s="8">
        <v>223</v>
      </c>
      <c r="H31" s="38">
        <v>-4.2962962962963001E-2</v>
      </c>
      <c r="I31" s="38">
        <v>0.170454545454545</v>
      </c>
      <c r="J31" s="38">
        <v>-0.27802690582959599</v>
      </c>
      <c r="K31" s="38">
        <v>0.44848145128414202</v>
      </c>
      <c r="L31" s="9">
        <v>0.275555555555556</v>
      </c>
      <c r="M31" s="9">
        <v>0.40776699029126201</v>
      </c>
      <c r="N31" s="9">
        <v>0.68210862619808299</v>
      </c>
      <c r="O31" s="42">
        <v>533</v>
      </c>
      <c r="P31" s="38">
        <v>3.7535211267605599</v>
      </c>
    </row>
    <row r="32" spans="1:16" ht="15.75" customHeight="1" x14ac:dyDescent="0.2">
      <c r="A32" s="7">
        <v>29</v>
      </c>
      <c r="B32" s="7" t="s">
        <v>136</v>
      </c>
      <c r="C32" s="7" t="s">
        <v>163</v>
      </c>
      <c r="D32" s="8">
        <v>616</v>
      </c>
      <c r="E32" s="9">
        <v>0.141968195436737</v>
      </c>
      <c r="F32" s="8">
        <v>270</v>
      </c>
      <c r="G32" s="8">
        <v>224</v>
      </c>
      <c r="H32" s="38">
        <v>7.6298701298701296E-2</v>
      </c>
      <c r="I32" s="38">
        <v>0.233333333333333</v>
      </c>
      <c r="J32" s="38">
        <v>-0.107142857142857</v>
      </c>
      <c r="K32" s="38">
        <v>0.34047619047619099</v>
      </c>
      <c r="L32" s="9">
        <v>0.26785714285714302</v>
      </c>
      <c r="M32" s="9">
        <v>0.36408977556109701</v>
      </c>
      <c r="N32" s="9">
        <v>0.66031195840554602</v>
      </c>
      <c r="O32" s="42">
        <v>457</v>
      </c>
      <c r="P32" s="38">
        <v>2.8742138364779901</v>
      </c>
    </row>
    <row r="33" spans="1:16" ht="15.75" customHeight="1" x14ac:dyDescent="0.2">
      <c r="A33" s="7">
        <v>30</v>
      </c>
      <c r="B33" s="7" t="s">
        <v>136</v>
      </c>
      <c r="C33" s="7" t="s">
        <v>164</v>
      </c>
      <c r="D33" s="8">
        <v>610</v>
      </c>
      <c r="E33" s="9">
        <v>0.123083131557708</v>
      </c>
      <c r="F33" s="8">
        <v>221</v>
      </c>
      <c r="G33" s="8">
        <v>236</v>
      </c>
      <c r="H33" s="38">
        <v>-0.286885245901639</v>
      </c>
      <c r="I33" s="38">
        <v>-0.230769230769231</v>
      </c>
      <c r="J33" s="38">
        <v>-0.41949152542372897</v>
      </c>
      <c r="K33" s="38">
        <v>0.188722294654498</v>
      </c>
      <c r="L33" s="9">
        <v>0.24098360655737699</v>
      </c>
      <c r="M33" s="9">
        <v>0.41666666666666702</v>
      </c>
      <c r="N33" s="9">
        <v>0.67262969588551003</v>
      </c>
      <c r="O33" s="42">
        <v>507</v>
      </c>
      <c r="P33" s="38">
        <v>4.9223300970873796</v>
      </c>
    </row>
    <row r="34" spans="1:16" ht="15.75" customHeight="1" x14ac:dyDescent="0.2">
      <c r="A34" s="7">
        <v>31</v>
      </c>
      <c r="B34" s="7" t="s">
        <v>136</v>
      </c>
      <c r="C34" s="7" t="s">
        <v>165</v>
      </c>
      <c r="D34" s="8">
        <v>590</v>
      </c>
      <c r="E34" s="9">
        <v>0.14081145584725499</v>
      </c>
      <c r="F34" s="8">
        <v>250</v>
      </c>
      <c r="G34" s="8">
        <v>223</v>
      </c>
      <c r="H34" s="38">
        <v>1.8644067796610202E-2</v>
      </c>
      <c r="I34" s="38">
        <v>0.20799999999999999</v>
      </c>
      <c r="J34" s="38">
        <v>-0.17040358744394599</v>
      </c>
      <c r="K34" s="38">
        <v>0.37840358744394598</v>
      </c>
      <c r="L34" s="9">
        <v>0.24576271186440701</v>
      </c>
      <c r="M34" s="9">
        <v>0.42191780821917801</v>
      </c>
      <c r="N34" s="9">
        <v>0.68726591760299605</v>
      </c>
      <c r="O34" s="42">
        <v>443</v>
      </c>
      <c r="P34" s="38">
        <v>3.0136054421768699</v>
      </c>
    </row>
    <row r="35" spans="1:16" ht="15.75" customHeight="1" x14ac:dyDescent="0.2">
      <c r="A35" s="7">
        <v>32</v>
      </c>
      <c r="B35" s="7" t="s">
        <v>136</v>
      </c>
      <c r="C35" s="7" t="s">
        <v>166</v>
      </c>
      <c r="D35" s="8">
        <v>586</v>
      </c>
      <c r="E35" s="9">
        <v>0.12349841938882999</v>
      </c>
      <c r="F35" s="8">
        <v>247</v>
      </c>
      <c r="G35" s="8">
        <v>212</v>
      </c>
      <c r="H35" s="38">
        <v>-0.19965870307167199</v>
      </c>
      <c r="I35" s="38">
        <v>1.6194331983805699E-2</v>
      </c>
      <c r="J35" s="38">
        <v>-0.40566037735849098</v>
      </c>
      <c r="K35" s="38">
        <v>0.42185470934229602</v>
      </c>
      <c r="L35" s="9">
        <v>0.27474402730375402</v>
      </c>
      <c r="M35" s="9">
        <v>0.42090395480226001</v>
      </c>
      <c r="N35" s="9">
        <v>0.71559633027522895</v>
      </c>
      <c r="O35" s="42">
        <v>469</v>
      </c>
      <c r="P35" s="38">
        <v>4.0085470085470103</v>
      </c>
    </row>
    <row r="36" spans="1:16" ht="15.75" customHeight="1" x14ac:dyDescent="0.2">
      <c r="A36" s="7">
        <v>33</v>
      </c>
      <c r="B36" s="7" t="s">
        <v>134</v>
      </c>
      <c r="C36" s="7" t="s">
        <v>167</v>
      </c>
      <c r="D36" s="8">
        <v>570</v>
      </c>
      <c r="E36" s="9">
        <v>0.118824265165729</v>
      </c>
      <c r="F36" s="8">
        <v>200</v>
      </c>
      <c r="G36" s="8">
        <v>244</v>
      </c>
      <c r="H36" s="38">
        <v>-0.326315789473684</v>
      </c>
      <c r="I36" s="38">
        <v>-0.1</v>
      </c>
      <c r="J36" s="38">
        <v>-0.49180327868852503</v>
      </c>
      <c r="K36" s="38">
        <v>0.39180327868852499</v>
      </c>
      <c r="L36" s="9">
        <v>0.26315789473684198</v>
      </c>
      <c r="M36" s="9">
        <v>0.36021505376344098</v>
      </c>
      <c r="N36" s="9">
        <v>0.63097514340344196</v>
      </c>
      <c r="O36" s="42">
        <v>429</v>
      </c>
      <c r="P36" s="38">
        <v>3.0425531914893602</v>
      </c>
    </row>
    <row r="37" spans="1:16" ht="15.75" customHeight="1" x14ac:dyDescent="0.2">
      <c r="A37" s="7">
        <v>34</v>
      </c>
      <c r="B37" s="7" t="s">
        <v>136</v>
      </c>
      <c r="C37" s="7" t="s">
        <v>168</v>
      </c>
      <c r="D37" s="8">
        <v>561</v>
      </c>
      <c r="E37" s="9">
        <v>0.130982955872052</v>
      </c>
      <c r="F37" s="8">
        <v>215</v>
      </c>
      <c r="G37" s="8">
        <v>226</v>
      </c>
      <c r="H37" s="38">
        <v>-6.9518716577540093E-2</v>
      </c>
      <c r="I37" s="38">
        <v>0.190697674418605</v>
      </c>
      <c r="J37" s="38">
        <v>-0.34955752212389402</v>
      </c>
      <c r="K37" s="38">
        <v>0.54025519654249798</v>
      </c>
      <c r="L37" s="9">
        <v>0.24955436720142599</v>
      </c>
      <c r="M37" s="9">
        <v>0.378151260504202</v>
      </c>
      <c r="N37" s="9">
        <v>0.69052224371373305</v>
      </c>
      <c r="O37" s="42">
        <v>427</v>
      </c>
      <c r="P37" s="38">
        <v>3.1865671641790998</v>
      </c>
    </row>
    <row r="38" spans="1:16" ht="15.75" customHeight="1" x14ac:dyDescent="0.2">
      <c r="A38" s="7">
        <v>35</v>
      </c>
      <c r="B38" s="7" t="s">
        <v>134</v>
      </c>
      <c r="C38" s="7" t="s">
        <v>169</v>
      </c>
      <c r="D38" s="8">
        <v>536</v>
      </c>
      <c r="E38" s="9">
        <v>0.13153374233128801</v>
      </c>
      <c r="F38" s="8">
        <v>217</v>
      </c>
      <c r="G38" s="8">
        <v>172</v>
      </c>
      <c r="H38" s="38">
        <v>0.13246268656716401</v>
      </c>
      <c r="I38" s="38">
        <v>0.37327188940092199</v>
      </c>
      <c r="J38" s="38">
        <v>-7.5581395348837205E-2</v>
      </c>
      <c r="K38" s="38">
        <v>0.448853284749759</v>
      </c>
      <c r="L38" s="9">
        <v>0.31902985074626899</v>
      </c>
      <c r="M38" s="9">
        <v>0.27544910179640703</v>
      </c>
      <c r="N38" s="9">
        <v>0.56494845360824697</v>
      </c>
      <c r="O38" s="42">
        <v>396</v>
      </c>
      <c r="P38" s="38">
        <v>2.8285714285714301</v>
      </c>
    </row>
    <row r="39" spans="1:16" ht="15.75" customHeight="1" x14ac:dyDescent="0.2">
      <c r="A39" s="7">
        <v>36</v>
      </c>
      <c r="B39" s="7" t="s">
        <v>152</v>
      </c>
      <c r="C39" s="7" t="s">
        <v>170</v>
      </c>
      <c r="D39" s="8">
        <v>536</v>
      </c>
      <c r="E39" s="9">
        <v>0.15111361714124599</v>
      </c>
      <c r="F39" s="8">
        <v>216</v>
      </c>
      <c r="G39" s="8">
        <v>192</v>
      </c>
      <c r="H39" s="38">
        <v>-0.14925373134328401</v>
      </c>
      <c r="I39" s="38">
        <v>-1.85185185185185E-2</v>
      </c>
      <c r="J39" s="38">
        <v>-0.28645833333333298</v>
      </c>
      <c r="K39" s="38">
        <v>0.26793981481481499</v>
      </c>
      <c r="L39" s="9">
        <v>0.20895522388059701</v>
      </c>
      <c r="M39" s="9">
        <v>0.28614457831325302</v>
      </c>
      <c r="N39" s="9">
        <v>0.57894736842105299</v>
      </c>
      <c r="O39" s="42">
        <v>405</v>
      </c>
      <c r="P39" s="38">
        <v>3.0916030534351102</v>
      </c>
    </row>
    <row r="40" spans="1:16" ht="15.75" customHeight="1" x14ac:dyDescent="0.2">
      <c r="A40" s="7">
        <v>37</v>
      </c>
      <c r="B40" s="7" t="s">
        <v>136</v>
      </c>
      <c r="C40" s="7" t="s">
        <v>167</v>
      </c>
      <c r="D40" s="8">
        <v>526</v>
      </c>
      <c r="E40" s="9">
        <v>0.138566912539515</v>
      </c>
      <c r="F40" s="8">
        <v>205</v>
      </c>
      <c r="G40" s="8">
        <v>199</v>
      </c>
      <c r="H40" s="38">
        <v>-0.25095057034220503</v>
      </c>
      <c r="I40" s="38">
        <v>-0.13170731707317099</v>
      </c>
      <c r="J40" s="38">
        <v>-0.35678391959799</v>
      </c>
      <c r="K40" s="38">
        <v>0.22507660252481901</v>
      </c>
      <c r="L40" s="9">
        <v>0.22053231939163501</v>
      </c>
      <c r="M40" s="9">
        <v>0.42553191489361702</v>
      </c>
      <c r="N40" s="9">
        <v>0.71875</v>
      </c>
      <c r="O40" s="42">
        <v>400</v>
      </c>
      <c r="P40" s="38">
        <v>3.1746031746031802</v>
      </c>
    </row>
    <row r="41" spans="1:16" ht="15.75" customHeight="1" x14ac:dyDescent="0.2">
      <c r="A41" s="7">
        <v>38</v>
      </c>
      <c r="B41" s="7" t="s">
        <v>136</v>
      </c>
      <c r="C41" s="7" t="s">
        <v>171</v>
      </c>
      <c r="D41" s="8">
        <v>521</v>
      </c>
      <c r="E41" s="9">
        <v>0.15505952380952401</v>
      </c>
      <c r="F41" s="8">
        <v>188</v>
      </c>
      <c r="G41" s="8">
        <v>197</v>
      </c>
      <c r="H41" s="38">
        <v>-6.9097888675623803E-2</v>
      </c>
      <c r="I41" s="38">
        <v>0.111702127659575</v>
      </c>
      <c r="J41" s="38">
        <v>-0.28934010152284301</v>
      </c>
      <c r="K41" s="38">
        <v>0.401042229182417</v>
      </c>
      <c r="L41" s="9">
        <v>0.32437619961612302</v>
      </c>
      <c r="M41" s="9">
        <v>0.28289473684210498</v>
      </c>
      <c r="N41" s="9">
        <v>0.55291576673866105</v>
      </c>
      <c r="O41" s="42">
        <v>410</v>
      </c>
      <c r="P41" s="38">
        <v>3.6936936936936902</v>
      </c>
    </row>
    <row r="42" spans="1:16" ht="15.75" customHeight="1" x14ac:dyDescent="0.2">
      <c r="A42" s="7">
        <v>39</v>
      </c>
      <c r="B42" s="7" t="s">
        <v>152</v>
      </c>
      <c r="C42" s="7" t="s">
        <v>172</v>
      </c>
      <c r="D42" s="8">
        <v>495</v>
      </c>
      <c r="E42" s="9">
        <v>0.15041020966271701</v>
      </c>
      <c r="F42" s="8">
        <v>202</v>
      </c>
      <c r="G42" s="8">
        <v>199</v>
      </c>
      <c r="H42" s="38">
        <v>-0.155555555555556</v>
      </c>
      <c r="I42" s="38">
        <v>-9.9009900990098994E-3</v>
      </c>
      <c r="J42" s="38">
        <v>-0.33165829145728598</v>
      </c>
      <c r="K42" s="38">
        <v>0.32175730135827701</v>
      </c>
      <c r="L42" s="9">
        <v>0.24242424242424199</v>
      </c>
      <c r="M42" s="9">
        <v>0.25986842105263203</v>
      </c>
      <c r="N42" s="9">
        <v>0.586666666666667</v>
      </c>
      <c r="O42" s="42">
        <v>373</v>
      </c>
      <c r="P42" s="38">
        <v>3.0573770491803298</v>
      </c>
    </row>
    <row r="43" spans="1:16" ht="15.75" customHeight="1" x14ac:dyDescent="0.2">
      <c r="A43" s="7">
        <v>40</v>
      </c>
      <c r="B43" s="7" t="s">
        <v>134</v>
      </c>
      <c r="C43" s="7" t="s">
        <v>173</v>
      </c>
      <c r="D43" s="8">
        <v>476</v>
      </c>
      <c r="E43" s="9">
        <v>0.124314442413163</v>
      </c>
      <c r="F43" s="8">
        <v>170</v>
      </c>
      <c r="G43" s="8">
        <v>191</v>
      </c>
      <c r="H43" s="38">
        <v>-0.23949579831932799</v>
      </c>
      <c r="I43" s="38">
        <v>-7.0588235294117702E-2</v>
      </c>
      <c r="J43" s="38">
        <v>-0.382198952879581</v>
      </c>
      <c r="K43" s="38">
        <v>0.31161071758546399</v>
      </c>
      <c r="L43" s="9">
        <v>0.17647058823529399</v>
      </c>
      <c r="M43" s="9">
        <v>0.45833333333333298</v>
      </c>
      <c r="N43" s="9">
        <v>0.74776785714285698</v>
      </c>
      <c r="O43" s="42">
        <v>383</v>
      </c>
      <c r="P43" s="38">
        <v>4.1182795698924703</v>
      </c>
    </row>
    <row r="44" spans="1:16" ht="15.75" customHeight="1" x14ac:dyDescent="0.2">
      <c r="A44" s="7">
        <v>41</v>
      </c>
      <c r="B44" s="7" t="s">
        <v>136</v>
      </c>
      <c r="C44" s="7" t="s">
        <v>174</v>
      </c>
      <c r="D44" s="8">
        <v>474</v>
      </c>
      <c r="E44" s="9">
        <v>0.11476997578692499</v>
      </c>
      <c r="F44" s="8">
        <v>186</v>
      </c>
      <c r="G44" s="8">
        <v>187</v>
      </c>
      <c r="H44" s="38">
        <v>-0.17510548523206801</v>
      </c>
      <c r="I44" s="38">
        <v>-2.1505376344085999E-2</v>
      </c>
      <c r="J44" s="38">
        <v>-0.27807486631015998</v>
      </c>
      <c r="K44" s="38">
        <v>0.25656948996607398</v>
      </c>
      <c r="L44" s="9">
        <v>0.29746835443038</v>
      </c>
      <c r="M44" s="9">
        <v>0.30169491525423697</v>
      </c>
      <c r="N44" s="9">
        <v>0.68008948545861303</v>
      </c>
      <c r="O44" s="42">
        <v>366</v>
      </c>
      <c r="P44" s="38">
        <v>3.3888888888888902</v>
      </c>
    </row>
    <row r="45" spans="1:16" ht="15.75" customHeight="1" x14ac:dyDescent="0.2">
      <c r="A45" s="7">
        <v>42</v>
      </c>
      <c r="B45" s="7" t="s">
        <v>134</v>
      </c>
      <c r="C45" s="7" t="s">
        <v>175</v>
      </c>
      <c r="D45" s="8">
        <v>455</v>
      </c>
      <c r="E45" s="9">
        <v>0.148353439843495</v>
      </c>
      <c r="F45" s="8">
        <v>170</v>
      </c>
      <c r="G45" s="8">
        <v>153</v>
      </c>
      <c r="H45" s="38">
        <v>0.287912087912088</v>
      </c>
      <c r="I45" s="38">
        <v>0.33529411764705902</v>
      </c>
      <c r="J45" s="38">
        <v>0.20261437908496699</v>
      </c>
      <c r="K45" s="38">
        <v>0.132679738562092</v>
      </c>
      <c r="L45" s="9">
        <v>0.30769230769230799</v>
      </c>
      <c r="M45" s="9">
        <v>0.27306273062730602</v>
      </c>
      <c r="N45" s="9">
        <v>0.56608478802992501</v>
      </c>
      <c r="O45" s="42">
        <v>353</v>
      </c>
      <c r="P45" s="38">
        <v>3.4607843137254899</v>
      </c>
    </row>
    <row r="46" spans="1:16" ht="15.75" customHeight="1" x14ac:dyDescent="0.2">
      <c r="A46" s="7">
        <v>43</v>
      </c>
      <c r="B46" s="7" t="s">
        <v>134</v>
      </c>
      <c r="C46" s="7" t="s">
        <v>176</v>
      </c>
      <c r="D46" s="8">
        <v>430</v>
      </c>
      <c r="E46" s="9">
        <v>0.14130791981597099</v>
      </c>
      <c r="F46" s="8">
        <v>163</v>
      </c>
      <c r="G46" s="8">
        <v>179</v>
      </c>
      <c r="H46" s="38">
        <v>-0.27906976744186102</v>
      </c>
      <c r="I46" s="38">
        <v>-8.5889570552147201E-2</v>
      </c>
      <c r="J46" s="38">
        <v>-0.43016759776536301</v>
      </c>
      <c r="K46" s="38">
        <v>0.34427802721321599</v>
      </c>
      <c r="L46" s="9">
        <v>0.22325581395348801</v>
      </c>
      <c r="M46" s="9">
        <v>0.4</v>
      </c>
      <c r="N46" s="9">
        <v>0.703241895261845</v>
      </c>
      <c r="O46" s="42">
        <v>324</v>
      </c>
      <c r="P46" s="38">
        <v>3.0566037735849099</v>
      </c>
    </row>
    <row r="47" spans="1:16" ht="15.75" customHeight="1" x14ac:dyDescent="0.2">
      <c r="A47" s="7">
        <v>44</v>
      </c>
      <c r="B47" s="7" t="s">
        <v>134</v>
      </c>
      <c r="C47" s="7" t="s">
        <v>177</v>
      </c>
      <c r="D47" s="8">
        <v>426</v>
      </c>
      <c r="E47" s="9">
        <v>0.136189258312021</v>
      </c>
      <c r="F47" s="8">
        <v>168</v>
      </c>
      <c r="G47" s="8">
        <v>163</v>
      </c>
      <c r="H47" s="38">
        <v>-0.42253521126760601</v>
      </c>
      <c r="I47" s="38">
        <v>-0.28571428571428598</v>
      </c>
      <c r="J47" s="38">
        <v>-0.53374233128834403</v>
      </c>
      <c r="K47" s="38">
        <v>0.248028045574058</v>
      </c>
      <c r="L47" s="9">
        <v>0.16431924882629101</v>
      </c>
      <c r="M47" s="9">
        <v>0.42181818181818198</v>
      </c>
      <c r="N47" s="9">
        <v>0.71215880893300199</v>
      </c>
      <c r="O47" s="42">
        <v>325</v>
      </c>
      <c r="P47" s="38">
        <v>3.2178217821782198</v>
      </c>
    </row>
    <row r="48" spans="1:16" ht="15.75" customHeight="1" x14ac:dyDescent="0.2">
      <c r="A48" s="7">
        <v>45</v>
      </c>
      <c r="B48" s="7" t="s">
        <v>152</v>
      </c>
      <c r="C48" s="7" t="s">
        <v>178</v>
      </c>
      <c r="D48" s="8">
        <v>421</v>
      </c>
      <c r="E48" s="9">
        <v>0.12371436967381701</v>
      </c>
      <c r="F48" s="8">
        <v>142</v>
      </c>
      <c r="G48" s="8">
        <v>162</v>
      </c>
      <c r="H48" s="38">
        <v>-0.315914489311164</v>
      </c>
      <c r="I48" s="38">
        <v>-7.7464788732394402E-2</v>
      </c>
      <c r="J48" s="38">
        <v>-0.50617283950617298</v>
      </c>
      <c r="K48" s="38">
        <v>0.42870805077377899</v>
      </c>
      <c r="L48" s="9">
        <v>0.18527315914489301</v>
      </c>
      <c r="M48" s="9">
        <v>0.41312741312741302</v>
      </c>
      <c r="N48" s="9">
        <v>0.66052631578947396</v>
      </c>
      <c r="O48" s="42">
        <v>329</v>
      </c>
      <c r="P48" s="38">
        <v>3.5760869565217401</v>
      </c>
    </row>
    <row r="49" spans="1:16" ht="15.75" customHeight="1" x14ac:dyDescent="0.2">
      <c r="A49" s="7">
        <v>46</v>
      </c>
      <c r="B49" s="7" t="s">
        <v>152</v>
      </c>
      <c r="C49" s="7" t="s">
        <v>179</v>
      </c>
      <c r="D49" s="8">
        <v>402</v>
      </c>
      <c r="E49" s="9">
        <v>0.13320079522862799</v>
      </c>
      <c r="F49" s="8">
        <v>149</v>
      </c>
      <c r="G49" s="8">
        <v>166</v>
      </c>
      <c r="H49" s="38">
        <v>-0.36069651741293501</v>
      </c>
      <c r="I49" s="38">
        <v>-0.14093959731543601</v>
      </c>
      <c r="J49" s="38">
        <v>-0.53614457831325302</v>
      </c>
      <c r="K49" s="38">
        <v>0.39520498099781698</v>
      </c>
      <c r="L49" s="9">
        <v>0.241293532338309</v>
      </c>
      <c r="M49" s="9">
        <v>0.34728033472803399</v>
      </c>
      <c r="N49" s="9">
        <v>0.66397849462365599</v>
      </c>
      <c r="O49" s="42">
        <v>309</v>
      </c>
      <c r="P49" s="38">
        <v>3.32258064516129</v>
      </c>
    </row>
    <row r="50" spans="1:16" ht="15.75" customHeight="1" x14ac:dyDescent="0.2">
      <c r="A50" s="7">
        <v>47</v>
      </c>
      <c r="B50" s="7" t="s">
        <v>152</v>
      </c>
      <c r="C50" s="7" t="s">
        <v>180</v>
      </c>
      <c r="D50" s="8">
        <v>399</v>
      </c>
      <c r="E50" s="9">
        <v>0.12341478502938499</v>
      </c>
      <c r="F50" s="8">
        <v>144</v>
      </c>
      <c r="G50" s="8">
        <v>139</v>
      </c>
      <c r="H50" s="38">
        <v>-4.2606516290726801E-2</v>
      </c>
      <c r="I50" s="38">
        <v>8.3333333333333301E-2</v>
      </c>
      <c r="J50" s="38">
        <v>-0.16546762589928099</v>
      </c>
      <c r="K50" s="38">
        <v>0.248800959232614</v>
      </c>
      <c r="L50" s="9">
        <v>0.255639097744361</v>
      </c>
      <c r="M50" s="9">
        <v>0.38723404255319199</v>
      </c>
      <c r="N50" s="9">
        <v>0.61643835616438403</v>
      </c>
      <c r="O50" s="42">
        <v>318</v>
      </c>
      <c r="P50" s="38">
        <v>3.92592592592593</v>
      </c>
    </row>
    <row r="51" spans="1:16" ht="15.75" customHeight="1" x14ac:dyDescent="0.2">
      <c r="A51" s="7">
        <v>48</v>
      </c>
      <c r="B51" s="7" t="s">
        <v>136</v>
      </c>
      <c r="C51" s="7" t="s">
        <v>181</v>
      </c>
      <c r="D51" s="8">
        <v>397</v>
      </c>
      <c r="E51" s="9">
        <v>0.16617831728756799</v>
      </c>
      <c r="F51" s="8">
        <v>173</v>
      </c>
      <c r="G51" s="8">
        <v>136</v>
      </c>
      <c r="H51" s="38">
        <v>-0.113350125944584</v>
      </c>
      <c r="I51" s="38">
        <v>0.13872832369942201</v>
      </c>
      <c r="J51" s="38">
        <v>-0.42647058823529399</v>
      </c>
      <c r="K51" s="38">
        <v>0.56519891193471605</v>
      </c>
      <c r="L51" s="9">
        <v>0.24181360201511301</v>
      </c>
      <c r="M51" s="9">
        <v>0.38247011952191201</v>
      </c>
      <c r="N51" s="9">
        <v>0.69637883008356605</v>
      </c>
      <c r="O51" s="42">
        <v>309</v>
      </c>
      <c r="P51" s="38">
        <v>3.5113636363636398</v>
      </c>
    </row>
    <row r="52" spans="1:16" ht="15.75" customHeight="1" x14ac:dyDescent="0.2">
      <c r="A52" s="7">
        <v>49</v>
      </c>
      <c r="B52" s="7" t="s">
        <v>152</v>
      </c>
      <c r="C52" s="7" t="s">
        <v>182</v>
      </c>
      <c r="D52" s="8">
        <v>371</v>
      </c>
      <c r="E52" s="9">
        <v>0.120181405895692</v>
      </c>
      <c r="F52" s="8">
        <v>166</v>
      </c>
      <c r="G52" s="8">
        <v>130</v>
      </c>
      <c r="H52" s="38">
        <v>-0.27223719676549901</v>
      </c>
      <c r="I52" s="38">
        <v>-9.6385542168674704E-2</v>
      </c>
      <c r="J52" s="38">
        <v>-0.46153846153846201</v>
      </c>
      <c r="K52" s="38">
        <v>0.365152919369787</v>
      </c>
      <c r="L52" s="9">
        <v>0.199460916442049</v>
      </c>
      <c r="M52" s="9">
        <v>0.38990825688073399</v>
      </c>
      <c r="N52" s="9">
        <v>0.65317919075144504</v>
      </c>
      <c r="O52" s="42">
        <v>286</v>
      </c>
      <c r="P52" s="38">
        <v>3.3647058823529399</v>
      </c>
    </row>
    <row r="53" spans="1:16" ht="15.75" customHeight="1" x14ac:dyDescent="0.2">
      <c r="A53" s="7">
        <v>50</v>
      </c>
      <c r="B53" s="7" t="s">
        <v>152</v>
      </c>
      <c r="C53" s="7" t="s">
        <v>183</v>
      </c>
      <c r="D53" s="8">
        <v>366</v>
      </c>
      <c r="E53" s="9">
        <v>0.15430016863406401</v>
      </c>
      <c r="F53" s="8">
        <v>132</v>
      </c>
      <c r="G53" s="8">
        <v>131</v>
      </c>
      <c r="H53" s="38">
        <v>1.91256830601093E-2</v>
      </c>
      <c r="I53" s="38">
        <v>0.14393939393939401</v>
      </c>
      <c r="J53" s="38">
        <v>-0.19847328244274801</v>
      </c>
      <c r="K53" s="38">
        <v>0.34241267638214201</v>
      </c>
      <c r="L53" s="9">
        <v>0.34153005464480901</v>
      </c>
      <c r="M53" s="9">
        <v>0.238805970149254</v>
      </c>
      <c r="N53" s="9">
        <v>0.43573667711598801</v>
      </c>
      <c r="O53" s="42">
        <v>295</v>
      </c>
      <c r="P53" s="38">
        <v>4.1549295774647899</v>
      </c>
    </row>
    <row r="54" spans="1:16" ht="15.75" customHeight="1" x14ac:dyDescent="0.2">
      <c r="A54" s="7">
        <v>51</v>
      </c>
      <c r="B54" s="7" t="s">
        <v>134</v>
      </c>
      <c r="C54" s="7" t="s">
        <v>184</v>
      </c>
      <c r="D54" s="8">
        <v>358</v>
      </c>
      <c r="E54" s="9">
        <v>0.137851366961879</v>
      </c>
      <c r="F54" s="8">
        <v>155</v>
      </c>
      <c r="G54" s="8">
        <v>133</v>
      </c>
      <c r="H54" s="38">
        <v>1.3966480446927399E-2</v>
      </c>
      <c r="I54" s="38">
        <v>0.24516129032258099</v>
      </c>
      <c r="J54" s="38">
        <v>-0.21052631578947401</v>
      </c>
      <c r="K54" s="38">
        <v>0.455687606112054</v>
      </c>
      <c r="L54" s="9">
        <v>0.31564245810055902</v>
      </c>
      <c r="M54" s="9">
        <v>0.26267281105990797</v>
      </c>
      <c r="N54" s="9">
        <v>0.54128440366972497</v>
      </c>
      <c r="O54" s="42">
        <v>276</v>
      </c>
      <c r="P54" s="38">
        <v>3.3658536585365901</v>
      </c>
    </row>
    <row r="55" spans="1:16" ht="15.75" customHeight="1" x14ac:dyDescent="0.2">
      <c r="A55" s="7">
        <v>52</v>
      </c>
      <c r="B55" s="7" t="s">
        <v>134</v>
      </c>
      <c r="C55" s="7" t="s">
        <v>185</v>
      </c>
      <c r="D55" s="8">
        <v>344</v>
      </c>
      <c r="E55" s="9">
        <v>0.14075286415711999</v>
      </c>
      <c r="F55" s="8">
        <v>145</v>
      </c>
      <c r="G55" s="8">
        <v>131</v>
      </c>
      <c r="H55" s="38">
        <v>0.122093023255814</v>
      </c>
      <c r="I55" s="38">
        <v>0.31724137931034502</v>
      </c>
      <c r="J55" s="38">
        <v>-3.0534351145038201E-2</v>
      </c>
      <c r="K55" s="38">
        <v>0.34777573045538301</v>
      </c>
      <c r="L55" s="9">
        <v>0.28488372093023301</v>
      </c>
      <c r="M55" s="9">
        <v>0.35746606334841602</v>
      </c>
      <c r="N55" s="9">
        <v>0.64444444444444504</v>
      </c>
      <c r="O55" s="42">
        <v>264</v>
      </c>
      <c r="P55" s="38">
        <v>3.3</v>
      </c>
    </row>
    <row r="56" spans="1:16" ht="15.75" customHeight="1" x14ac:dyDescent="0.2">
      <c r="A56" s="7">
        <v>53</v>
      </c>
      <c r="B56" s="7" t="s">
        <v>134</v>
      </c>
      <c r="C56" s="7" t="s">
        <v>186</v>
      </c>
      <c r="D56" s="8">
        <v>337</v>
      </c>
      <c r="E56" s="9">
        <v>0.137382796575622</v>
      </c>
      <c r="F56" s="8">
        <v>137</v>
      </c>
      <c r="G56" s="8">
        <v>127</v>
      </c>
      <c r="H56" s="38">
        <v>-0.364985163204748</v>
      </c>
      <c r="I56" s="38">
        <v>-0.153284671532847</v>
      </c>
      <c r="J56" s="38">
        <v>-0.62992125984252001</v>
      </c>
      <c r="K56" s="38">
        <v>0.47663658830967298</v>
      </c>
      <c r="L56" s="9">
        <v>0.18397626112759599</v>
      </c>
      <c r="M56" s="9">
        <v>0.45410628019323701</v>
      </c>
      <c r="N56" s="9">
        <v>0.73899371069182396</v>
      </c>
      <c r="O56" s="42">
        <v>275</v>
      </c>
      <c r="P56" s="38">
        <v>4.4354838709677402</v>
      </c>
    </row>
    <row r="57" spans="1:16" ht="15.75" customHeight="1" x14ac:dyDescent="0.2">
      <c r="A57" s="7">
        <v>54</v>
      </c>
      <c r="B57" s="7" t="s">
        <v>136</v>
      </c>
      <c r="C57" s="7" t="s">
        <v>187</v>
      </c>
      <c r="D57" s="8">
        <v>312</v>
      </c>
      <c r="E57" s="9">
        <v>0.164730728616684</v>
      </c>
      <c r="F57" s="8">
        <v>119</v>
      </c>
      <c r="G57" s="8">
        <v>104</v>
      </c>
      <c r="H57" s="38">
        <v>1.2820512820512799E-2</v>
      </c>
      <c r="I57" s="38">
        <v>0.14285714285714299</v>
      </c>
      <c r="J57" s="38">
        <v>-8.6538461538461495E-2</v>
      </c>
      <c r="K57" s="38">
        <v>0.229395604395604</v>
      </c>
      <c r="L57" s="9">
        <v>0.28205128205128199</v>
      </c>
      <c r="M57" s="9">
        <v>0.35164835164835201</v>
      </c>
      <c r="N57" s="9">
        <v>0.63533834586466198</v>
      </c>
      <c r="O57" s="42">
        <v>241</v>
      </c>
      <c r="P57" s="38">
        <v>3.3943661971830998</v>
      </c>
    </row>
    <row r="58" spans="1:16" ht="15.75" customHeight="1" x14ac:dyDescent="0.2">
      <c r="A58" s="7">
        <v>55</v>
      </c>
      <c r="B58" s="7" t="s">
        <v>152</v>
      </c>
      <c r="C58" s="7" t="s">
        <v>188</v>
      </c>
      <c r="D58" s="8">
        <v>312</v>
      </c>
      <c r="E58" s="9">
        <v>0.14850071394573999</v>
      </c>
      <c r="F58" s="8">
        <v>120</v>
      </c>
      <c r="G58" s="8">
        <v>106</v>
      </c>
      <c r="H58" s="38">
        <v>-0.15384615384615399</v>
      </c>
      <c r="I58" s="38">
        <v>0.05</v>
      </c>
      <c r="J58" s="38">
        <v>-0.37735849056603799</v>
      </c>
      <c r="K58" s="38">
        <v>0.42735849056603797</v>
      </c>
      <c r="L58" s="9">
        <v>0.29487179487179499</v>
      </c>
      <c r="M58" s="9">
        <v>0.30645161290322598</v>
      </c>
      <c r="N58" s="9">
        <v>0.557894736842105</v>
      </c>
      <c r="O58" s="42">
        <v>247</v>
      </c>
      <c r="P58" s="38">
        <v>3.8</v>
      </c>
    </row>
    <row r="59" spans="1:16" ht="15.75" customHeight="1" x14ac:dyDescent="0.2">
      <c r="A59" s="7">
        <v>56</v>
      </c>
      <c r="B59" s="7" t="s">
        <v>136</v>
      </c>
      <c r="C59" s="7" t="s">
        <v>189</v>
      </c>
      <c r="D59" s="8">
        <v>307</v>
      </c>
      <c r="E59" s="9">
        <v>0.165320409262251</v>
      </c>
      <c r="F59" s="8">
        <v>117</v>
      </c>
      <c r="G59" s="8">
        <v>110</v>
      </c>
      <c r="H59" s="38">
        <v>0.299674267100977</v>
      </c>
      <c r="I59" s="38">
        <v>0.38461538461538503</v>
      </c>
      <c r="J59" s="38">
        <v>0.163636363636364</v>
      </c>
      <c r="K59" s="38">
        <v>0.220979020979021</v>
      </c>
      <c r="L59" s="9">
        <v>0.38110749185667803</v>
      </c>
      <c r="M59" s="9">
        <v>0.171597633136095</v>
      </c>
      <c r="N59" s="9">
        <v>0.49275362318840599</v>
      </c>
      <c r="O59" s="42">
        <v>240</v>
      </c>
      <c r="P59" s="38">
        <v>3.5820895522388101</v>
      </c>
    </row>
    <row r="60" spans="1:16" ht="15.75" customHeight="1" x14ac:dyDescent="0.2">
      <c r="A60" s="7">
        <v>57</v>
      </c>
      <c r="B60" s="7" t="s">
        <v>136</v>
      </c>
      <c r="C60" s="7" t="s">
        <v>190</v>
      </c>
      <c r="D60" s="8">
        <v>305</v>
      </c>
      <c r="E60" s="9">
        <v>0.144755576649264</v>
      </c>
      <c r="F60" s="8">
        <v>125</v>
      </c>
      <c r="G60" s="8">
        <v>117</v>
      </c>
      <c r="H60" s="38">
        <v>-0.14098360655737699</v>
      </c>
      <c r="I60" s="38">
        <v>1.6E-2</v>
      </c>
      <c r="J60" s="38">
        <v>-0.39316239316239299</v>
      </c>
      <c r="K60" s="38">
        <v>0.409162393162393</v>
      </c>
      <c r="L60" s="9">
        <v>0.22295081967213101</v>
      </c>
      <c r="M60" s="9">
        <v>0.29081632653061201</v>
      </c>
      <c r="N60" s="9">
        <v>0.606498194945848</v>
      </c>
      <c r="O60" s="42">
        <v>224</v>
      </c>
      <c r="P60" s="38">
        <v>2.7654320987654302</v>
      </c>
    </row>
    <row r="61" spans="1:16" ht="15.75" customHeight="1" x14ac:dyDescent="0.2">
      <c r="A61" s="7">
        <v>58</v>
      </c>
      <c r="B61" s="7" t="s">
        <v>136</v>
      </c>
      <c r="C61" s="7" t="s">
        <v>191</v>
      </c>
      <c r="D61" s="8">
        <v>304</v>
      </c>
      <c r="E61" s="9">
        <v>0.13386173491853801</v>
      </c>
      <c r="F61" s="8">
        <v>112</v>
      </c>
      <c r="G61" s="8">
        <v>111</v>
      </c>
      <c r="H61" s="38">
        <v>6.5789473684210497E-3</v>
      </c>
      <c r="I61" s="38">
        <v>0.1875</v>
      </c>
      <c r="J61" s="38">
        <v>-0.19819819819819801</v>
      </c>
      <c r="K61" s="38">
        <v>0.38569819819819801</v>
      </c>
      <c r="L61" s="9">
        <v>0.30921052631578999</v>
      </c>
      <c r="M61" s="9">
        <v>0.37096774193548399</v>
      </c>
      <c r="N61" s="9">
        <v>0.58394160583941601</v>
      </c>
      <c r="O61" s="42">
        <v>244</v>
      </c>
      <c r="P61" s="38">
        <v>4.06666666666667</v>
      </c>
    </row>
    <row r="62" spans="1:16" ht="15.75" customHeight="1" x14ac:dyDescent="0.2">
      <c r="A62" s="7">
        <v>59</v>
      </c>
      <c r="B62" s="7" t="s">
        <v>134</v>
      </c>
      <c r="C62" s="7" t="s">
        <v>192</v>
      </c>
      <c r="D62" s="8">
        <v>296</v>
      </c>
      <c r="E62" s="9">
        <v>0.12886373530692199</v>
      </c>
      <c r="F62" s="8">
        <v>124</v>
      </c>
      <c r="G62" s="8">
        <v>90</v>
      </c>
      <c r="H62" s="38">
        <v>0.18581081081081099</v>
      </c>
      <c r="I62" s="38">
        <v>0.33064516129032301</v>
      </c>
      <c r="J62" s="38">
        <v>-1.1111111111111099E-2</v>
      </c>
      <c r="K62" s="38">
        <v>0.34175627240143402</v>
      </c>
      <c r="L62" s="9">
        <v>0.29391891891891903</v>
      </c>
      <c r="M62" s="9">
        <v>0.32786885245901598</v>
      </c>
      <c r="N62" s="9">
        <v>0.626811594202899</v>
      </c>
      <c r="O62" s="42">
        <v>228</v>
      </c>
      <c r="P62" s="38">
        <v>3.3529411764705901</v>
      </c>
    </row>
    <row r="63" spans="1:16" ht="15.75" customHeight="1" x14ac:dyDescent="0.2">
      <c r="A63" s="7">
        <v>60</v>
      </c>
      <c r="B63" s="7" t="s">
        <v>152</v>
      </c>
      <c r="C63" s="7" t="s">
        <v>193</v>
      </c>
      <c r="D63" s="8">
        <v>273</v>
      </c>
      <c r="E63" s="9">
        <v>0.131376323387873</v>
      </c>
      <c r="F63" s="8">
        <v>107</v>
      </c>
      <c r="G63" s="8">
        <v>99</v>
      </c>
      <c r="H63" s="38">
        <v>-0.18681318681318701</v>
      </c>
      <c r="I63" s="38">
        <v>-4.67289719626168E-2</v>
      </c>
      <c r="J63" s="38">
        <v>-0.31313131313131298</v>
      </c>
      <c r="K63" s="38">
        <v>0.26640234116869599</v>
      </c>
      <c r="L63" s="9">
        <v>0.22710622710622699</v>
      </c>
      <c r="M63" s="9">
        <v>0.28488372093023301</v>
      </c>
      <c r="N63" s="9">
        <v>0.58661417322834597</v>
      </c>
      <c r="O63" s="42">
        <v>208</v>
      </c>
      <c r="P63" s="38">
        <v>3.2</v>
      </c>
    </row>
    <row r="64" spans="1:16" ht="15.75" customHeight="1" x14ac:dyDescent="0.2">
      <c r="A64" s="7">
        <v>61</v>
      </c>
      <c r="B64" s="7" t="s">
        <v>136</v>
      </c>
      <c r="C64" s="7" t="s">
        <v>194</v>
      </c>
      <c r="D64" s="8">
        <v>259</v>
      </c>
      <c r="E64" s="9">
        <v>0.114551083591331</v>
      </c>
      <c r="F64" s="8">
        <v>89</v>
      </c>
      <c r="G64" s="8">
        <v>104</v>
      </c>
      <c r="H64" s="38">
        <v>-0.33590733590733601</v>
      </c>
      <c r="I64" s="38">
        <v>-0.224719101123596</v>
      </c>
      <c r="J64" s="38">
        <v>-0.375</v>
      </c>
      <c r="K64" s="38">
        <v>0.150280898876405</v>
      </c>
      <c r="L64" s="9">
        <v>0.21621621621621601</v>
      </c>
      <c r="M64" s="9">
        <v>0.31788079470198699</v>
      </c>
      <c r="N64" s="9">
        <v>0.670886075949367</v>
      </c>
      <c r="O64" s="42">
        <v>205</v>
      </c>
      <c r="P64" s="38">
        <v>3.7962962962962998</v>
      </c>
    </row>
    <row r="65" spans="1:16" ht="15.75" customHeight="1" x14ac:dyDescent="0.2">
      <c r="A65" s="7">
        <v>62</v>
      </c>
      <c r="B65" s="7" t="s">
        <v>152</v>
      </c>
      <c r="C65" s="7" t="s">
        <v>195</v>
      </c>
      <c r="D65" s="8">
        <v>258</v>
      </c>
      <c r="E65" s="9">
        <v>0.116321009918846</v>
      </c>
      <c r="F65" s="8">
        <v>91</v>
      </c>
      <c r="G65" s="8">
        <v>101</v>
      </c>
      <c r="H65" s="38">
        <v>-0.418604651162791</v>
      </c>
      <c r="I65" s="38">
        <v>-0.19780219780219799</v>
      </c>
      <c r="J65" s="38">
        <v>-0.62376237623762398</v>
      </c>
      <c r="K65" s="38">
        <v>0.425960178435426</v>
      </c>
      <c r="L65" s="9">
        <v>0.162790697674419</v>
      </c>
      <c r="M65" s="9">
        <v>0.341935483870968</v>
      </c>
      <c r="N65" s="9">
        <v>0.68619246861924699</v>
      </c>
      <c r="O65" s="42">
        <v>194</v>
      </c>
      <c r="P65" s="38">
        <v>3.03125</v>
      </c>
    </row>
    <row r="66" spans="1:16" ht="15.75" customHeight="1" x14ac:dyDescent="0.2">
      <c r="A66" s="7">
        <v>63</v>
      </c>
      <c r="B66" s="7" t="s">
        <v>134</v>
      </c>
      <c r="C66" s="7" t="s">
        <v>196</v>
      </c>
      <c r="D66" s="8">
        <v>243</v>
      </c>
      <c r="E66" s="9">
        <v>0.14021927293710301</v>
      </c>
      <c r="F66" s="8">
        <v>98</v>
      </c>
      <c r="G66" s="8">
        <v>91</v>
      </c>
      <c r="H66" s="38">
        <v>-5.7613168724279802E-2</v>
      </c>
      <c r="I66" s="38">
        <v>0.102040816326531</v>
      </c>
      <c r="J66" s="38">
        <v>-0.25274725274725302</v>
      </c>
      <c r="K66" s="38">
        <v>0.35478806907378302</v>
      </c>
      <c r="L66" s="9">
        <v>0.30041152263374499</v>
      </c>
      <c r="M66" s="9">
        <v>0.43506493506493499</v>
      </c>
      <c r="N66" s="9">
        <v>0.62389380530973504</v>
      </c>
      <c r="O66" s="42">
        <v>182</v>
      </c>
      <c r="P66" s="38">
        <v>2.9836065573770498</v>
      </c>
    </row>
    <row r="67" spans="1:16" ht="15.75" customHeight="1" x14ac:dyDescent="0.2">
      <c r="A67" s="7">
        <v>64</v>
      </c>
      <c r="B67" s="7" t="s">
        <v>134</v>
      </c>
      <c r="C67" s="7" t="s">
        <v>197</v>
      </c>
      <c r="D67" s="8">
        <v>243</v>
      </c>
      <c r="E67" s="9">
        <v>0.130574959699087</v>
      </c>
      <c r="F67" s="8">
        <v>100</v>
      </c>
      <c r="G67" s="8">
        <v>87</v>
      </c>
      <c r="H67" s="38">
        <v>1.2345679012345699E-2</v>
      </c>
      <c r="I67" s="38">
        <v>0.24</v>
      </c>
      <c r="J67" s="38">
        <v>-0.29885057471264398</v>
      </c>
      <c r="K67" s="38">
        <v>0.53885057471264397</v>
      </c>
      <c r="L67" s="9">
        <v>0.24691358024691401</v>
      </c>
      <c r="M67" s="9">
        <v>0.42307692307692302</v>
      </c>
      <c r="N67" s="9">
        <v>0.69090909090909103</v>
      </c>
      <c r="O67" s="42">
        <v>189</v>
      </c>
      <c r="P67" s="38">
        <v>3.5</v>
      </c>
    </row>
    <row r="68" spans="1:16" ht="15.75" customHeight="1" x14ac:dyDescent="0.2">
      <c r="A68" s="7">
        <v>65</v>
      </c>
      <c r="B68" s="7" t="s">
        <v>158</v>
      </c>
      <c r="C68" s="7" t="s">
        <v>198</v>
      </c>
      <c r="D68" s="8">
        <v>243</v>
      </c>
      <c r="E68" s="9">
        <v>0.122913505311077</v>
      </c>
      <c r="F68" s="8">
        <v>78</v>
      </c>
      <c r="G68" s="8">
        <v>105</v>
      </c>
      <c r="H68" s="38">
        <v>-0.209876543209877</v>
      </c>
      <c r="I68" s="38">
        <v>-1.2820512820512799E-2</v>
      </c>
      <c r="J68" s="38">
        <v>-0.44761904761904803</v>
      </c>
      <c r="K68" s="38">
        <v>0.43479853479853497</v>
      </c>
      <c r="L68" s="9">
        <v>0.22222222222222199</v>
      </c>
      <c r="M68" s="9">
        <v>0.26143790849673199</v>
      </c>
      <c r="N68" s="9">
        <v>0.62211981566820296</v>
      </c>
      <c r="O68" s="42">
        <v>179</v>
      </c>
      <c r="P68" s="38">
        <v>2.796875</v>
      </c>
    </row>
    <row r="69" spans="1:16" ht="15.75" customHeight="1" x14ac:dyDescent="0.2">
      <c r="A69" s="7">
        <v>66</v>
      </c>
      <c r="B69" s="7" t="s">
        <v>134</v>
      </c>
      <c r="C69" s="7" t="s">
        <v>199</v>
      </c>
      <c r="D69" s="8">
        <v>241</v>
      </c>
      <c r="E69" s="9">
        <v>0.13493840985442301</v>
      </c>
      <c r="F69" s="8">
        <v>96</v>
      </c>
      <c r="G69" s="8">
        <v>83</v>
      </c>
      <c r="H69" s="38">
        <v>-0.17427385892116201</v>
      </c>
      <c r="I69" s="38">
        <v>0</v>
      </c>
      <c r="J69" s="38">
        <v>-0.44578313253012097</v>
      </c>
      <c r="K69" s="38">
        <v>0.44578313253012097</v>
      </c>
      <c r="L69" s="9">
        <v>0.219917012448133</v>
      </c>
      <c r="M69" s="9">
        <v>0.42384105960264901</v>
      </c>
      <c r="N69" s="9">
        <v>0.72</v>
      </c>
      <c r="O69" s="42">
        <v>186</v>
      </c>
      <c r="P69" s="38">
        <v>3.3818181818181801</v>
      </c>
    </row>
    <row r="70" spans="1:16" ht="15.75" customHeight="1" x14ac:dyDescent="0.2">
      <c r="A70" s="7">
        <v>67</v>
      </c>
      <c r="B70" s="7" t="s">
        <v>158</v>
      </c>
      <c r="C70" s="7" t="s">
        <v>200</v>
      </c>
      <c r="D70" s="8">
        <v>239</v>
      </c>
      <c r="E70" s="9">
        <v>0.12863293864370301</v>
      </c>
      <c r="F70" s="8">
        <v>84</v>
      </c>
      <c r="G70" s="8">
        <v>90</v>
      </c>
      <c r="H70" s="38">
        <v>-7.1129707112970703E-2</v>
      </c>
      <c r="I70" s="38">
        <v>3.5714285714285698E-2</v>
      </c>
      <c r="J70" s="38">
        <v>-0.17777777777777801</v>
      </c>
      <c r="K70" s="38">
        <v>0.21349206349206401</v>
      </c>
      <c r="L70" s="9">
        <v>0.25941422594142299</v>
      </c>
      <c r="M70" s="9">
        <v>0.47368421052631599</v>
      </c>
      <c r="N70" s="9">
        <v>0.69444444444444398</v>
      </c>
      <c r="O70" s="42">
        <v>176</v>
      </c>
      <c r="P70" s="38">
        <v>2.7936507936507899</v>
      </c>
    </row>
    <row r="71" spans="1:16" ht="15.75" customHeight="1" x14ac:dyDescent="0.2">
      <c r="A71" s="7">
        <v>68</v>
      </c>
      <c r="B71" s="7" t="s">
        <v>152</v>
      </c>
      <c r="C71" s="7" t="s">
        <v>201</v>
      </c>
      <c r="D71" s="8">
        <v>226</v>
      </c>
      <c r="E71" s="9">
        <v>0.110190151145783</v>
      </c>
      <c r="F71" s="8">
        <v>88</v>
      </c>
      <c r="G71" s="8">
        <v>84</v>
      </c>
      <c r="H71" s="38">
        <v>-0.40707964601769903</v>
      </c>
      <c r="I71" s="38">
        <v>-0.27272727272727298</v>
      </c>
      <c r="J71" s="38">
        <v>-0.547619047619048</v>
      </c>
      <c r="K71" s="38">
        <v>0.27489177489177502</v>
      </c>
      <c r="L71" s="9">
        <v>0.16814159292035399</v>
      </c>
      <c r="M71" s="9">
        <v>0.36170212765957499</v>
      </c>
      <c r="N71" s="9">
        <v>0.64454976303317502</v>
      </c>
      <c r="O71" s="42">
        <v>180</v>
      </c>
      <c r="P71" s="38">
        <v>3.9130434782608701</v>
      </c>
    </row>
    <row r="72" spans="1:16" ht="15.75" customHeight="1" x14ac:dyDescent="0.2">
      <c r="A72" s="7">
        <v>69</v>
      </c>
      <c r="B72" s="7" t="s">
        <v>136</v>
      </c>
      <c r="C72" s="7" t="s">
        <v>202</v>
      </c>
      <c r="D72" s="8">
        <v>188</v>
      </c>
      <c r="E72" s="9">
        <v>0.133427963094393</v>
      </c>
      <c r="F72" s="8">
        <v>74</v>
      </c>
      <c r="G72" s="8">
        <v>67</v>
      </c>
      <c r="H72" s="38">
        <v>-0.111702127659575</v>
      </c>
      <c r="I72" s="38">
        <v>0.162162162162162</v>
      </c>
      <c r="J72" s="38">
        <v>-0.402985074626866</v>
      </c>
      <c r="K72" s="38">
        <v>0.56514723678902801</v>
      </c>
      <c r="L72" s="9">
        <v>0.37765957446808501</v>
      </c>
      <c r="M72" s="9">
        <v>0.22222222222222199</v>
      </c>
      <c r="N72" s="9">
        <v>0.49431818181818199</v>
      </c>
      <c r="O72" s="42">
        <v>147</v>
      </c>
      <c r="P72" s="38">
        <v>3.5853658536585402</v>
      </c>
    </row>
    <row r="73" spans="1:16" ht="15.75" customHeight="1" x14ac:dyDescent="0.2">
      <c r="A73" s="7">
        <v>70</v>
      </c>
      <c r="B73" s="7" t="s">
        <v>152</v>
      </c>
      <c r="C73" s="7" t="s">
        <v>203</v>
      </c>
      <c r="D73" s="8">
        <v>180</v>
      </c>
      <c r="E73" s="9">
        <v>0.115904700579524</v>
      </c>
      <c r="F73" s="8">
        <v>63</v>
      </c>
      <c r="G73" s="8">
        <v>62</v>
      </c>
      <c r="H73" s="38">
        <v>-0.18333333333333299</v>
      </c>
      <c r="I73" s="38">
        <v>-7.9365079365079402E-2</v>
      </c>
      <c r="J73" s="38">
        <v>-0.41935483870967699</v>
      </c>
      <c r="K73" s="38">
        <v>0.33998975934459802</v>
      </c>
      <c r="L73" s="9">
        <v>0.23888888888888901</v>
      </c>
      <c r="M73" s="9">
        <v>0.33653846153846201</v>
      </c>
      <c r="N73" s="9">
        <v>0.63030303030303003</v>
      </c>
      <c r="O73" s="42">
        <v>144</v>
      </c>
      <c r="P73" s="38">
        <v>4</v>
      </c>
    </row>
    <row r="74" spans="1:16" ht="15.75" customHeight="1" x14ac:dyDescent="0.2">
      <c r="A74" s="7">
        <v>71</v>
      </c>
      <c r="B74" s="7" t="s">
        <v>136</v>
      </c>
      <c r="C74" s="7" t="s">
        <v>204</v>
      </c>
      <c r="D74" s="8">
        <v>162</v>
      </c>
      <c r="E74" s="9">
        <v>0.13728813559322001</v>
      </c>
      <c r="F74" s="8">
        <v>57</v>
      </c>
      <c r="G74" s="8">
        <v>69</v>
      </c>
      <c r="H74" s="38">
        <v>-0.17283950617284</v>
      </c>
      <c r="I74" s="38">
        <v>3.5087719298245598E-2</v>
      </c>
      <c r="J74" s="38">
        <v>-0.33333333333333298</v>
      </c>
      <c r="K74" s="38">
        <v>0.36842105263157898</v>
      </c>
      <c r="L74" s="9">
        <v>0.296296296296296</v>
      </c>
      <c r="M74" s="9">
        <v>0.38938053097345099</v>
      </c>
      <c r="N74" s="9">
        <v>0.67123287671232901</v>
      </c>
      <c r="O74" s="42">
        <v>125</v>
      </c>
      <c r="P74" s="38">
        <v>3.3783783783783798</v>
      </c>
    </row>
    <row r="75" spans="1:16" ht="15.75" customHeight="1" x14ac:dyDescent="0.2">
      <c r="A75" s="7">
        <v>72</v>
      </c>
      <c r="B75" s="7" t="s">
        <v>134</v>
      </c>
      <c r="C75" s="7" t="s">
        <v>148</v>
      </c>
      <c r="D75" s="8">
        <v>161</v>
      </c>
      <c r="E75" s="9">
        <v>0.157998037291462</v>
      </c>
      <c r="F75" s="8">
        <v>71</v>
      </c>
      <c r="G75" s="8">
        <v>65</v>
      </c>
      <c r="H75" s="38">
        <v>0.217391304347826</v>
      </c>
      <c r="I75" s="38">
        <v>0.26760563380281699</v>
      </c>
      <c r="J75" s="38">
        <v>9.2307692307692299E-2</v>
      </c>
      <c r="K75" s="38">
        <v>0.17529794149512501</v>
      </c>
      <c r="L75" s="9">
        <v>0.34782608695652201</v>
      </c>
      <c r="M75" s="9">
        <v>0.23711340206185599</v>
      </c>
      <c r="N75" s="9">
        <v>0.445945945945946</v>
      </c>
      <c r="O75" s="42">
        <v>120</v>
      </c>
      <c r="P75" s="38">
        <v>2.9268292682926802</v>
      </c>
    </row>
    <row r="76" spans="1:16" ht="15.75" customHeight="1" x14ac:dyDescent="0.2">
      <c r="A76" s="7">
        <v>73</v>
      </c>
      <c r="B76" s="7" t="s">
        <v>136</v>
      </c>
      <c r="C76" s="7" t="s">
        <v>205</v>
      </c>
      <c r="D76" s="8">
        <v>121</v>
      </c>
      <c r="E76" s="9">
        <v>0.12551867219917001</v>
      </c>
      <c r="F76" s="8">
        <v>49</v>
      </c>
      <c r="G76" s="8">
        <v>45</v>
      </c>
      <c r="H76" s="38">
        <v>0</v>
      </c>
      <c r="I76" s="38">
        <v>8.1632653061224497E-2</v>
      </c>
      <c r="J76" s="38">
        <v>2.2222222222222199E-2</v>
      </c>
      <c r="K76" s="38">
        <v>5.9410430839002298E-2</v>
      </c>
      <c r="L76" s="9">
        <v>0.35537190082644599</v>
      </c>
      <c r="M76" s="9">
        <v>0.43243243243243301</v>
      </c>
      <c r="N76" s="9">
        <v>0.73394495412843996</v>
      </c>
      <c r="O76" s="42">
        <v>101</v>
      </c>
      <c r="P76" s="38">
        <v>5.05</v>
      </c>
    </row>
    <row r="77" spans="1:16" ht="15.75" customHeight="1" x14ac:dyDescent="0.2">
      <c r="A77" s="7">
        <v>74</v>
      </c>
      <c r="B77" s="7" t="s">
        <v>136</v>
      </c>
      <c r="C77" s="7" t="s">
        <v>206</v>
      </c>
      <c r="D77" s="8">
        <v>109</v>
      </c>
      <c r="E77" s="9">
        <v>0.17301587301587301</v>
      </c>
      <c r="F77" s="8">
        <v>51</v>
      </c>
      <c r="G77" s="8">
        <v>42</v>
      </c>
      <c r="H77" s="38">
        <v>-0.119266055045872</v>
      </c>
      <c r="I77" s="38">
        <v>0.13725490196078399</v>
      </c>
      <c r="J77" s="38">
        <v>-0.476190476190476</v>
      </c>
      <c r="K77" s="38">
        <v>0.61344537815126099</v>
      </c>
      <c r="L77" s="9">
        <v>0.23853211009174299</v>
      </c>
      <c r="M77" s="9">
        <v>0.4</v>
      </c>
      <c r="N77" s="9">
        <v>0.73076923076923095</v>
      </c>
      <c r="O77" s="42">
        <v>90</v>
      </c>
      <c r="P77" s="38">
        <v>4.7368421052631602</v>
      </c>
    </row>
    <row r="78" spans="1:16" ht="15.75" customHeight="1" x14ac:dyDescent="0.2">
      <c r="A78" s="7">
        <v>75</v>
      </c>
      <c r="B78" s="7" t="s">
        <v>136</v>
      </c>
      <c r="C78" s="7" t="s">
        <v>207</v>
      </c>
      <c r="D78" s="8">
        <v>107</v>
      </c>
      <c r="E78" s="9">
        <v>0.12829736211031201</v>
      </c>
      <c r="F78" s="8">
        <v>39</v>
      </c>
      <c r="G78" s="8">
        <v>41</v>
      </c>
      <c r="H78" s="38">
        <v>-0.10280373831775701</v>
      </c>
      <c r="I78" s="38">
        <v>-5.1282051282051301E-2</v>
      </c>
      <c r="J78" s="38">
        <v>-0.292682926829268</v>
      </c>
      <c r="K78" s="38">
        <v>0.24140087554721701</v>
      </c>
      <c r="L78" s="9">
        <v>0.31775700934579398</v>
      </c>
      <c r="M78" s="9">
        <v>0.39622641509433998</v>
      </c>
      <c r="N78" s="9">
        <v>0.56701030927835105</v>
      </c>
      <c r="O78" s="42">
        <v>90</v>
      </c>
      <c r="P78" s="38">
        <v>5.2941176470588198</v>
      </c>
    </row>
    <row r="79" spans="1:16" ht="15.75" customHeight="1" x14ac:dyDescent="0.2">
      <c r="A79" s="7">
        <v>76</v>
      </c>
      <c r="B79" s="7" t="s">
        <v>136</v>
      </c>
      <c r="C79" s="7" t="s">
        <v>208</v>
      </c>
      <c r="D79" s="8">
        <v>106</v>
      </c>
      <c r="E79" s="9">
        <v>0.15229885057471301</v>
      </c>
      <c r="F79" s="8">
        <v>34</v>
      </c>
      <c r="G79" s="8">
        <v>39</v>
      </c>
      <c r="H79" s="38">
        <v>-0.26415094339622602</v>
      </c>
      <c r="I79" s="38">
        <v>-0.17647058823529399</v>
      </c>
      <c r="J79" s="38">
        <v>-0.512820512820513</v>
      </c>
      <c r="K79" s="38">
        <v>0.33634992458521901</v>
      </c>
      <c r="L79" s="9">
        <v>0.26415094339622602</v>
      </c>
      <c r="M79" s="9">
        <v>0.26785714285714302</v>
      </c>
      <c r="N79" s="9">
        <v>0.63043478260869601</v>
      </c>
      <c r="O79" s="42">
        <v>94</v>
      </c>
      <c r="P79" s="38">
        <v>7.8333333333333304</v>
      </c>
    </row>
    <row r="80" spans="1:16" ht="15.75" customHeight="1" x14ac:dyDescent="0.2">
      <c r="A80" s="7">
        <v>77</v>
      </c>
      <c r="B80" s="7" t="s">
        <v>152</v>
      </c>
      <c r="C80" s="7" t="s">
        <v>209</v>
      </c>
      <c r="D80" s="8">
        <v>105</v>
      </c>
      <c r="E80" s="9">
        <v>7.40479548660085E-2</v>
      </c>
      <c r="F80" s="8">
        <v>34</v>
      </c>
      <c r="G80" s="8">
        <v>41</v>
      </c>
      <c r="H80" s="38">
        <v>-0.266666666666667</v>
      </c>
      <c r="I80" s="38">
        <v>-2.9411764705882401E-2</v>
      </c>
      <c r="J80" s="38">
        <v>-0.46341463414634199</v>
      </c>
      <c r="K80" s="38">
        <v>0.43400286944045902</v>
      </c>
      <c r="L80" s="9">
        <v>0.314285714285714</v>
      </c>
      <c r="M80" s="9">
        <v>0.32786885245901598</v>
      </c>
      <c r="N80" s="9">
        <v>0.56701030927835105</v>
      </c>
      <c r="O80" s="42">
        <v>84</v>
      </c>
      <c r="P80" s="38">
        <v>4</v>
      </c>
    </row>
    <row r="81" spans="1:16" ht="15.75" customHeight="1" x14ac:dyDescent="0.2">
      <c r="A81" s="7">
        <v>78</v>
      </c>
      <c r="B81" s="7" t="s">
        <v>152</v>
      </c>
      <c r="C81" s="7" t="s">
        <v>210</v>
      </c>
      <c r="D81" s="8">
        <v>95</v>
      </c>
      <c r="E81" s="9">
        <v>0.129251700680272</v>
      </c>
      <c r="F81" s="8">
        <v>38</v>
      </c>
      <c r="G81" s="8">
        <v>31</v>
      </c>
      <c r="H81" s="38">
        <v>-0.442105263157895</v>
      </c>
      <c r="I81" s="38">
        <v>-0.18421052631578999</v>
      </c>
      <c r="J81" s="38">
        <v>-0.77419354838709697</v>
      </c>
      <c r="K81" s="38">
        <v>0.58998302207130704</v>
      </c>
      <c r="L81" s="9">
        <v>0.13684210526315799</v>
      </c>
      <c r="M81" s="9">
        <v>0.60655737704918</v>
      </c>
      <c r="N81" s="9">
        <v>0.76744186046511598</v>
      </c>
      <c r="O81" s="42">
        <v>76</v>
      </c>
      <c r="P81" s="38">
        <v>4</v>
      </c>
    </row>
    <row r="82" spans="1:16" ht="15.75" customHeight="1" x14ac:dyDescent="0.2">
      <c r="A82" s="7">
        <v>79</v>
      </c>
      <c r="B82" s="7" t="s">
        <v>152</v>
      </c>
      <c r="C82" s="7" t="s">
        <v>211</v>
      </c>
      <c r="D82" s="8">
        <v>90</v>
      </c>
      <c r="E82" s="9">
        <v>0.149501661129568</v>
      </c>
      <c r="F82" s="8">
        <v>27</v>
      </c>
      <c r="G82" s="8">
        <v>37</v>
      </c>
      <c r="H82" s="38">
        <v>-0.25555555555555598</v>
      </c>
      <c r="I82" s="38">
        <v>0</v>
      </c>
      <c r="J82" s="38">
        <v>-0.48648648648648701</v>
      </c>
      <c r="K82" s="38">
        <v>0.48648648648648701</v>
      </c>
      <c r="L82" s="9">
        <v>0.3</v>
      </c>
      <c r="M82" s="9">
        <v>0.36734693877551</v>
      </c>
      <c r="N82" s="9">
        <v>0.469879518072289</v>
      </c>
      <c r="O82" s="42">
        <v>74</v>
      </c>
      <c r="P82" s="38">
        <v>4.625</v>
      </c>
    </row>
    <row r="83" spans="1:16" ht="15.75" customHeight="1" x14ac:dyDescent="0.2">
      <c r="A83" s="7">
        <v>80</v>
      </c>
      <c r="B83" s="7" t="s">
        <v>152</v>
      </c>
      <c r="C83" s="7" t="s">
        <v>212</v>
      </c>
      <c r="D83" s="8">
        <v>69</v>
      </c>
      <c r="E83" s="9">
        <v>0.11183144246353301</v>
      </c>
      <c r="F83" s="8">
        <v>34</v>
      </c>
      <c r="G83" s="8">
        <v>17</v>
      </c>
      <c r="H83" s="38">
        <v>-0.115942028985507</v>
      </c>
      <c r="I83" s="38">
        <v>2.9411764705882401E-2</v>
      </c>
      <c r="J83" s="38">
        <v>-0.29411764705882398</v>
      </c>
      <c r="K83" s="38">
        <v>0.32352941176470601</v>
      </c>
      <c r="L83" s="9">
        <v>0.217391304347826</v>
      </c>
      <c r="M83" s="9">
        <v>0.28205128205128199</v>
      </c>
      <c r="N83" s="9">
        <v>0.6</v>
      </c>
      <c r="O83" s="42">
        <v>53</v>
      </c>
      <c r="P83" s="38">
        <v>3.3125</v>
      </c>
    </row>
    <row r="84" spans="1:16" ht="15.75" customHeight="1" x14ac:dyDescent="0.2">
      <c r="A84" s="7">
        <v>81</v>
      </c>
      <c r="B84" s="7" t="s">
        <v>152</v>
      </c>
      <c r="C84" s="7" t="s">
        <v>213</v>
      </c>
      <c r="D84" s="8">
        <v>57</v>
      </c>
      <c r="E84" s="9">
        <v>0.102150537634409</v>
      </c>
      <c r="F84" s="8">
        <v>23</v>
      </c>
      <c r="G84" s="8">
        <v>16</v>
      </c>
      <c r="H84" s="38">
        <v>-0.28070175438596501</v>
      </c>
      <c r="I84" s="38">
        <v>-0.30434782608695699</v>
      </c>
      <c r="J84" s="38">
        <v>-0.25</v>
      </c>
      <c r="K84" s="38">
        <v>-5.4347826086956499E-2</v>
      </c>
      <c r="L84" s="9">
        <v>0.22807017543859701</v>
      </c>
      <c r="M84" s="9">
        <v>0.45945945945945998</v>
      </c>
      <c r="N84" s="9">
        <v>0.62962962962962998</v>
      </c>
      <c r="O84" s="42">
        <v>41</v>
      </c>
      <c r="P84" s="38">
        <v>2.5625</v>
      </c>
    </row>
    <row r="85" spans="1:16" ht="15.75" customHeight="1" x14ac:dyDescent="0.2">
      <c r="A85" s="7">
        <v>82</v>
      </c>
      <c r="B85" s="7" t="s">
        <v>136</v>
      </c>
      <c r="C85" s="7" t="s">
        <v>214</v>
      </c>
      <c r="D85" s="8">
        <v>56</v>
      </c>
      <c r="E85" s="9">
        <v>0.157746478873239</v>
      </c>
      <c r="F85" s="8">
        <v>17</v>
      </c>
      <c r="G85" s="8">
        <v>20</v>
      </c>
      <c r="H85" s="38">
        <v>-3.5714285714285698E-2</v>
      </c>
      <c r="I85" s="38">
        <v>0.47058823529411797</v>
      </c>
      <c r="J85" s="38">
        <v>-0.4</v>
      </c>
      <c r="K85" s="38">
        <v>0.870588235294118</v>
      </c>
      <c r="L85" s="9">
        <v>0.28571428571428598</v>
      </c>
      <c r="M85" s="9">
        <v>0.24242424242424199</v>
      </c>
      <c r="N85" s="9">
        <v>0.51923076923076905</v>
      </c>
      <c r="O85" s="42">
        <v>41</v>
      </c>
      <c r="P85" s="38">
        <v>2.7333333333333298</v>
      </c>
    </row>
    <row r="86" spans="1:16" ht="15.75" customHeight="1" x14ac:dyDescent="0.2">
      <c r="A86" s="7">
        <v>83</v>
      </c>
      <c r="B86" s="7" t="s">
        <v>136</v>
      </c>
      <c r="C86" s="7" t="s">
        <v>215</v>
      </c>
      <c r="D86" s="8">
        <v>41</v>
      </c>
      <c r="E86" s="9">
        <v>0.15530303030303</v>
      </c>
      <c r="F86" s="8">
        <v>21</v>
      </c>
      <c r="G86" s="8">
        <v>10</v>
      </c>
      <c r="H86" s="38">
        <v>0.146341463414634</v>
      </c>
      <c r="I86" s="38">
        <v>0.28571428571428598</v>
      </c>
      <c r="J86" s="38">
        <v>0</v>
      </c>
      <c r="K86" s="38">
        <v>0.28571428571428598</v>
      </c>
      <c r="L86" s="9">
        <v>0.26829268292682901</v>
      </c>
      <c r="M86" s="9">
        <v>0.27272727272727298</v>
      </c>
      <c r="N86" s="9">
        <v>0.55263157894736903</v>
      </c>
      <c r="O86" s="42">
        <v>31</v>
      </c>
      <c r="P86" s="38">
        <v>3.1</v>
      </c>
    </row>
    <row r="87" spans="1:16" ht="15.75" customHeight="1" x14ac:dyDescent="0.2">
      <c r="A87" s="7">
        <v>84</v>
      </c>
      <c r="B87" s="7" t="s">
        <v>152</v>
      </c>
      <c r="C87" s="7" t="s">
        <v>216</v>
      </c>
      <c r="D87" s="8">
        <v>38</v>
      </c>
      <c r="E87" s="9">
        <v>0.124590163934426</v>
      </c>
      <c r="F87" s="8">
        <v>18</v>
      </c>
      <c r="G87" s="8">
        <v>12</v>
      </c>
      <c r="H87" s="38">
        <v>-0.157894736842105</v>
      </c>
      <c r="I87" s="38">
        <v>5.5555555555555601E-2</v>
      </c>
      <c r="J87" s="38">
        <v>-0.41666666666666702</v>
      </c>
      <c r="K87" s="38">
        <v>0.47222222222222199</v>
      </c>
      <c r="L87" s="9">
        <v>0.31578947368421101</v>
      </c>
      <c r="M87" s="9">
        <v>0.38095238095238099</v>
      </c>
      <c r="N87" s="9">
        <v>0.58333333333333304</v>
      </c>
      <c r="O87" s="42">
        <v>30</v>
      </c>
      <c r="P87" s="38">
        <v>3.75</v>
      </c>
    </row>
    <row r="88" spans="1:16" ht="15.75" customHeight="1" x14ac:dyDescent="0.2">
      <c r="A88" s="7">
        <v>85</v>
      </c>
      <c r="B88" s="7" t="s">
        <v>152</v>
      </c>
      <c r="C88" s="7" t="s">
        <v>217</v>
      </c>
      <c r="D88" s="8">
        <v>36</v>
      </c>
      <c r="E88" s="9">
        <v>0.151898734177215</v>
      </c>
      <c r="F88" s="8">
        <v>14</v>
      </c>
      <c r="G88" s="8">
        <v>17</v>
      </c>
      <c r="H88" s="38">
        <v>-0.16666666666666699</v>
      </c>
      <c r="I88" s="38">
        <v>7.1428571428571397E-2</v>
      </c>
      <c r="J88" s="38">
        <v>-0.35294117647058798</v>
      </c>
      <c r="K88" s="38">
        <v>0.42436974789915999</v>
      </c>
      <c r="L88" s="9">
        <v>0.22222222222222199</v>
      </c>
      <c r="M88" s="9">
        <v>0.33333333333333298</v>
      </c>
      <c r="N88" s="9">
        <v>0.52777777777777801</v>
      </c>
      <c r="O88" s="42">
        <v>25</v>
      </c>
      <c r="P88" s="38">
        <v>2.2727272727272698</v>
      </c>
    </row>
    <row r="89" spans="1:16" ht="15.75" customHeight="1" x14ac:dyDescent="0.2">
      <c r="A89" s="7">
        <v>86</v>
      </c>
      <c r="B89" s="7" t="s">
        <v>152</v>
      </c>
      <c r="C89" s="7" t="s">
        <v>218</v>
      </c>
      <c r="D89" s="8">
        <v>28</v>
      </c>
      <c r="E89" s="9">
        <v>0.155555555555556</v>
      </c>
      <c r="F89" s="8">
        <v>10</v>
      </c>
      <c r="G89" s="8">
        <v>12</v>
      </c>
      <c r="H89" s="38">
        <v>-0.53571428571428603</v>
      </c>
      <c r="I89" s="38">
        <v>-0.2</v>
      </c>
      <c r="J89" s="38">
        <v>-0.91666666666666696</v>
      </c>
      <c r="K89" s="38">
        <v>0.71666666666666701</v>
      </c>
      <c r="L89" s="9">
        <v>0.17857142857142899</v>
      </c>
      <c r="M89" s="9">
        <v>0.5</v>
      </c>
      <c r="N89" s="9">
        <v>0.68</v>
      </c>
      <c r="O89" s="42">
        <v>25</v>
      </c>
      <c r="P89" s="38">
        <v>8.3333333333333304</v>
      </c>
    </row>
    <row r="90" spans="1:16" ht="15.75" customHeight="1" x14ac:dyDescent="0.2">
      <c r="A90" s="7">
        <v>87</v>
      </c>
      <c r="B90" s="7" t="s">
        <v>136</v>
      </c>
      <c r="C90" s="7" t="s">
        <v>219</v>
      </c>
      <c r="D90" s="8">
        <v>27</v>
      </c>
      <c r="E90" s="9">
        <v>0.17647058823529399</v>
      </c>
      <c r="F90" s="8">
        <v>16</v>
      </c>
      <c r="G90" s="8">
        <v>8</v>
      </c>
      <c r="H90" s="38">
        <v>0</v>
      </c>
      <c r="I90" s="38">
        <v>0.1875</v>
      </c>
      <c r="J90" s="38">
        <v>-0.375</v>
      </c>
      <c r="K90" s="38">
        <v>0.5625</v>
      </c>
      <c r="L90" s="9">
        <v>0.25925925925925902</v>
      </c>
      <c r="M90" s="9">
        <v>0.23529411764705899</v>
      </c>
      <c r="N90" s="9">
        <v>0.61538461538461497</v>
      </c>
      <c r="O90" s="42">
        <v>21</v>
      </c>
      <c r="P90" s="38">
        <v>3.5</v>
      </c>
    </row>
    <row r="91" spans="1:16" ht="15.75" customHeight="1" x14ac:dyDescent="0.2">
      <c r="A91" s="7">
        <v>88</v>
      </c>
      <c r="B91" s="7" t="s">
        <v>152</v>
      </c>
      <c r="C91" s="7" t="s">
        <v>220</v>
      </c>
      <c r="D91" s="8">
        <v>24</v>
      </c>
      <c r="E91" s="9">
        <v>7.25075528700906E-2</v>
      </c>
      <c r="F91" s="8">
        <v>5</v>
      </c>
      <c r="G91" s="8">
        <v>14</v>
      </c>
      <c r="H91" s="38">
        <v>-0.79166666666666696</v>
      </c>
      <c r="I91" s="38">
        <v>-0.8</v>
      </c>
      <c r="J91" s="38">
        <v>-0.85714285714285698</v>
      </c>
      <c r="K91" s="38">
        <v>5.7142857142857099E-2</v>
      </c>
      <c r="L91" s="9">
        <v>0.125</v>
      </c>
      <c r="M91" s="9">
        <v>0.44444444444444398</v>
      </c>
      <c r="N91" s="9">
        <v>0.65217391304347805</v>
      </c>
      <c r="O91" s="42">
        <v>19</v>
      </c>
      <c r="P91" s="38">
        <v>3.8</v>
      </c>
    </row>
    <row r="92" spans="1:16" ht="15.75" customHeight="1" x14ac:dyDescent="0.2">
      <c r="A92" s="7">
        <v>89</v>
      </c>
      <c r="B92" s="7" t="s">
        <v>152</v>
      </c>
      <c r="C92" s="7" t="s">
        <v>221</v>
      </c>
      <c r="D92" s="8">
        <v>14</v>
      </c>
      <c r="E92" s="9">
        <v>8.6956521739130405E-2</v>
      </c>
      <c r="F92" s="8">
        <v>4</v>
      </c>
      <c r="G92" s="8">
        <v>8</v>
      </c>
      <c r="H92" s="38">
        <v>0</v>
      </c>
      <c r="I92" s="38">
        <v>1</v>
      </c>
      <c r="J92" s="38">
        <v>-0.25</v>
      </c>
      <c r="K92" s="38">
        <v>1.25</v>
      </c>
      <c r="L92" s="9">
        <v>0.14285714285714299</v>
      </c>
      <c r="M92" s="9">
        <v>0.42857142857142899</v>
      </c>
      <c r="N92" s="9">
        <v>0.63636363636363602</v>
      </c>
      <c r="O92" s="42">
        <v>11</v>
      </c>
      <c r="P92" s="38">
        <v>3.6666666666666701</v>
      </c>
    </row>
    <row r="93" spans="1:16" ht="15.75" customHeight="1" x14ac:dyDescent="0.2"/>
    <row r="94" spans="1:16" ht="15.75" customHeight="1" x14ac:dyDescent="0.2"/>
    <row r="95" spans="1:16" ht="15.75" customHeight="1" x14ac:dyDescent="0.2"/>
    <row r="96" spans="1:1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3:P92" xr:uid="{00000000-0009-0000-0000-000003000000}"/>
  <conditionalFormatting sqref="K4:K92">
    <cfRule type="colorScale" priority="2">
      <colorScale>
        <cfvo type="min"/>
        <cfvo type="max"/>
        <color rgb="FFFFFFFF"/>
        <color rgb="FF9BC2E6"/>
      </colorScale>
    </cfRule>
  </conditionalFormatting>
  <pageMargins left="0.75" right="0.75" top="1" bottom="1" header="0.511811023622047" footer="0.511811023622047"/>
  <pageSetup orientation="landscape"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1000"/>
  <sheetViews>
    <sheetView zoomScaleNormal="100" workbookViewId="0">
      <pane xSplit="5" ySplit="3" topLeftCell="F4" activePane="bottomRight" state="frozen"/>
      <selection pane="topRight" activeCell="F1" sqref="F1"/>
      <selection pane="bottomLeft" activeCell="A4" sqref="A4"/>
      <selection pane="bottomRight" activeCell="F4" sqref="F4"/>
    </sheetView>
  </sheetViews>
  <sheetFormatPr baseColWidth="10" defaultColWidth="14.5" defaultRowHeight="15" x14ac:dyDescent="0.2"/>
  <cols>
    <col min="1" max="1" width="7" customWidth="1"/>
    <col min="2" max="2" width="12" customWidth="1"/>
    <col min="3" max="3" width="20" customWidth="1"/>
    <col min="4" max="4" width="32" customWidth="1"/>
    <col min="5" max="5" width="9" customWidth="1"/>
    <col min="6" max="7" width="12" customWidth="1"/>
    <col min="8" max="8" width="11" customWidth="1"/>
    <col min="9" max="9" width="10" customWidth="1"/>
    <col min="10" max="10" width="11" customWidth="1"/>
    <col min="11" max="11" width="12" customWidth="1"/>
    <col min="12" max="13" width="11" customWidth="1"/>
    <col min="14" max="16" width="12" customWidth="1"/>
    <col min="17" max="17" width="11" customWidth="1"/>
    <col min="18" max="18" width="10" customWidth="1"/>
    <col min="19" max="26" width="8.6640625" customWidth="1"/>
  </cols>
  <sheetData>
    <row r="1" spans="1:18" ht="16" x14ac:dyDescent="0.2">
      <c r="A1" s="5" t="s">
        <v>222</v>
      </c>
    </row>
    <row r="3" spans="1:18" ht="42" x14ac:dyDescent="0.2">
      <c r="A3" s="6" t="s">
        <v>120</v>
      </c>
      <c r="B3" s="6" t="s">
        <v>121</v>
      </c>
      <c r="C3" s="6" t="s">
        <v>122</v>
      </c>
      <c r="D3" s="6" t="s">
        <v>223</v>
      </c>
      <c r="E3" s="6" t="s">
        <v>224</v>
      </c>
      <c r="F3" s="6" t="s">
        <v>123</v>
      </c>
      <c r="G3" s="6" t="s">
        <v>124</v>
      </c>
      <c r="H3" s="6" t="s">
        <v>125</v>
      </c>
      <c r="I3" s="6" t="s">
        <v>126</v>
      </c>
      <c r="J3" s="6" t="s">
        <v>102</v>
      </c>
      <c r="K3" s="6" t="s">
        <v>127</v>
      </c>
      <c r="L3" s="6" t="s">
        <v>128</v>
      </c>
      <c r="M3" s="6" t="s">
        <v>129</v>
      </c>
      <c r="N3" s="6" t="s">
        <v>103</v>
      </c>
      <c r="O3" s="6" t="s">
        <v>130</v>
      </c>
      <c r="P3" s="6" t="s">
        <v>131</v>
      </c>
      <c r="Q3" s="6" t="s">
        <v>132</v>
      </c>
      <c r="R3" s="6" t="s">
        <v>133</v>
      </c>
    </row>
    <row r="4" spans="1:18" x14ac:dyDescent="0.2">
      <c r="A4" s="7">
        <v>1</v>
      </c>
      <c r="B4" s="7" t="s">
        <v>136</v>
      </c>
      <c r="C4" s="7" t="s">
        <v>137</v>
      </c>
      <c r="D4" s="7" t="s">
        <v>225</v>
      </c>
      <c r="E4" s="7" t="s">
        <v>226</v>
      </c>
      <c r="F4" s="8">
        <v>3189</v>
      </c>
      <c r="G4" s="9">
        <v>0.86305818673883605</v>
      </c>
      <c r="H4" s="8">
        <v>1502</v>
      </c>
      <c r="I4" s="8">
        <v>1137</v>
      </c>
      <c r="J4" s="38">
        <v>0.46190028222013202</v>
      </c>
      <c r="K4" s="38">
        <v>0.62117177097203702</v>
      </c>
      <c r="L4" s="38">
        <v>0.25857519788918198</v>
      </c>
      <c r="M4" s="38">
        <v>0.36259657308285498</v>
      </c>
      <c r="N4" s="9">
        <v>0.29601756036374999</v>
      </c>
      <c r="O4" s="9">
        <v>0.31945441493180199</v>
      </c>
      <c r="P4" s="9">
        <v>0.55486756105951196</v>
      </c>
      <c r="Q4" s="42">
        <v>2717</v>
      </c>
      <c r="R4" s="38">
        <v>5.7563559322033901</v>
      </c>
    </row>
    <row r="5" spans="1:18" x14ac:dyDescent="0.2">
      <c r="A5" s="7">
        <v>2</v>
      </c>
      <c r="B5" s="7" t="s">
        <v>136</v>
      </c>
      <c r="C5" s="7" t="s">
        <v>138</v>
      </c>
      <c r="D5" s="7" t="s">
        <v>227</v>
      </c>
      <c r="E5" s="7" t="s">
        <v>228</v>
      </c>
      <c r="F5" s="8">
        <v>1611</v>
      </c>
      <c r="G5" s="9">
        <v>0.82446264073694997</v>
      </c>
      <c r="H5" s="8">
        <v>833</v>
      </c>
      <c r="I5" s="8">
        <v>578</v>
      </c>
      <c r="J5" s="38">
        <v>0.53382991930477997</v>
      </c>
      <c r="K5" s="38">
        <v>0.63625450180071996</v>
      </c>
      <c r="L5" s="38">
        <v>0.41003460207612502</v>
      </c>
      <c r="M5" s="38">
        <v>0.226219899724596</v>
      </c>
      <c r="N5" s="9">
        <v>0.26132836747361898</v>
      </c>
      <c r="O5" s="9">
        <v>0.462608695652174</v>
      </c>
      <c r="P5" s="9">
        <v>0.73684210526315796</v>
      </c>
      <c r="Q5" s="42">
        <v>1533</v>
      </c>
      <c r="R5" s="38">
        <v>19.653846153846199</v>
      </c>
    </row>
    <row r="6" spans="1:18" x14ac:dyDescent="0.2">
      <c r="A6" s="7">
        <v>3</v>
      </c>
      <c r="B6" s="7" t="s">
        <v>134</v>
      </c>
      <c r="C6" s="7" t="s">
        <v>135</v>
      </c>
      <c r="D6" s="7" t="s">
        <v>229</v>
      </c>
      <c r="E6" s="7" t="s">
        <v>230</v>
      </c>
      <c r="F6" s="8">
        <v>1523</v>
      </c>
      <c r="G6" s="9">
        <v>0.63142620232172497</v>
      </c>
      <c r="H6" s="8">
        <v>526</v>
      </c>
      <c r="I6" s="8">
        <v>310</v>
      </c>
      <c r="J6" s="38">
        <v>0.59816152330925798</v>
      </c>
      <c r="K6" s="38">
        <v>0.69201520912547498</v>
      </c>
      <c r="L6" s="38">
        <v>0.40645161290322601</v>
      </c>
      <c r="M6" s="38">
        <v>0.28556359622225003</v>
      </c>
      <c r="N6" s="9">
        <v>0.21930400525279101</v>
      </c>
      <c r="O6" s="9">
        <v>0.31555051078320101</v>
      </c>
      <c r="P6" s="9">
        <v>0.47793618465716198</v>
      </c>
      <c r="Q6" s="42">
        <v>1123</v>
      </c>
      <c r="R6" s="38">
        <v>2.8075000000000001</v>
      </c>
    </row>
    <row r="7" spans="1:18" x14ac:dyDescent="0.2">
      <c r="A7" s="7">
        <v>4</v>
      </c>
      <c r="B7" s="7" t="s">
        <v>136</v>
      </c>
      <c r="C7" s="7" t="s">
        <v>137</v>
      </c>
      <c r="D7" s="7" t="s">
        <v>231</v>
      </c>
      <c r="E7" s="7" t="s">
        <v>232</v>
      </c>
      <c r="F7" s="8">
        <v>901</v>
      </c>
      <c r="G7" s="9">
        <v>0.48233404710920802</v>
      </c>
      <c r="H7" s="8">
        <v>388</v>
      </c>
      <c r="I7" s="8">
        <v>351</v>
      </c>
      <c r="J7" s="38">
        <v>0.40066592674805801</v>
      </c>
      <c r="K7" s="38">
        <v>0.57731958762886604</v>
      </c>
      <c r="L7" s="38">
        <v>0.233618233618234</v>
      </c>
      <c r="M7" s="38">
        <v>0.34370135401063201</v>
      </c>
      <c r="N7" s="9">
        <v>0.29078801331853499</v>
      </c>
      <c r="O7" s="9">
        <v>0.27254509018036099</v>
      </c>
      <c r="P7" s="9">
        <v>0.49594438006952501</v>
      </c>
      <c r="Q7" s="42">
        <v>790</v>
      </c>
      <c r="R7" s="38">
        <v>7.1171171171171199</v>
      </c>
    </row>
    <row r="8" spans="1:18" x14ac:dyDescent="0.2">
      <c r="A8" s="7">
        <v>5</v>
      </c>
      <c r="B8" s="7" t="s">
        <v>136</v>
      </c>
      <c r="C8" s="7" t="s">
        <v>137</v>
      </c>
      <c r="D8" s="7" t="s">
        <v>233</v>
      </c>
      <c r="E8" s="7" t="s">
        <v>234</v>
      </c>
      <c r="F8" s="8">
        <v>861</v>
      </c>
      <c r="G8" s="9">
        <v>0.51556886227544896</v>
      </c>
      <c r="H8" s="8">
        <v>380</v>
      </c>
      <c r="I8" s="8">
        <v>350</v>
      </c>
      <c r="J8" s="38">
        <v>0.47038327526132401</v>
      </c>
      <c r="K8" s="38">
        <v>0.61315789473684201</v>
      </c>
      <c r="L8" s="38">
        <v>0.30285714285714299</v>
      </c>
      <c r="M8" s="38">
        <v>0.31030075187969902</v>
      </c>
      <c r="N8" s="9">
        <v>0.29036004645760699</v>
      </c>
      <c r="O8" s="9">
        <v>0.32572614107883802</v>
      </c>
      <c r="P8" s="9">
        <v>0.52048192771084301</v>
      </c>
      <c r="Q8" s="42">
        <v>759</v>
      </c>
      <c r="R8" s="38">
        <v>7.4411764705882399</v>
      </c>
    </row>
    <row r="9" spans="1:18" x14ac:dyDescent="0.2">
      <c r="A9" s="7">
        <v>6</v>
      </c>
      <c r="B9" s="7" t="s">
        <v>158</v>
      </c>
      <c r="C9" s="7" t="s">
        <v>159</v>
      </c>
      <c r="D9" s="7" t="s">
        <v>235</v>
      </c>
      <c r="E9" s="7" t="s">
        <v>236</v>
      </c>
      <c r="F9" s="8">
        <v>792</v>
      </c>
      <c r="G9" s="9">
        <v>0.14122681883024299</v>
      </c>
      <c r="H9" s="8">
        <v>275</v>
      </c>
      <c r="I9" s="8">
        <v>284</v>
      </c>
      <c r="J9" s="38">
        <v>-0.15530303030303</v>
      </c>
      <c r="K9" s="38">
        <v>-6.9090909090909106E-2</v>
      </c>
      <c r="L9" s="38">
        <v>-0.31338028169014098</v>
      </c>
      <c r="M9" s="38">
        <v>0.244289372599232</v>
      </c>
      <c r="N9" s="9">
        <v>0.27651515151515199</v>
      </c>
      <c r="O9" s="9">
        <v>0.326340326340326</v>
      </c>
      <c r="P9" s="9">
        <v>0.64564564564564597</v>
      </c>
      <c r="Q9" s="42">
        <v>640</v>
      </c>
      <c r="R9" s="38">
        <v>4.2105263157894699</v>
      </c>
    </row>
    <row r="10" spans="1:18" x14ac:dyDescent="0.2">
      <c r="A10" s="7">
        <v>7</v>
      </c>
      <c r="B10" s="7" t="s">
        <v>134</v>
      </c>
      <c r="C10" s="7" t="s">
        <v>144</v>
      </c>
      <c r="D10" s="7" t="s">
        <v>237</v>
      </c>
      <c r="E10" s="7" t="s">
        <v>238</v>
      </c>
      <c r="F10" s="8">
        <v>783</v>
      </c>
      <c r="G10" s="9">
        <v>0.186873508353222</v>
      </c>
      <c r="H10" s="8">
        <v>334</v>
      </c>
      <c r="I10" s="8">
        <v>253</v>
      </c>
      <c r="J10" s="38">
        <v>-3.1928480204342302E-2</v>
      </c>
      <c r="K10" s="38">
        <v>6.5868263473053898E-2</v>
      </c>
      <c r="L10" s="38">
        <v>-0.16600790513833999</v>
      </c>
      <c r="M10" s="38">
        <v>0.23187616861139401</v>
      </c>
      <c r="N10" s="9">
        <v>0.27586206896551702</v>
      </c>
      <c r="O10" s="9">
        <v>0.376873661670236</v>
      </c>
      <c r="P10" s="9">
        <v>0.65442176870748303</v>
      </c>
      <c r="Q10" s="42">
        <v>605</v>
      </c>
      <c r="R10" s="38">
        <v>3.3988764044943802</v>
      </c>
    </row>
    <row r="11" spans="1:18" x14ac:dyDescent="0.2">
      <c r="A11" s="7">
        <v>8</v>
      </c>
      <c r="B11" s="7" t="s">
        <v>134</v>
      </c>
      <c r="C11" s="7" t="s">
        <v>140</v>
      </c>
      <c r="D11" s="7" t="s">
        <v>239</v>
      </c>
      <c r="E11" s="7" t="s">
        <v>240</v>
      </c>
      <c r="F11" s="8">
        <v>742</v>
      </c>
      <c r="G11" s="9">
        <v>0.16441391535563901</v>
      </c>
      <c r="H11" s="8">
        <v>313</v>
      </c>
      <c r="I11" s="8">
        <v>274</v>
      </c>
      <c r="J11" s="38">
        <v>7.5471698113207503E-2</v>
      </c>
      <c r="K11" s="38">
        <v>0.31309904153354601</v>
      </c>
      <c r="L11" s="38">
        <v>-0.14233576642335799</v>
      </c>
      <c r="M11" s="38">
        <v>0.455434807956904</v>
      </c>
      <c r="N11" s="9">
        <v>0.25336927223719702</v>
      </c>
      <c r="O11" s="9">
        <v>0.40838852097130202</v>
      </c>
      <c r="P11" s="9">
        <v>0.68306801736613598</v>
      </c>
      <c r="Q11" s="42">
        <v>581</v>
      </c>
      <c r="R11" s="38">
        <v>3.60869565217391</v>
      </c>
    </row>
    <row r="12" spans="1:18" x14ac:dyDescent="0.2">
      <c r="A12" s="7">
        <v>9</v>
      </c>
      <c r="B12" s="7" t="s">
        <v>134</v>
      </c>
      <c r="C12" s="7" t="s">
        <v>139</v>
      </c>
      <c r="D12" s="7" t="s">
        <v>241</v>
      </c>
      <c r="E12" s="7" t="s">
        <v>242</v>
      </c>
      <c r="F12" s="8">
        <v>654</v>
      </c>
      <c r="G12" s="9">
        <v>0.148907103825137</v>
      </c>
      <c r="H12" s="8">
        <v>268</v>
      </c>
      <c r="I12" s="8">
        <v>235</v>
      </c>
      <c r="J12" s="38">
        <v>0.111620795107034</v>
      </c>
      <c r="K12" s="38">
        <v>0.25373134328358199</v>
      </c>
      <c r="L12" s="38">
        <v>-7.2340425531914901E-2</v>
      </c>
      <c r="M12" s="38">
        <v>0.32607176881549699</v>
      </c>
      <c r="N12" s="9">
        <v>0.25840978593272201</v>
      </c>
      <c r="O12" s="9">
        <v>0.41044776119402998</v>
      </c>
      <c r="P12" s="9">
        <v>0.66166666666666696</v>
      </c>
      <c r="Q12" s="42">
        <v>493</v>
      </c>
      <c r="R12" s="38">
        <v>3.0621118012422399</v>
      </c>
    </row>
    <row r="13" spans="1:18" x14ac:dyDescent="0.2">
      <c r="A13" s="7">
        <v>10</v>
      </c>
      <c r="B13" s="7" t="s">
        <v>134</v>
      </c>
      <c r="C13" s="7" t="s">
        <v>139</v>
      </c>
      <c r="D13" s="7" t="s">
        <v>243</v>
      </c>
      <c r="E13" s="7" t="s">
        <v>244</v>
      </c>
      <c r="F13" s="8">
        <v>620</v>
      </c>
      <c r="G13" s="9">
        <v>0.15515515515515499</v>
      </c>
      <c r="H13" s="8">
        <v>236</v>
      </c>
      <c r="I13" s="8">
        <v>232</v>
      </c>
      <c r="J13" s="38">
        <v>0.10806451612903201</v>
      </c>
      <c r="K13" s="38">
        <v>0.29237288135593198</v>
      </c>
      <c r="L13" s="38">
        <v>-5.1724137931034503E-2</v>
      </c>
      <c r="M13" s="38">
        <v>0.34409701928696701</v>
      </c>
      <c r="N13" s="9">
        <v>0.29193548387096802</v>
      </c>
      <c r="O13" s="9">
        <v>0.41018766756032199</v>
      </c>
      <c r="P13" s="9">
        <v>0.67907801418439695</v>
      </c>
      <c r="Q13" s="42">
        <v>495</v>
      </c>
      <c r="R13" s="38">
        <v>3.96</v>
      </c>
    </row>
    <row r="14" spans="1:18" x14ac:dyDescent="0.2">
      <c r="A14" s="7">
        <v>11</v>
      </c>
      <c r="B14" s="7" t="s">
        <v>134</v>
      </c>
      <c r="C14" s="7" t="s">
        <v>173</v>
      </c>
      <c r="D14" s="7" t="s">
        <v>245</v>
      </c>
      <c r="E14" s="7" t="s">
        <v>246</v>
      </c>
      <c r="F14" s="8">
        <v>476</v>
      </c>
      <c r="G14" s="9">
        <v>0.124314442413163</v>
      </c>
      <c r="H14" s="8">
        <v>170</v>
      </c>
      <c r="I14" s="8">
        <v>191</v>
      </c>
      <c r="J14" s="38">
        <v>-0.23949579831932799</v>
      </c>
      <c r="K14" s="38">
        <v>-7.0588235294117702E-2</v>
      </c>
      <c r="L14" s="38">
        <v>-0.382198952879581</v>
      </c>
      <c r="M14" s="38">
        <v>0.31161071758546399</v>
      </c>
      <c r="N14" s="9">
        <v>0.17647058823529399</v>
      </c>
      <c r="O14" s="9">
        <v>0.45833333333333298</v>
      </c>
      <c r="P14" s="9">
        <v>0.74776785714285698</v>
      </c>
      <c r="Q14" s="42">
        <v>383</v>
      </c>
      <c r="R14" s="38">
        <v>4.1182795698924703</v>
      </c>
    </row>
    <row r="15" spans="1:18" x14ac:dyDescent="0.2">
      <c r="A15" s="7">
        <v>12</v>
      </c>
      <c r="B15" s="7" t="s">
        <v>134</v>
      </c>
      <c r="C15" s="7" t="s">
        <v>140</v>
      </c>
      <c r="D15" s="7" t="s">
        <v>247</v>
      </c>
      <c r="E15" s="7" t="s">
        <v>248</v>
      </c>
      <c r="F15" s="8">
        <v>474</v>
      </c>
      <c r="G15" s="9">
        <v>0.16078697421981</v>
      </c>
      <c r="H15" s="8">
        <v>185</v>
      </c>
      <c r="I15" s="8">
        <v>171</v>
      </c>
      <c r="J15" s="38">
        <v>-3.37552742616034E-2</v>
      </c>
      <c r="K15" s="38">
        <v>0.11891891891891899</v>
      </c>
      <c r="L15" s="38">
        <v>-0.16374269005847999</v>
      </c>
      <c r="M15" s="38">
        <v>0.282661608977398</v>
      </c>
      <c r="N15" s="9">
        <v>0.22362869198312199</v>
      </c>
      <c r="O15" s="9">
        <v>0.42901234567901197</v>
      </c>
      <c r="P15" s="9">
        <v>0.73363431151241498</v>
      </c>
      <c r="Q15" s="42">
        <v>353</v>
      </c>
      <c r="R15" s="38">
        <v>2.9173553719008298</v>
      </c>
    </row>
    <row r="16" spans="1:18" x14ac:dyDescent="0.2">
      <c r="A16" s="7">
        <v>13</v>
      </c>
      <c r="B16" s="7" t="s">
        <v>134</v>
      </c>
      <c r="C16" s="7" t="s">
        <v>135</v>
      </c>
      <c r="D16" s="7" t="s">
        <v>249</v>
      </c>
      <c r="E16" s="7" t="s">
        <v>250</v>
      </c>
      <c r="F16" s="8">
        <v>449</v>
      </c>
      <c r="G16" s="9">
        <v>0.22260783341596399</v>
      </c>
      <c r="H16" s="8">
        <v>190</v>
      </c>
      <c r="I16" s="8">
        <v>152</v>
      </c>
      <c r="J16" s="38">
        <v>0.38084632516703798</v>
      </c>
      <c r="K16" s="38">
        <v>0.52631578947368396</v>
      </c>
      <c r="L16" s="38">
        <v>0.217105263157895</v>
      </c>
      <c r="M16" s="38">
        <v>0.30921052631578899</v>
      </c>
      <c r="N16" s="9">
        <v>0.33407572383073503</v>
      </c>
      <c r="O16" s="9">
        <v>0.16603773584905701</v>
      </c>
      <c r="P16" s="9">
        <v>0.47014925373134298</v>
      </c>
      <c r="Q16" s="42">
        <v>336</v>
      </c>
      <c r="R16" s="38">
        <v>2.9734513274336298</v>
      </c>
    </row>
    <row r="17" spans="1:18" x14ac:dyDescent="0.2">
      <c r="A17" s="7">
        <v>14</v>
      </c>
      <c r="B17" s="7" t="s">
        <v>134</v>
      </c>
      <c r="C17" s="7" t="s">
        <v>135</v>
      </c>
      <c r="D17" s="7" t="s">
        <v>251</v>
      </c>
      <c r="E17" s="7" t="s">
        <v>252</v>
      </c>
      <c r="F17" s="8">
        <v>431</v>
      </c>
      <c r="G17" s="9">
        <v>0.19172597864768701</v>
      </c>
      <c r="H17" s="8">
        <v>191</v>
      </c>
      <c r="I17" s="8">
        <v>152</v>
      </c>
      <c r="J17" s="38">
        <v>0.25986078886310898</v>
      </c>
      <c r="K17" s="38">
        <v>0.40314136125654498</v>
      </c>
      <c r="L17" s="38">
        <v>0.118421052631579</v>
      </c>
      <c r="M17" s="38">
        <v>0.284720308624966</v>
      </c>
      <c r="N17" s="9">
        <v>0.345707656612529</v>
      </c>
      <c r="O17" s="9">
        <v>0.166023166023166</v>
      </c>
      <c r="P17" s="9">
        <v>0.44730077120822598</v>
      </c>
      <c r="Q17" s="42">
        <v>322</v>
      </c>
      <c r="R17" s="38">
        <v>2.9541284403669699</v>
      </c>
    </row>
    <row r="18" spans="1:18" x14ac:dyDescent="0.2">
      <c r="A18" s="7">
        <v>15</v>
      </c>
      <c r="B18" s="7" t="s">
        <v>134</v>
      </c>
      <c r="C18" s="7" t="s">
        <v>157</v>
      </c>
      <c r="D18" s="7" t="s">
        <v>253</v>
      </c>
      <c r="E18" s="7" t="s">
        <v>254</v>
      </c>
      <c r="F18" s="8">
        <v>430</v>
      </c>
      <c r="G18" s="9">
        <v>0.11637347767253101</v>
      </c>
      <c r="H18" s="8">
        <v>178</v>
      </c>
      <c r="I18" s="8">
        <v>163</v>
      </c>
      <c r="J18" s="38">
        <v>-5.5813953488372099E-2</v>
      </c>
      <c r="K18" s="38">
        <v>0.106741573033708</v>
      </c>
      <c r="L18" s="38">
        <v>-0.26380368098159501</v>
      </c>
      <c r="M18" s="38">
        <v>0.37054525401530303</v>
      </c>
      <c r="N18" s="9">
        <v>0.26046511627906999</v>
      </c>
      <c r="O18" s="9">
        <v>0.41635687732342003</v>
      </c>
      <c r="P18" s="9">
        <v>0.72122762148337605</v>
      </c>
      <c r="Q18" s="42">
        <v>344</v>
      </c>
      <c r="R18" s="38">
        <v>4</v>
      </c>
    </row>
    <row r="19" spans="1:18" x14ac:dyDescent="0.2">
      <c r="A19" s="7">
        <v>16</v>
      </c>
      <c r="B19" s="7" t="s">
        <v>134</v>
      </c>
      <c r="C19" s="7" t="s">
        <v>176</v>
      </c>
      <c r="D19" s="7" t="s">
        <v>255</v>
      </c>
      <c r="E19" s="7" t="s">
        <v>256</v>
      </c>
      <c r="F19" s="8">
        <v>430</v>
      </c>
      <c r="G19" s="9">
        <v>0.14130791981597099</v>
      </c>
      <c r="H19" s="8">
        <v>163</v>
      </c>
      <c r="I19" s="8">
        <v>179</v>
      </c>
      <c r="J19" s="38">
        <v>-0.27906976744186102</v>
      </c>
      <c r="K19" s="38">
        <v>-8.5889570552147201E-2</v>
      </c>
      <c r="L19" s="38">
        <v>-0.43016759776536301</v>
      </c>
      <c r="M19" s="38">
        <v>0.34427802721321599</v>
      </c>
      <c r="N19" s="9">
        <v>0.22325581395348801</v>
      </c>
      <c r="O19" s="9">
        <v>0.4</v>
      </c>
      <c r="P19" s="9">
        <v>0.703241895261845</v>
      </c>
      <c r="Q19" s="42">
        <v>324</v>
      </c>
      <c r="R19" s="38">
        <v>3.0566037735849099</v>
      </c>
    </row>
    <row r="20" spans="1:18" x14ac:dyDescent="0.2">
      <c r="A20" s="7">
        <v>17</v>
      </c>
      <c r="B20" s="7" t="s">
        <v>136</v>
      </c>
      <c r="C20" s="7" t="s">
        <v>136</v>
      </c>
      <c r="D20" s="7" t="s">
        <v>257</v>
      </c>
      <c r="E20" s="7" t="s">
        <v>258</v>
      </c>
      <c r="F20" s="8">
        <v>423</v>
      </c>
      <c r="G20" s="9">
        <v>0.139419907712591</v>
      </c>
      <c r="H20" s="8">
        <v>172</v>
      </c>
      <c r="I20" s="8">
        <v>150</v>
      </c>
      <c r="J20" s="38">
        <v>2.1276595744680899E-2</v>
      </c>
      <c r="K20" s="38">
        <v>0.26162790697674398</v>
      </c>
      <c r="L20" s="38">
        <v>-0.206666666666667</v>
      </c>
      <c r="M20" s="38">
        <v>0.46829457364341098</v>
      </c>
      <c r="N20" s="9">
        <v>0.260047281323877</v>
      </c>
      <c r="O20" s="9">
        <v>0.35742971887550201</v>
      </c>
      <c r="P20" s="9">
        <v>0.68324607329842901</v>
      </c>
      <c r="Q20" s="42">
        <v>341</v>
      </c>
      <c r="R20" s="38">
        <v>4.1585365853658498</v>
      </c>
    </row>
    <row r="21" spans="1:18" ht="15.75" customHeight="1" x14ac:dyDescent="0.2">
      <c r="A21" s="7">
        <v>18</v>
      </c>
      <c r="B21" s="7" t="s">
        <v>134</v>
      </c>
      <c r="C21" s="7" t="s">
        <v>147</v>
      </c>
      <c r="D21" s="7" t="s">
        <v>259</v>
      </c>
      <c r="E21" s="7" t="s">
        <v>260</v>
      </c>
      <c r="F21" s="8">
        <v>410</v>
      </c>
      <c r="G21" s="9">
        <v>0.15079073188672301</v>
      </c>
      <c r="H21" s="8">
        <v>141</v>
      </c>
      <c r="I21" s="8">
        <v>164</v>
      </c>
      <c r="J21" s="38">
        <v>-6.8292682926829301E-2</v>
      </c>
      <c r="K21" s="38">
        <v>7.09219858156028E-2</v>
      </c>
      <c r="L21" s="38">
        <v>-0.219512195121951</v>
      </c>
      <c r="M21" s="38">
        <v>0.29043418093755402</v>
      </c>
      <c r="N21" s="9">
        <v>0.258536585365854</v>
      </c>
      <c r="O21" s="9">
        <v>0.40875912408759102</v>
      </c>
      <c r="P21" s="9">
        <v>0.69190600522193202</v>
      </c>
      <c r="Q21" s="42">
        <v>302</v>
      </c>
      <c r="R21" s="38">
        <v>2.7962962962962998</v>
      </c>
    </row>
    <row r="22" spans="1:18" ht="15.75" customHeight="1" x14ac:dyDescent="0.2">
      <c r="A22" s="7">
        <v>19</v>
      </c>
      <c r="B22" s="7" t="s">
        <v>134</v>
      </c>
      <c r="C22" s="7" t="s">
        <v>140</v>
      </c>
      <c r="D22" s="7" t="s">
        <v>261</v>
      </c>
      <c r="E22" s="7" t="s">
        <v>262</v>
      </c>
      <c r="F22" s="8">
        <v>407</v>
      </c>
      <c r="G22" s="9">
        <v>0.17573402417962</v>
      </c>
      <c r="H22" s="8">
        <v>129</v>
      </c>
      <c r="I22" s="8">
        <v>170</v>
      </c>
      <c r="J22" s="38">
        <v>8.5995085995085999E-2</v>
      </c>
      <c r="K22" s="38">
        <v>0.372093023255814</v>
      </c>
      <c r="L22" s="38">
        <v>-0.111764705882353</v>
      </c>
      <c r="M22" s="38">
        <v>0.48385772913816699</v>
      </c>
      <c r="N22" s="9">
        <v>0.21621621621621601</v>
      </c>
      <c r="O22" s="9">
        <v>0.466192170818505</v>
      </c>
      <c r="P22" s="9">
        <v>0.72135416666666696</v>
      </c>
      <c r="Q22" s="42">
        <v>287</v>
      </c>
      <c r="R22" s="38">
        <v>2.3916666666666702</v>
      </c>
    </row>
    <row r="23" spans="1:18" ht="15.75" customHeight="1" x14ac:dyDescent="0.2">
      <c r="A23" s="7">
        <v>20</v>
      </c>
      <c r="B23" s="7" t="s">
        <v>136</v>
      </c>
      <c r="C23" s="7" t="s">
        <v>138</v>
      </c>
      <c r="D23" s="7" t="s">
        <v>263</v>
      </c>
      <c r="E23" s="7" t="s">
        <v>264</v>
      </c>
      <c r="F23" s="8">
        <v>406</v>
      </c>
      <c r="G23" s="9">
        <v>0.19034224097515201</v>
      </c>
      <c r="H23" s="8">
        <v>151</v>
      </c>
      <c r="I23" s="8">
        <v>134</v>
      </c>
      <c r="J23" s="38">
        <v>0.29556650246305399</v>
      </c>
      <c r="K23" s="38">
        <v>0.36423841059602702</v>
      </c>
      <c r="L23" s="38">
        <v>0.28358208955223901</v>
      </c>
      <c r="M23" s="38">
        <v>8.0656321043787699E-2</v>
      </c>
      <c r="N23" s="9">
        <v>0.364532019704434</v>
      </c>
      <c r="O23" s="9">
        <v>0.259433962264151</v>
      </c>
      <c r="P23" s="9">
        <v>0.48571428571428599</v>
      </c>
      <c r="Q23" s="42">
        <v>331</v>
      </c>
      <c r="R23" s="38">
        <v>4.4133333333333304</v>
      </c>
    </row>
    <row r="24" spans="1:18" ht="15.75" customHeight="1" x14ac:dyDescent="0.2">
      <c r="A24" s="7">
        <v>21</v>
      </c>
      <c r="B24" s="7" t="s">
        <v>134</v>
      </c>
      <c r="C24" s="7" t="s">
        <v>145</v>
      </c>
      <c r="D24" s="7" t="s">
        <v>265</v>
      </c>
      <c r="E24" s="7" t="s">
        <v>266</v>
      </c>
      <c r="F24" s="8">
        <v>401</v>
      </c>
      <c r="G24" s="9">
        <v>0.126538340170401</v>
      </c>
      <c r="H24" s="8">
        <v>159</v>
      </c>
      <c r="I24" s="8">
        <v>143</v>
      </c>
      <c r="J24" s="38">
        <v>7.9800498753117205E-2</v>
      </c>
      <c r="K24" s="38">
        <v>0.16352201257861601</v>
      </c>
      <c r="L24" s="38">
        <v>-1.3986013986014E-2</v>
      </c>
      <c r="M24" s="38">
        <v>0.17750802656462999</v>
      </c>
      <c r="N24" s="9">
        <v>0.29177057356608499</v>
      </c>
      <c r="O24" s="9">
        <v>0.3515625</v>
      </c>
      <c r="P24" s="9">
        <v>0.65135135135135103</v>
      </c>
      <c r="Q24" s="42">
        <v>309</v>
      </c>
      <c r="R24" s="38">
        <v>3.35869565217391</v>
      </c>
    </row>
    <row r="25" spans="1:18" ht="15.75" customHeight="1" x14ac:dyDescent="0.2">
      <c r="A25" s="7">
        <v>22</v>
      </c>
      <c r="B25" s="7" t="s">
        <v>136</v>
      </c>
      <c r="C25" s="7" t="s">
        <v>154</v>
      </c>
      <c r="D25" s="7" t="s">
        <v>267</v>
      </c>
      <c r="E25" s="7" t="s">
        <v>268</v>
      </c>
      <c r="F25" s="8">
        <v>400</v>
      </c>
      <c r="G25" s="9">
        <v>0.14352350197344799</v>
      </c>
      <c r="H25" s="8">
        <v>159</v>
      </c>
      <c r="I25" s="8">
        <v>158</v>
      </c>
      <c r="J25" s="38">
        <v>-9.5000000000000001E-2</v>
      </c>
      <c r="K25" s="38">
        <v>9.4339622641509399E-2</v>
      </c>
      <c r="L25" s="38">
        <v>-0.341772151898734</v>
      </c>
      <c r="M25" s="38">
        <v>0.43611177454024402</v>
      </c>
      <c r="N25" s="9">
        <v>0.20499999999999999</v>
      </c>
      <c r="O25" s="9">
        <v>0.4453125</v>
      </c>
      <c r="P25" s="9">
        <v>0.72894736842105301</v>
      </c>
      <c r="Q25" s="42">
        <v>309</v>
      </c>
      <c r="R25" s="38">
        <v>3.3956043956044</v>
      </c>
    </row>
    <row r="26" spans="1:18" ht="15.75" customHeight="1" x14ac:dyDescent="0.2">
      <c r="A26" s="7">
        <v>23</v>
      </c>
      <c r="B26" s="7" t="s">
        <v>136</v>
      </c>
      <c r="C26" s="7" t="s">
        <v>137</v>
      </c>
      <c r="D26" s="7" t="s">
        <v>269</v>
      </c>
      <c r="E26" s="7" t="s">
        <v>270</v>
      </c>
      <c r="F26" s="8">
        <v>393</v>
      </c>
      <c r="G26" s="9">
        <v>0.16436637390213299</v>
      </c>
      <c r="H26" s="8">
        <v>153</v>
      </c>
      <c r="I26" s="8">
        <v>124</v>
      </c>
      <c r="J26" s="38">
        <v>0.34860050890585198</v>
      </c>
      <c r="K26" s="38">
        <v>0.50326797385620903</v>
      </c>
      <c r="L26" s="38">
        <v>0.16129032258064499</v>
      </c>
      <c r="M26" s="38">
        <v>0.34197765127556401</v>
      </c>
      <c r="N26" s="9">
        <v>0.38167938931297701</v>
      </c>
      <c r="O26" s="9">
        <v>0.19500000000000001</v>
      </c>
      <c r="P26" s="9">
        <v>0.46334310850439903</v>
      </c>
      <c r="Q26" s="42">
        <v>318</v>
      </c>
      <c r="R26" s="38">
        <v>4.24</v>
      </c>
    </row>
    <row r="27" spans="1:18" ht="15.75" customHeight="1" x14ac:dyDescent="0.2">
      <c r="A27" s="7">
        <v>24</v>
      </c>
      <c r="B27" s="7" t="s">
        <v>134</v>
      </c>
      <c r="C27" s="7" t="s">
        <v>139</v>
      </c>
      <c r="D27" s="7" t="s">
        <v>271</v>
      </c>
      <c r="E27" s="7" t="s">
        <v>272</v>
      </c>
      <c r="F27" s="8">
        <v>390</v>
      </c>
      <c r="G27" s="9">
        <v>0.17808219178082199</v>
      </c>
      <c r="H27" s="8">
        <v>173</v>
      </c>
      <c r="I27" s="8">
        <v>142</v>
      </c>
      <c r="J27" s="38">
        <v>-2.5641025641025602E-3</v>
      </c>
      <c r="K27" s="38">
        <v>0.16763005780346801</v>
      </c>
      <c r="L27" s="38">
        <v>-0.11971830985915501</v>
      </c>
      <c r="M27" s="38">
        <v>0.28734836766262301</v>
      </c>
      <c r="N27" s="9">
        <v>0.248717948717949</v>
      </c>
      <c r="O27" s="9">
        <v>0.42231075697211201</v>
      </c>
      <c r="P27" s="9">
        <v>0.69972451790633605</v>
      </c>
      <c r="Q27" s="42">
        <v>310</v>
      </c>
      <c r="R27" s="38">
        <v>3.875</v>
      </c>
    </row>
    <row r="28" spans="1:18" ht="15.75" customHeight="1" x14ac:dyDescent="0.2">
      <c r="A28" s="7">
        <v>25</v>
      </c>
      <c r="B28" s="7" t="s">
        <v>136</v>
      </c>
      <c r="C28" s="7" t="s">
        <v>137</v>
      </c>
      <c r="D28" s="7" t="s">
        <v>273</v>
      </c>
      <c r="E28" s="7" t="s">
        <v>274</v>
      </c>
      <c r="F28" s="8">
        <v>378</v>
      </c>
      <c r="G28" s="9">
        <v>0.250497017892644</v>
      </c>
      <c r="H28" s="8">
        <v>157</v>
      </c>
      <c r="I28" s="8">
        <v>124</v>
      </c>
      <c r="J28" s="38">
        <v>0.40211640211640198</v>
      </c>
      <c r="K28" s="38">
        <v>0.46496815286624199</v>
      </c>
      <c r="L28" s="38">
        <v>0.33870967741935498</v>
      </c>
      <c r="M28" s="38">
        <v>0.12625847544688701</v>
      </c>
      <c r="N28" s="9">
        <v>0.25925925925925902</v>
      </c>
      <c r="O28" s="9">
        <v>0.218274111675127</v>
      </c>
      <c r="P28" s="9">
        <v>0.463687150837989</v>
      </c>
      <c r="Q28" s="42">
        <v>277</v>
      </c>
      <c r="R28" s="38">
        <v>2.7425742574257401</v>
      </c>
    </row>
    <row r="29" spans="1:18" ht="15.75" customHeight="1" x14ac:dyDescent="0.2">
      <c r="A29" s="7">
        <v>26</v>
      </c>
      <c r="B29" s="7" t="s">
        <v>136</v>
      </c>
      <c r="C29" s="7" t="s">
        <v>143</v>
      </c>
      <c r="D29" s="7" t="s">
        <v>275</v>
      </c>
      <c r="E29" s="7" t="s">
        <v>276</v>
      </c>
      <c r="F29" s="8">
        <v>377</v>
      </c>
      <c r="G29" s="9">
        <v>0.16666666666666699</v>
      </c>
      <c r="H29" s="8">
        <v>150</v>
      </c>
      <c r="I29" s="8">
        <v>123</v>
      </c>
      <c r="J29" s="38">
        <v>0.294429708222812</v>
      </c>
      <c r="K29" s="38">
        <v>0.52</v>
      </c>
      <c r="L29" s="38">
        <v>4.0650406504064998E-2</v>
      </c>
      <c r="M29" s="38">
        <v>0.47934959349593498</v>
      </c>
      <c r="N29" s="9">
        <v>0.24933687002652499</v>
      </c>
      <c r="O29" s="9">
        <v>0.401709401709402</v>
      </c>
      <c r="P29" s="9">
        <v>0.73529411764705899</v>
      </c>
      <c r="Q29" s="42">
        <v>294</v>
      </c>
      <c r="R29" s="38">
        <v>3.5421686746988001</v>
      </c>
    </row>
    <row r="30" spans="1:18" ht="15.75" customHeight="1" x14ac:dyDescent="0.2">
      <c r="A30" s="7">
        <v>27</v>
      </c>
      <c r="B30" s="7" t="s">
        <v>134</v>
      </c>
      <c r="C30" s="7" t="s">
        <v>139</v>
      </c>
      <c r="D30" s="7" t="s">
        <v>277</v>
      </c>
      <c r="E30" s="7" t="s">
        <v>278</v>
      </c>
      <c r="F30" s="8">
        <v>375</v>
      </c>
      <c r="G30" s="9">
        <v>0.138274336283186</v>
      </c>
      <c r="H30" s="8">
        <v>150</v>
      </c>
      <c r="I30" s="8">
        <v>150</v>
      </c>
      <c r="J30" s="38">
        <v>0.17066666666666699</v>
      </c>
      <c r="K30" s="38">
        <v>0.40666666666666701</v>
      </c>
      <c r="L30" s="38">
        <v>-3.3333333333333298E-2</v>
      </c>
      <c r="M30" s="38">
        <v>0.44</v>
      </c>
      <c r="N30" s="9">
        <v>0.25333333333333302</v>
      </c>
      <c r="O30" s="9">
        <v>0.40265486725663702</v>
      </c>
      <c r="P30" s="9">
        <v>0.67836257309941494</v>
      </c>
      <c r="Q30" s="42">
        <v>290</v>
      </c>
      <c r="R30" s="38">
        <v>3.4117647058823501</v>
      </c>
    </row>
    <row r="31" spans="1:18" ht="15.75" customHeight="1" x14ac:dyDescent="0.2">
      <c r="A31" s="7">
        <v>28</v>
      </c>
      <c r="B31" s="7" t="s">
        <v>134</v>
      </c>
      <c r="C31" s="7" t="s">
        <v>135</v>
      </c>
      <c r="D31" s="7" t="s">
        <v>279</v>
      </c>
      <c r="E31" s="7" t="s">
        <v>280</v>
      </c>
      <c r="F31" s="8">
        <v>371</v>
      </c>
      <c r="G31" s="9">
        <v>0.168713051386994</v>
      </c>
      <c r="H31" s="8">
        <v>141</v>
      </c>
      <c r="I31" s="8">
        <v>111</v>
      </c>
      <c r="J31" s="38">
        <v>0.27762803234501399</v>
      </c>
      <c r="K31" s="38">
        <v>0.42553191489361702</v>
      </c>
      <c r="L31" s="38">
        <v>0.135135135135135</v>
      </c>
      <c r="M31" s="38">
        <v>0.29039677975848199</v>
      </c>
      <c r="N31" s="9">
        <v>0.39892183288409699</v>
      </c>
      <c r="O31" s="9">
        <v>0.20689655172413801</v>
      </c>
      <c r="P31" s="9">
        <v>0.49244712990936601</v>
      </c>
      <c r="Q31" s="42">
        <v>299</v>
      </c>
      <c r="R31" s="38">
        <v>4.1527777777777803</v>
      </c>
    </row>
    <row r="32" spans="1:18" ht="15.75" customHeight="1" x14ac:dyDescent="0.2">
      <c r="A32" s="7">
        <v>29</v>
      </c>
      <c r="B32" s="7" t="s">
        <v>134</v>
      </c>
      <c r="C32" s="7" t="s">
        <v>135</v>
      </c>
      <c r="D32" s="7" t="s">
        <v>281</v>
      </c>
      <c r="E32" s="7" t="s">
        <v>282</v>
      </c>
      <c r="F32" s="8">
        <v>369</v>
      </c>
      <c r="G32" s="9">
        <v>0.206375838926175</v>
      </c>
      <c r="H32" s="8">
        <v>139</v>
      </c>
      <c r="I32" s="8">
        <v>125</v>
      </c>
      <c r="J32" s="38">
        <v>0.41463414634146301</v>
      </c>
      <c r="K32" s="38">
        <v>0.56115107913669104</v>
      </c>
      <c r="L32" s="38">
        <v>0.30399999999999999</v>
      </c>
      <c r="M32" s="38">
        <v>0.257151079136691</v>
      </c>
      <c r="N32" s="9">
        <v>0.39566395663956599</v>
      </c>
      <c r="O32" s="9">
        <v>0.13829787234042601</v>
      </c>
      <c r="P32" s="9">
        <v>0.31901840490797601</v>
      </c>
      <c r="Q32" s="42">
        <v>320</v>
      </c>
      <c r="R32" s="38">
        <v>6.5306122448979602</v>
      </c>
    </row>
    <row r="33" spans="1:18" ht="15.75" customHeight="1" x14ac:dyDescent="0.2">
      <c r="A33" s="7">
        <v>30</v>
      </c>
      <c r="B33" s="7" t="s">
        <v>134</v>
      </c>
      <c r="C33" s="7" t="s">
        <v>140</v>
      </c>
      <c r="D33" s="7" t="s">
        <v>283</v>
      </c>
      <c r="E33" s="7" t="s">
        <v>284</v>
      </c>
      <c r="F33" s="8">
        <v>369</v>
      </c>
      <c r="G33" s="9">
        <v>0.14330097087378599</v>
      </c>
      <c r="H33" s="8">
        <v>156</v>
      </c>
      <c r="I33" s="8">
        <v>127</v>
      </c>
      <c r="J33" s="38">
        <v>-6.2330623306233103E-2</v>
      </c>
      <c r="K33" s="38">
        <v>0.15384615384615399</v>
      </c>
      <c r="L33" s="38">
        <v>-0.18897637795275599</v>
      </c>
      <c r="M33" s="38">
        <v>0.34282253179890998</v>
      </c>
      <c r="N33" s="9">
        <v>0.24390243902438999</v>
      </c>
      <c r="O33" s="9">
        <v>0.40350877192982498</v>
      </c>
      <c r="P33" s="9">
        <v>0.684365781710914</v>
      </c>
      <c r="Q33" s="42">
        <v>277</v>
      </c>
      <c r="R33" s="38">
        <v>3.0108695652173898</v>
      </c>
    </row>
    <row r="34" spans="1:18" ht="15.75" customHeight="1" x14ac:dyDescent="0.2">
      <c r="A34" s="7">
        <v>31</v>
      </c>
      <c r="B34" s="7" t="s">
        <v>134</v>
      </c>
      <c r="C34" s="7" t="s">
        <v>157</v>
      </c>
      <c r="D34" s="7" t="s">
        <v>285</v>
      </c>
      <c r="E34" s="7" t="s">
        <v>286</v>
      </c>
      <c r="F34" s="8">
        <v>362</v>
      </c>
      <c r="G34" s="9">
        <v>0.13303932377802299</v>
      </c>
      <c r="H34" s="8">
        <v>132</v>
      </c>
      <c r="I34" s="8">
        <v>151</v>
      </c>
      <c r="J34" s="38">
        <v>-0.14640883977900601</v>
      </c>
      <c r="K34" s="38">
        <v>-5.3030303030302997E-2</v>
      </c>
      <c r="L34" s="38">
        <v>-0.24503311258278199</v>
      </c>
      <c r="M34" s="38">
        <v>0.192002809552478</v>
      </c>
      <c r="N34" s="9">
        <v>0.20165745856353601</v>
      </c>
      <c r="O34" s="9">
        <v>0.46153846153846201</v>
      </c>
      <c r="P34" s="9">
        <v>0.73456790123456805</v>
      </c>
      <c r="Q34" s="42">
        <v>284</v>
      </c>
      <c r="R34" s="38">
        <v>3.6410256410256401</v>
      </c>
    </row>
    <row r="35" spans="1:18" ht="15.75" customHeight="1" x14ac:dyDescent="0.2">
      <c r="A35" s="7">
        <v>32</v>
      </c>
      <c r="B35" s="7" t="s">
        <v>134</v>
      </c>
      <c r="C35" s="7" t="s">
        <v>135</v>
      </c>
      <c r="D35" s="7" t="s">
        <v>287</v>
      </c>
      <c r="E35" s="7" t="s">
        <v>288</v>
      </c>
      <c r="F35" s="8">
        <v>360</v>
      </c>
      <c r="G35" s="9">
        <v>0.17324350336862401</v>
      </c>
      <c r="H35" s="8">
        <v>147</v>
      </c>
      <c r="I35" s="8">
        <v>141</v>
      </c>
      <c r="J35" s="38">
        <v>0.172222222222222</v>
      </c>
      <c r="K35" s="38">
        <v>0.29251700680272102</v>
      </c>
      <c r="L35" s="38">
        <v>2.1276595744680899E-2</v>
      </c>
      <c r="M35" s="38">
        <v>0.27124041105803998</v>
      </c>
      <c r="N35" s="9">
        <v>0.28888888888888897</v>
      </c>
      <c r="O35" s="9">
        <v>0.28054298642533898</v>
      </c>
      <c r="P35" s="9">
        <v>0.64371257485029898</v>
      </c>
      <c r="Q35" s="42">
        <v>271</v>
      </c>
      <c r="R35" s="38">
        <v>3.0449438202247201</v>
      </c>
    </row>
    <row r="36" spans="1:18" ht="15.75" customHeight="1" x14ac:dyDescent="0.2">
      <c r="A36" s="7">
        <v>33</v>
      </c>
      <c r="B36" s="7" t="s">
        <v>136</v>
      </c>
      <c r="C36" s="7" t="s">
        <v>146</v>
      </c>
      <c r="D36" s="7" t="s">
        <v>289</v>
      </c>
      <c r="E36" s="7" t="s">
        <v>290</v>
      </c>
      <c r="F36" s="8">
        <v>358</v>
      </c>
      <c r="G36" s="9">
        <v>0.171046344959388</v>
      </c>
      <c r="H36" s="8">
        <v>141</v>
      </c>
      <c r="I36" s="8">
        <v>131</v>
      </c>
      <c r="J36" s="38">
        <v>7.8212290502793297E-2</v>
      </c>
      <c r="K36" s="38">
        <v>0.25531914893617003</v>
      </c>
      <c r="L36" s="38">
        <v>-0.12977099236641201</v>
      </c>
      <c r="M36" s="38">
        <v>0.38509014130258201</v>
      </c>
      <c r="N36" s="9">
        <v>0.240223463687151</v>
      </c>
      <c r="O36" s="9">
        <v>0.42342342342342298</v>
      </c>
      <c r="P36" s="9">
        <v>0.71604938271604901</v>
      </c>
      <c r="Q36" s="42">
        <v>281</v>
      </c>
      <c r="R36" s="38">
        <v>3.6493506493506498</v>
      </c>
    </row>
    <row r="37" spans="1:18" ht="15.75" customHeight="1" x14ac:dyDescent="0.2">
      <c r="A37" s="7">
        <v>34</v>
      </c>
      <c r="B37" s="7" t="s">
        <v>134</v>
      </c>
      <c r="C37" s="7" t="s">
        <v>135</v>
      </c>
      <c r="D37" s="7" t="s">
        <v>291</v>
      </c>
      <c r="E37" s="7" t="s">
        <v>292</v>
      </c>
      <c r="F37" s="8">
        <v>357</v>
      </c>
      <c r="G37" s="9">
        <v>0.20505456634118299</v>
      </c>
      <c r="H37" s="8">
        <v>149</v>
      </c>
      <c r="I37" s="8">
        <v>89</v>
      </c>
      <c r="J37" s="38">
        <v>0.26330532212885199</v>
      </c>
      <c r="K37" s="38">
        <v>0.39597315436241598</v>
      </c>
      <c r="L37" s="38">
        <v>0.202247191011236</v>
      </c>
      <c r="M37" s="38">
        <v>0.19372596335118</v>
      </c>
      <c r="N37" s="9">
        <v>0.37254901960784298</v>
      </c>
      <c r="O37" s="9">
        <v>0.20689655172413801</v>
      </c>
      <c r="P37" s="9">
        <v>0.45859872611465002</v>
      </c>
      <c r="Q37" s="42">
        <v>293</v>
      </c>
      <c r="R37" s="38">
        <v>4.578125</v>
      </c>
    </row>
    <row r="38" spans="1:18" ht="15.75" customHeight="1" x14ac:dyDescent="0.2">
      <c r="A38" s="7">
        <v>35</v>
      </c>
      <c r="B38" s="7" t="s">
        <v>134</v>
      </c>
      <c r="C38" s="7" t="s">
        <v>145</v>
      </c>
      <c r="D38" s="7" t="s">
        <v>293</v>
      </c>
      <c r="E38" s="7" t="s">
        <v>294</v>
      </c>
      <c r="F38" s="8">
        <v>357</v>
      </c>
      <c r="G38" s="9">
        <v>0.134818731117825</v>
      </c>
      <c r="H38" s="8">
        <v>123</v>
      </c>
      <c r="I38" s="8">
        <v>127</v>
      </c>
      <c r="J38" s="38">
        <v>0.218487394957983</v>
      </c>
      <c r="K38" s="38">
        <v>0.33333333333333298</v>
      </c>
      <c r="L38" s="38">
        <v>5.5118110236220499E-2</v>
      </c>
      <c r="M38" s="38">
        <v>0.278215223097113</v>
      </c>
      <c r="N38" s="9">
        <v>0.27731092436974802</v>
      </c>
      <c r="O38" s="9">
        <v>0.35746606334841602</v>
      </c>
      <c r="P38" s="9">
        <v>0.66461538461538505</v>
      </c>
      <c r="Q38" s="42">
        <v>264</v>
      </c>
      <c r="R38" s="38">
        <v>2.8387096774193599</v>
      </c>
    </row>
    <row r="39" spans="1:18" ht="15.75" customHeight="1" x14ac:dyDescent="0.2">
      <c r="A39" s="7">
        <v>36</v>
      </c>
      <c r="B39" s="7" t="s">
        <v>136</v>
      </c>
      <c r="C39" s="7" t="s">
        <v>138</v>
      </c>
      <c r="D39" s="7" t="s">
        <v>295</v>
      </c>
      <c r="E39" s="7" t="s">
        <v>296</v>
      </c>
      <c r="F39" s="8">
        <v>356</v>
      </c>
      <c r="G39" s="9">
        <v>0.171566265060241</v>
      </c>
      <c r="H39" s="8">
        <v>141</v>
      </c>
      <c r="I39" s="8">
        <v>118</v>
      </c>
      <c r="J39" s="38">
        <v>0.44662921348314599</v>
      </c>
      <c r="K39" s="38">
        <v>0.57446808510638303</v>
      </c>
      <c r="L39" s="38">
        <v>0.27118644067796599</v>
      </c>
      <c r="M39" s="38">
        <v>0.30328164442841699</v>
      </c>
      <c r="N39" s="9">
        <v>0.26123595505618002</v>
      </c>
      <c r="O39" s="9">
        <v>0.25888324873096502</v>
      </c>
      <c r="P39" s="9">
        <v>0.56918238993710701</v>
      </c>
      <c r="Q39" s="42">
        <v>283</v>
      </c>
      <c r="R39" s="38">
        <v>3.8767123287671201</v>
      </c>
    </row>
    <row r="40" spans="1:18" ht="15.75" customHeight="1" x14ac:dyDescent="0.2">
      <c r="A40" s="7">
        <v>37</v>
      </c>
      <c r="B40" s="7" t="s">
        <v>134</v>
      </c>
      <c r="C40" s="7" t="s">
        <v>167</v>
      </c>
      <c r="D40" s="7" t="s">
        <v>297</v>
      </c>
      <c r="E40" s="7" t="s">
        <v>298</v>
      </c>
      <c r="F40" s="8">
        <v>352</v>
      </c>
      <c r="G40" s="9">
        <v>0.115523465703971</v>
      </c>
      <c r="H40" s="8">
        <v>125</v>
      </c>
      <c r="I40" s="8">
        <v>145</v>
      </c>
      <c r="J40" s="38">
        <v>-0.34943181818181801</v>
      </c>
      <c r="K40" s="38">
        <v>-0.216</v>
      </c>
      <c r="L40" s="38">
        <v>-0.46206896551724103</v>
      </c>
      <c r="M40" s="38">
        <v>0.246068965517241</v>
      </c>
      <c r="N40" s="9">
        <v>0.28693181818181801</v>
      </c>
      <c r="O40" s="9">
        <v>0.36956521739130399</v>
      </c>
      <c r="P40" s="9">
        <v>0.61538461538461497</v>
      </c>
      <c r="Q40" s="42">
        <v>262</v>
      </c>
      <c r="R40" s="38">
        <v>2.9111111111111101</v>
      </c>
    </row>
    <row r="41" spans="1:18" ht="15.75" customHeight="1" x14ac:dyDescent="0.2">
      <c r="A41" s="7">
        <v>38</v>
      </c>
      <c r="B41" s="7" t="s">
        <v>134</v>
      </c>
      <c r="C41" s="7" t="s">
        <v>185</v>
      </c>
      <c r="D41" s="7" t="s">
        <v>299</v>
      </c>
      <c r="E41" s="7" t="s">
        <v>300</v>
      </c>
      <c r="F41" s="8">
        <v>344</v>
      </c>
      <c r="G41" s="9">
        <v>0.14075286415711999</v>
      </c>
      <c r="H41" s="8">
        <v>145</v>
      </c>
      <c r="I41" s="8">
        <v>131</v>
      </c>
      <c r="J41" s="38">
        <v>0.122093023255814</v>
      </c>
      <c r="K41" s="38">
        <v>0.31724137931034502</v>
      </c>
      <c r="L41" s="38">
        <v>-3.0534351145038201E-2</v>
      </c>
      <c r="M41" s="38">
        <v>0.34777573045538301</v>
      </c>
      <c r="N41" s="9">
        <v>0.28488372093023301</v>
      </c>
      <c r="O41" s="9">
        <v>0.35746606334841602</v>
      </c>
      <c r="P41" s="9">
        <v>0.64444444444444504</v>
      </c>
      <c r="Q41" s="42">
        <v>264</v>
      </c>
      <c r="R41" s="38">
        <v>3.3</v>
      </c>
    </row>
    <row r="42" spans="1:18" ht="15.75" customHeight="1" x14ac:dyDescent="0.2">
      <c r="A42" s="7">
        <v>39</v>
      </c>
      <c r="B42" s="7" t="s">
        <v>136</v>
      </c>
      <c r="C42" s="7" t="s">
        <v>137</v>
      </c>
      <c r="D42" s="7" t="s">
        <v>301</v>
      </c>
      <c r="E42" s="7" t="s">
        <v>302</v>
      </c>
      <c r="F42" s="8">
        <v>341</v>
      </c>
      <c r="G42" s="9">
        <v>0.17947368421052601</v>
      </c>
      <c r="H42" s="8">
        <v>130</v>
      </c>
      <c r="I42" s="8">
        <v>110</v>
      </c>
      <c r="J42" s="38">
        <v>0.22873900293255101</v>
      </c>
      <c r="K42" s="38">
        <v>0.38461538461538503</v>
      </c>
      <c r="L42" s="38">
        <v>6.3636363636363602E-2</v>
      </c>
      <c r="M42" s="38">
        <v>0.32097902097902098</v>
      </c>
      <c r="N42" s="9">
        <v>0.34897360703812302</v>
      </c>
      <c r="O42" s="9">
        <v>0.21546961325966901</v>
      </c>
      <c r="P42" s="9">
        <v>0.50505050505050497</v>
      </c>
      <c r="Q42" s="42">
        <v>266</v>
      </c>
      <c r="R42" s="38">
        <v>3.54666666666667</v>
      </c>
    </row>
    <row r="43" spans="1:18" ht="15.75" customHeight="1" x14ac:dyDescent="0.2">
      <c r="A43" s="7">
        <v>40</v>
      </c>
      <c r="B43" s="7" t="s">
        <v>136</v>
      </c>
      <c r="C43" s="7" t="s">
        <v>137</v>
      </c>
      <c r="D43" s="7" t="s">
        <v>303</v>
      </c>
      <c r="E43" s="7" t="s">
        <v>304</v>
      </c>
      <c r="F43" s="8">
        <v>341</v>
      </c>
      <c r="G43" s="9">
        <v>0.147939262472885</v>
      </c>
      <c r="H43" s="8">
        <v>146</v>
      </c>
      <c r="I43" s="8">
        <v>111</v>
      </c>
      <c r="J43" s="38">
        <v>0.269794721407625</v>
      </c>
      <c r="K43" s="38">
        <v>0.45890410958904099</v>
      </c>
      <c r="L43" s="38">
        <v>0.126126126126126</v>
      </c>
      <c r="M43" s="38">
        <v>0.33277798346291498</v>
      </c>
      <c r="N43" s="9">
        <v>0.30791788856305002</v>
      </c>
      <c r="O43" s="9">
        <v>0.242718446601942</v>
      </c>
      <c r="P43" s="9">
        <v>0.55149501661129596</v>
      </c>
      <c r="Q43" s="42">
        <v>254</v>
      </c>
      <c r="R43" s="38">
        <v>2.9195402298850599</v>
      </c>
    </row>
    <row r="44" spans="1:18" ht="15.75" customHeight="1" x14ac:dyDescent="0.2">
      <c r="A44" s="7">
        <v>41</v>
      </c>
      <c r="B44" s="7" t="s">
        <v>136</v>
      </c>
      <c r="C44" s="7" t="s">
        <v>137</v>
      </c>
      <c r="D44" s="7" t="s">
        <v>305</v>
      </c>
      <c r="E44" s="7" t="s">
        <v>306</v>
      </c>
      <c r="F44" s="8">
        <v>339</v>
      </c>
      <c r="G44" s="9">
        <v>0.18626373626373599</v>
      </c>
      <c r="H44" s="8">
        <v>140</v>
      </c>
      <c r="I44" s="8">
        <v>95</v>
      </c>
      <c r="J44" s="38">
        <v>0.35103244837758102</v>
      </c>
      <c r="K44" s="38">
        <v>0.45</v>
      </c>
      <c r="L44" s="38">
        <v>0.31578947368421101</v>
      </c>
      <c r="M44" s="38">
        <v>0.13421052631579</v>
      </c>
      <c r="N44" s="9">
        <v>0.37168141592920401</v>
      </c>
      <c r="O44" s="9">
        <v>0.14673913043478301</v>
      </c>
      <c r="P44" s="9">
        <v>0.4</v>
      </c>
      <c r="Q44" s="42">
        <v>256</v>
      </c>
      <c r="R44" s="38">
        <v>3.0843373493975901</v>
      </c>
    </row>
    <row r="45" spans="1:18" ht="15.75" customHeight="1" x14ac:dyDescent="0.2">
      <c r="A45" s="7">
        <v>42</v>
      </c>
      <c r="B45" s="7" t="s">
        <v>134</v>
      </c>
      <c r="C45" s="7" t="s">
        <v>186</v>
      </c>
      <c r="D45" s="7" t="s">
        <v>307</v>
      </c>
      <c r="E45" s="7" t="s">
        <v>308</v>
      </c>
      <c r="F45" s="8">
        <v>337</v>
      </c>
      <c r="G45" s="9">
        <v>0.137382796575622</v>
      </c>
      <c r="H45" s="8">
        <v>137</v>
      </c>
      <c r="I45" s="8">
        <v>127</v>
      </c>
      <c r="J45" s="38">
        <v>-0.364985163204748</v>
      </c>
      <c r="K45" s="38">
        <v>-0.153284671532847</v>
      </c>
      <c r="L45" s="38">
        <v>-0.62992125984252001</v>
      </c>
      <c r="M45" s="38">
        <v>0.47663658830967298</v>
      </c>
      <c r="N45" s="9">
        <v>0.18397626112759599</v>
      </c>
      <c r="O45" s="9">
        <v>0.45410628019323701</v>
      </c>
      <c r="P45" s="9">
        <v>0.73899371069182396</v>
      </c>
      <c r="Q45" s="42">
        <v>275</v>
      </c>
      <c r="R45" s="38">
        <v>4.4354838709677402</v>
      </c>
    </row>
    <row r="46" spans="1:18" ht="15.75" customHeight="1" x14ac:dyDescent="0.2">
      <c r="A46" s="7">
        <v>43</v>
      </c>
      <c r="B46" s="7" t="s">
        <v>134</v>
      </c>
      <c r="C46" s="7" t="s">
        <v>140</v>
      </c>
      <c r="D46" s="7" t="s">
        <v>309</v>
      </c>
      <c r="E46" s="7" t="s">
        <v>310</v>
      </c>
      <c r="F46" s="8">
        <v>335</v>
      </c>
      <c r="G46" s="9">
        <v>0.18756998880179199</v>
      </c>
      <c r="H46" s="8">
        <v>136</v>
      </c>
      <c r="I46" s="8">
        <v>117</v>
      </c>
      <c r="J46" s="38">
        <v>0.19402985074626899</v>
      </c>
      <c r="K46" s="38">
        <v>0.33823529411764702</v>
      </c>
      <c r="L46" s="38">
        <v>-2.5641025641025599E-2</v>
      </c>
      <c r="M46" s="38">
        <v>0.36387631975867302</v>
      </c>
      <c r="N46" s="9">
        <v>0.29253731343283601</v>
      </c>
      <c r="O46" s="9">
        <v>0.37113402061855699</v>
      </c>
      <c r="P46" s="9">
        <v>0.72638436482084701</v>
      </c>
      <c r="Q46" s="42">
        <v>276</v>
      </c>
      <c r="R46" s="38">
        <v>4.6779661016949197</v>
      </c>
    </row>
    <row r="47" spans="1:18" ht="15.75" customHeight="1" x14ac:dyDescent="0.2">
      <c r="A47" s="7">
        <v>44</v>
      </c>
      <c r="B47" s="7" t="s">
        <v>134</v>
      </c>
      <c r="C47" s="7" t="s">
        <v>135</v>
      </c>
      <c r="D47" s="7" t="s">
        <v>311</v>
      </c>
      <c r="E47" s="7" t="s">
        <v>312</v>
      </c>
      <c r="F47" s="8">
        <v>334</v>
      </c>
      <c r="G47" s="9">
        <v>0.168857431749242</v>
      </c>
      <c r="H47" s="8">
        <v>119</v>
      </c>
      <c r="I47" s="8">
        <v>100</v>
      </c>
      <c r="J47" s="38">
        <v>0.29341317365269498</v>
      </c>
      <c r="K47" s="38">
        <v>0.40336134453781503</v>
      </c>
      <c r="L47" s="38">
        <v>0.2</v>
      </c>
      <c r="M47" s="38">
        <v>0.20336134453781499</v>
      </c>
      <c r="N47" s="9">
        <v>0.36526946107784403</v>
      </c>
      <c r="O47" s="9">
        <v>0.19512195121951201</v>
      </c>
      <c r="P47" s="9">
        <v>0.40955631399317399</v>
      </c>
      <c r="Q47" s="42">
        <v>285</v>
      </c>
      <c r="R47" s="38">
        <v>5.8163265306122502</v>
      </c>
    </row>
    <row r="48" spans="1:18" ht="15.75" customHeight="1" x14ac:dyDescent="0.2">
      <c r="A48" s="7">
        <v>45</v>
      </c>
      <c r="B48" s="7" t="s">
        <v>134</v>
      </c>
      <c r="C48" s="7" t="s">
        <v>142</v>
      </c>
      <c r="D48" s="7" t="s">
        <v>313</v>
      </c>
      <c r="E48" s="7" t="s">
        <v>314</v>
      </c>
      <c r="F48" s="8">
        <v>334</v>
      </c>
      <c r="G48" s="9">
        <v>0.16190014541929201</v>
      </c>
      <c r="H48" s="8">
        <v>132</v>
      </c>
      <c r="I48" s="8">
        <v>112</v>
      </c>
      <c r="J48" s="38">
        <v>0.30538922155688603</v>
      </c>
      <c r="K48" s="38">
        <v>0.439393939393939</v>
      </c>
      <c r="L48" s="38">
        <v>0.14285714285714299</v>
      </c>
      <c r="M48" s="38">
        <v>0.29653679653679699</v>
      </c>
      <c r="N48" s="9">
        <v>0.29341317365269498</v>
      </c>
      <c r="O48" s="9">
        <v>0.29797979797979801</v>
      </c>
      <c r="P48" s="9">
        <v>0.57239057239057201</v>
      </c>
      <c r="Q48" s="42">
        <v>256</v>
      </c>
      <c r="R48" s="38">
        <v>3.2820512820512802</v>
      </c>
    </row>
    <row r="49" spans="1:18" ht="15.75" customHeight="1" x14ac:dyDescent="0.2">
      <c r="A49" s="7">
        <v>46</v>
      </c>
      <c r="B49" s="7" t="s">
        <v>134</v>
      </c>
      <c r="C49" s="7" t="s">
        <v>147</v>
      </c>
      <c r="D49" s="7" t="s">
        <v>315</v>
      </c>
      <c r="E49" s="7" t="s">
        <v>316</v>
      </c>
      <c r="F49" s="8">
        <v>333</v>
      </c>
      <c r="G49" s="9">
        <v>0.12434652725914901</v>
      </c>
      <c r="H49" s="8">
        <v>132</v>
      </c>
      <c r="I49" s="8">
        <v>121</v>
      </c>
      <c r="J49" s="38">
        <v>-8.4084084084084104E-2</v>
      </c>
      <c r="K49" s="38">
        <v>0.10606060606060599</v>
      </c>
      <c r="L49" s="38">
        <v>-0.338842975206612</v>
      </c>
      <c r="M49" s="38">
        <v>0.44490358126721802</v>
      </c>
      <c r="N49" s="9">
        <v>0.20720720720720701</v>
      </c>
      <c r="O49" s="9">
        <v>0.38942307692307698</v>
      </c>
      <c r="P49" s="9">
        <v>0.69155844155844204</v>
      </c>
      <c r="Q49" s="42">
        <v>239</v>
      </c>
      <c r="R49" s="38">
        <v>2.5425531914893602</v>
      </c>
    </row>
    <row r="50" spans="1:18" ht="15.75" customHeight="1" x14ac:dyDescent="0.2">
      <c r="A50" s="7">
        <v>47</v>
      </c>
      <c r="B50" s="7" t="s">
        <v>136</v>
      </c>
      <c r="C50" s="7" t="s">
        <v>138</v>
      </c>
      <c r="D50" s="7" t="s">
        <v>317</v>
      </c>
      <c r="E50" s="7" t="s">
        <v>318</v>
      </c>
      <c r="F50" s="8">
        <v>332</v>
      </c>
      <c r="G50" s="9">
        <v>0.18271876719867899</v>
      </c>
      <c r="H50" s="8">
        <v>118</v>
      </c>
      <c r="I50" s="8">
        <v>116</v>
      </c>
      <c r="J50" s="38">
        <v>0.31927710843373502</v>
      </c>
      <c r="K50" s="38">
        <v>0.44915254237288099</v>
      </c>
      <c r="L50" s="38">
        <v>0.198275862068966</v>
      </c>
      <c r="M50" s="38">
        <v>0.25087668030391602</v>
      </c>
      <c r="N50" s="9">
        <v>0.343373493975904</v>
      </c>
      <c r="O50" s="9">
        <v>0.23888888888888901</v>
      </c>
      <c r="P50" s="9">
        <v>0.51006711409395999</v>
      </c>
      <c r="Q50" s="42">
        <v>277</v>
      </c>
      <c r="R50" s="38">
        <v>5.0363636363636397</v>
      </c>
    </row>
    <row r="51" spans="1:18" ht="15.75" customHeight="1" x14ac:dyDescent="0.2">
      <c r="A51" s="7">
        <v>48</v>
      </c>
      <c r="B51" s="7" t="s">
        <v>134</v>
      </c>
      <c r="C51" s="7" t="s">
        <v>135</v>
      </c>
      <c r="D51" s="7" t="s">
        <v>319</v>
      </c>
      <c r="E51" s="7" t="s">
        <v>320</v>
      </c>
      <c r="F51" s="8">
        <v>329</v>
      </c>
      <c r="G51" s="9">
        <v>0.243523316062176</v>
      </c>
      <c r="H51" s="8">
        <v>149</v>
      </c>
      <c r="I51" s="8">
        <v>100</v>
      </c>
      <c r="J51" s="38">
        <v>0.43465045592705198</v>
      </c>
      <c r="K51" s="38">
        <v>0.57046979865771796</v>
      </c>
      <c r="L51" s="38">
        <v>0.28999999999999998</v>
      </c>
      <c r="M51" s="38">
        <v>0.28046979865771798</v>
      </c>
      <c r="N51" s="9">
        <v>0.340425531914894</v>
      </c>
      <c r="O51" s="9">
        <v>0.13017751479289899</v>
      </c>
      <c r="P51" s="9">
        <v>0.36148648648648701</v>
      </c>
      <c r="Q51" s="42">
        <v>263</v>
      </c>
      <c r="R51" s="38">
        <v>3.98484848484848</v>
      </c>
    </row>
    <row r="52" spans="1:18" ht="15.75" customHeight="1" x14ac:dyDescent="0.2">
      <c r="A52" s="7">
        <v>49</v>
      </c>
      <c r="B52" s="7" t="s">
        <v>136</v>
      </c>
      <c r="C52" s="7" t="s">
        <v>141</v>
      </c>
      <c r="D52" s="7" t="s">
        <v>321</v>
      </c>
      <c r="E52" s="7" t="s">
        <v>322</v>
      </c>
      <c r="F52" s="8">
        <v>329</v>
      </c>
      <c r="G52" s="9">
        <v>0.15681601525262201</v>
      </c>
      <c r="H52" s="8">
        <v>136</v>
      </c>
      <c r="I52" s="8">
        <v>126</v>
      </c>
      <c r="J52" s="38">
        <v>0.13069908814589701</v>
      </c>
      <c r="K52" s="38">
        <v>0.33088235294117702</v>
      </c>
      <c r="L52" s="38">
        <v>-9.5238095238095205E-2</v>
      </c>
      <c r="M52" s="38">
        <v>0.42612044817927203</v>
      </c>
      <c r="N52" s="9">
        <v>0.26747720364741601</v>
      </c>
      <c r="O52" s="9">
        <v>0.38095238095238099</v>
      </c>
      <c r="P52" s="9">
        <v>0.62541806020066903</v>
      </c>
      <c r="Q52" s="42">
        <v>235</v>
      </c>
      <c r="R52" s="38">
        <v>2.5</v>
      </c>
    </row>
    <row r="53" spans="1:18" ht="15.75" customHeight="1" x14ac:dyDescent="0.2">
      <c r="A53" s="7">
        <v>50</v>
      </c>
      <c r="B53" s="7" t="s">
        <v>136</v>
      </c>
      <c r="C53" s="7" t="s">
        <v>156</v>
      </c>
      <c r="D53" s="7" t="s">
        <v>323</v>
      </c>
      <c r="E53" s="7" t="s">
        <v>324</v>
      </c>
      <c r="F53" s="8">
        <v>328</v>
      </c>
      <c r="G53" s="9">
        <v>0.113534094842506</v>
      </c>
      <c r="H53" s="8">
        <v>132</v>
      </c>
      <c r="I53" s="8">
        <v>139</v>
      </c>
      <c r="J53" s="38">
        <v>-0.228658536585366</v>
      </c>
      <c r="K53" s="38">
        <v>-9.8484848484848495E-2</v>
      </c>
      <c r="L53" s="38">
        <v>-0.39568345323741</v>
      </c>
      <c r="M53" s="38">
        <v>0.29719860475256199</v>
      </c>
      <c r="N53" s="9">
        <v>0.25304878048780499</v>
      </c>
      <c r="O53" s="9">
        <v>0.40512820512820502</v>
      </c>
      <c r="P53" s="9">
        <v>0.71710526315789502</v>
      </c>
      <c r="Q53" s="42">
        <v>259</v>
      </c>
      <c r="R53" s="38">
        <v>3.7536231884058</v>
      </c>
    </row>
    <row r="54" spans="1:18" ht="15.75" customHeight="1" x14ac:dyDescent="0.2">
      <c r="A54" s="7">
        <v>51</v>
      </c>
      <c r="B54" s="7" t="s">
        <v>136</v>
      </c>
      <c r="C54" s="7" t="s">
        <v>155</v>
      </c>
      <c r="D54" s="7" t="s">
        <v>325</v>
      </c>
      <c r="E54" s="7" t="s">
        <v>326</v>
      </c>
      <c r="F54" s="8">
        <v>321</v>
      </c>
      <c r="G54" s="9">
        <v>0.15552325581395399</v>
      </c>
      <c r="H54" s="8">
        <v>129</v>
      </c>
      <c r="I54" s="8">
        <v>109</v>
      </c>
      <c r="J54" s="38">
        <v>0.20560747663551401</v>
      </c>
      <c r="K54" s="38">
        <v>0.31782945736434098</v>
      </c>
      <c r="L54" s="38">
        <v>9.1743119266055106E-2</v>
      </c>
      <c r="M54" s="38">
        <v>0.22608633809828599</v>
      </c>
      <c r="N54" s="9">
        <v>0.339563862928349</v>
      </c>
      <c r="O54" s="9">
        <v>0.30167597765363102</v>
      </c>
      <c r="P54" s="9">
        <v>0.57042253521126796</v>
      </c>
      <c r="Q54" s="42">
        <v>257</v>
      </c>
      <c r="R54" s="38">
        <v>4.015625</v>
      </c>
    </row>
    <row r="55" spans="1:18" ht="15.75" customHeight="1" x14ac:dyDescent="0.2">
      <c r="A55" s="7">
        <v>52</v>
      </c>
      <c r="B55" s="7" t="s">
        <v>134</v>
      </c>
      <c r="C55" s="7" t="s">
        <v>135</v>
      </c>
      <c r="D55" s="7" t="s">
        <v>327</v>
      </c>
      <c r="E55" s="7" t="s">
        <v>328</v>
      </c>
      <c r="F55" s="8">
        <v>316</v>
      </c>
      <c r="G55" s="9">
        <v>0.19494139420111001</v>
      </c>
      <c r="H55" s="8">
        <v>108</v>
      </c>
      <c r="I55" s="8">
        <v>114</v>
      </c>
      <c r="J55" s="38">
        <v>0.341772151898734</v>
      </c>
      <c r="K55" s="38">
        <v>0.46296296296296302</v>
      </c>
      <c r="L55" s="38">
        <v>0.28070175438596501</v>
      </c>
      <c r="M55" s="38">
        <v>0.18226120857699801</v>
      </c>
      <c r="N55" s="9">
        <v>0.417721518987342</v>
      </c>
      <c r="O55" s="9">
        <v>0.132911392405063</v>
      </c>
      <c r="P55" s="9">
        <v>0.35483870967741898</v>
      </c>
      <c r="Q55" s="42">
        <v>254</v>
      </c>
      <c r="R55" s="38">
        <v>4.0967741935483897</v>
      </c>
    </row>
    <row r="56" spans="1:18" ht="15.75" customHeight="1" x14ac:dyDescent="0.2">
      <c r="A56" s="7">
        <v>53</v>
      </c>
      <c r="B56" s="7" t="s">
        <v>136</v>
      </c>
      <c r="C56" s="7" t="s">
        <v>149</v>
      </c>
      <c r="D56" s="7" t="s">
        <v>329</v>
      </c>
      <c r="E56" s="7" t="s">
        <v>330</v>
      </c>
      <c r="F56" s="8">
        <v>312</v>
      </c>
      <c r="G56" s="9">
        <v>0.15967246673490301</v>
      </c>
      <c r="H56" s="8">
        <v>112</v>
      </c>
      <c r="I56" s="8">
        <v>135</v>
      </c>
      <c r="J56" s="38">
        <v>7.0512820512820498E-2</v>
      </c>
      <c r="K56" s="38">
        <v>0.35714285714285698</v>
      </c>
      <c r="L56" s="38">
        <v>-8.1481481481481502E-2</v>
      </c>
      <c r="M56" s="38">
        <v>0.43862433862433903</v>
      </c>
      <c r="N56" s="9">
        <v>0.269230769230769</v>
      </c>
      <c r="O56" s="9">
        <v>0.44221105527638199</v>
      </c>
      <c r="P56" s="9">
        <v>0.71478873239436602</v>
      </c>
      <c r="Q56" s="42">
        <v>228</v>
      </c>
      <c r="R56" s="38">
        <v>2.71428571428571</v>
      </c>
    </row>
    <row r="57" spans="1:18" ht="15.75" customHeight="1" x14ac:dyDescent="0.2">
      <c r="A57" s="7">
        <v>54</v>
      </c>
      <c r="B57" s="7" t="s">
        <v>136</v>
      </c>
      <c r="C57" s="7" t="s">
        <v>187</v>
      </c>
      <c r="D57" s="7" t="s">
        <v>331</v>
      </c>
      <c r="E57" s="7" t="s">
        <v>332</v>
      </c>
      <c r="F57" s="8">
        <v>312</v>
      </c>
      <c r="G57" s="9">
        <v>0.164730728616684</v>
      </c>
      <c r="H57" s="8">
        <v>119</v>
      </c>
      <c r="I57" s="8">
        <v>104</v>
      </c>
      <c r="J57" s="38">
        <v>1.2820512820512799E-2</v>
      </c>
      <c r="K57" s="38">
        <v>0.14285714285714299</v>
      </c>
      <c r="L57" s="38">
        <v>-8.6538461538461495E-2</v>
      </c>
      <c r="M57" s="38">
        <v>0.229395604395604</v>
      </c>
      <c r="N57" s="9">
        <v>0.28205128205128199</v>
      </c>
      <c r="O57" s="9">
        <v>0.35164835164835201</v>
      </c>
      <c r="P57" s="9">
        <v>0.63533834586466198</v>
      </c>
      <c r="Q57" s="42">
        <v>241</v>
      </c>
      <c r="R57" s="38">
        <v>3.3943661971830998</v>
      </c>
    </row>
    <row r="58" spans="1:18" ht="15.75" customHeight="1" x14ac:dyDescent="0.2">
      <c r="A58" s="7">
        <v>55</v>
      </c>
      <c r="B58" s="7" t="s">
        <v>134</v>
      </c>
      <c r="C58" s="7" t="s">
        <v>139</v>
      </c>
      <c r="D58" s="7" t="s">
        <v>333</v>
      </c>
      <c r="E58" s="7" t="s">
        <v>334</v>
      </c>
      <c r="F58" s="8">
        <v>310</v>
      </c>
      <c r="G58" s="9">
        <v>0.136804942630185</v>
      </c>
      <c r="H58" s="8">
        <v>129</v>
      </c>
      <c r="I58" s="8">
        <v>127</v>
      </c>
      <c r="J58" s="38">
        <v>5.8064516129032302E-2</v>
      </c>
      <c r="K58" s="38">
        <v>0.27906976744186102</v>
      </c>
      <c r="L58" s="38">
        <v>-0.133858267716535</v>
      </c>
      <c r="M58" s="38">
        <v>0.41292803515839599</v>
      </c>
      <c r="N58" s="9">
        <v>0.27096774193548401</v>
      </c>
      <c r="O58" s="9">
        <v>0.415300546448087</v>
      </c>
      <c r="P58" s="9">
        <v>0.69930069930069905</v>
      </c>
      <c r="Q58" s="42">
        <v>256</v>
      </c>
      <c r="R58" s="38">
        <v>4.7407407407407396</v>
      </c>
    </row>
    <row r="59" spans="1:18" ht="15.75" customHeight="1" x14ac:dyDescent="0.2">
      <c r="A59" s="7">
        <v>56</v>
      </c>
      <c r="B59" s="7" t="s">
        <v>136</v>
      </c>
      <c r="C59" s="7" t="s">
        <v>146</v>
      </c>
      <c r="D59" s="7" t="s">
        <v>335</v>
      </c>
      <c r="E59" s="7" t="s">
        <v>336</v>
      </c>
      <c r="F59" s="8">
        <v>310</v>
      </c>
      <c r="G59" s="9">
        <v>0.16281512605042001</v>
      </c>
      <c r="H59" s="8">
        <v>124</v>
      </c>
      <c r="I59" s="8">
        <v>116</v>
      </c>
      <c r="J59" s="38">
        <v>0.119354838709677</v>
      </c>
      <c r="K59" s="38">
        <v>0.27419354838709697</v>
      </c>
      <c r="L59" s="38">
        <v>4.31034482758621E-2</v>
      </c>
      <c r="M59" s="38">
        <v>0.23109010011123499</v>
      </c>
      <c r="N59" s="9">
        <v>0.21612903225806501</v>
      </c>
      <c r="O59" s="9">
        <v>0.46560846560846603</v>
      </c>
      <c r="P59" s="9">
        <v>0.71326164874552</v>
      </c>
      <c r="Q59" s="42">
        <v>249</v>
      </c>
      <c r="R59" s="38">
        <v>4.0819672131147504</v>
      </c>
    </row>
    <row r="60" spans="1:18" ht="15.75" customHeight="1" x14ac:dyDescent="0.2">
      <c r="A60" s="7">
        <v>57</v>
      </c>
      <c r="B60" s="7" t="s">
        <v>136</v>
      </c>
      <c r="C60" s="7" t="s">
        <v>137</v>
      </c>
      <c r="D60" s="7" t="s">
        <v>337</v>
      </c>
      <c r="E60" s="7" t="s">
        <v>338</v>
      </c>
      <c r="F60" s="8">
        <v>309</v>
      </c>
      <c r="G60" s="9">
        <v>0.18558558558558599</v>
      </c>
      <c r="H60" s="8">
        <v>123</v>
      </c>
      <c r="I60" s="8">
        <v>116</v>
      </c>
      <c r="J60" s="38">
        <v>0.336569579288026</v>
      </c>
      <c r="K60" s="38">
        <v>0.56097560975609795</v>
      </c>
      <c r="L60" s="38">
        <v>0.15517241379310401</v>
      </c>
      <c r="M60" s="38">
        <v>0.40580319596299402</v>
      </c>
      <c r="N60" s="9">
        <v>0.27508090614886699</v>
      </c>
      <c r="O60" s="9">
        <v>0.268421052631579</v>
      </c>
      <c r="P60" s="9">
        <v>0.50883392226148405</v>
      </c>
      <c r="Q60" s="42">
        <v>235</v>
      </c>
      <c r="R60" s="38">
        <v>3.1756756756756799</v>
      </c>
    </row>
    <row r="61" spans="1:18" ht="15.75" customHeight="1" x14ac:dyDescent="0.2">
      <c r="A61" s="7">
        <v>58</v>
      </c>
      <c r="B61" s="7" t="s">
        <v>136</v>
      </c>
      <c r="C61" s="7" t="s">
        <v>143</v>
      </c>
      <c r="D61" s="7" t="s">
        <v>339</v>
      </c>
      <c r="E61" s="7" t="s">
        <v>340</v>
      </c>
      <c r="F61" s="8">
        <v>309</v>
      </c>
      <c r="G61" s="9">
        <v>0.16035288012454599</v>
      </c>
      <c r="H61" s="8">
        <v>118</v>
      </c>
      <c r="I61" s="8">
        <v>111</v>
      </c>
      <c r="J61" s="38">
        <v>0.14563106796116501</v>
      </c>
      <c r="K61" s="38">
        <v>0.25423728813559299</v>
      </c>
      <c r="L61" s="38">
        <v>-2.7027027027027001E-2</v>
      </c>
      <c r="M61" s="38">
        <v>0.28126431516262002</v>
      </c>
      <c r="N61" s="9">
        <v>0.22653721682847899</v>
      </c>
      <c r="O61" s="9">
        <v>0.329787234042553</v>
      </c>
      <c r="P61" s="9">
        <v>0.63571428571428601</v>
      </c>
      <c r="Q61" s="42">
        <v>236</v>
      </c>
      <c r="R61" s="38">
        <v>3.2328767123287698</v>
      </c>
    </row>
    <row r="62" spans="1:18" ht="15.75" customHeight="1" x14ac:dyDescent="0.2">
      <c r="A62" s="7">
        <v>59</v>
      </c>
      <c r="B62" s="7" t="s">
        <v>136</v>
      </c>
      <c r="C62" s="7" t="s">
        <v>189</v>
      </c>
      <c r="D62" s="7" t="s">
        <v>341</v>
      </c>
      <c r="E62" s="7" t="s">
        <v>342</v>
      </c>
      <c r="F62" s="8">
        <v>307</v>
      </c>
      <c r="G62" s="9">
        <v>0.165320409262251</v>
      </c>
      <c r="H62" s="8">
        <v>117</v>
      </c>
      <c r="I62" s="8">
        <v>110</v>
      </c>
      <c r="J62" s="38">
        <v>0.299674267100977</v>
      </c>
      <c r="K62" s="38">
        <v>0.38461538461538503</v>
      </c>
      <c r="L62" s="38">
        <v>0.163636363636364</v>
      </c>
      <c r="M62" s="38">
        <v>0.220979020979021</v>
      </c>
      <c r="N62" s="9">
        <v>0.38110749185667803</v>
      </c>
      <c r="O62" s="9">
        <v>0.171597633136095</v>
      </c>
      <c r="P62" s="9">
        <v>0.49275362318840599</v>
      </c>
      <c r="Q62" s="42">
        <v>240</v>
      </c>
      <c r="R62" s="38">
        <v>3.5820895522388101</v>
      </c>
    </row>
    <row r="63" spans="1:18" ht="15.75" customHeight="1" x14ac:dyDescent="0.2">
      <c r="A63" s="7">
        <v>60</v>
      </c>
      <c r="B63" s="7" t="s">
        <v>134</v>
      </c>
      <c r="C63" s="7" t="s">
        <v>139</v>
      </c>
      <c r="D63" s="7" t="s">
        <v>343</v>
      </c>
      <c r="E63" s="7" t="s">
        <v>344</v>
      </c>
      <c r="F63" s="8">
        <v>306</v>
      </c>
      <c r="G63" s="9">
        <v>0.155645981688708</v>
      </c>
      <c r="H63" s="8">
        <v>107</v>
      </c>
      <c r="I63" s="8">
        <v>132</v>
      </c>
      <c r="J63" s="38">
        <v>8.1699346405228801E-2</v>
      </c>
      <c r="K63" s="38">
        <v>0.233644859813084</v>
      </c>
      <c r="L63" s="38">
        <v>-4.5454545454545497E-2</v>
      </c>
      <c r="M63" s="38">
        <v>0.27909940526763</v>
      </c>
      <c r="N63" s="9">
        <v>0.23856209150326799</v>
      </c>
      <c r="O63" s="9">
        <v>0.37297297297297299</v>
      </c>
      <c r="P63" s="9">
        <v>0.72202166064981999</v>
      </c>
      <c r="Q63" s="42">
        <v>247</v>
      </c>
      <c r="R63" s="38">
        <v>4.1864406779661003</v>
      </c>
    </row>
    <row r="64" spans="1:18" ht="15.75" customHeight="1" x14ac:dyDescent="0.2">
      <c r="A64" s="7">
        <v>61</v>
      </c>
      <c r="B64" s="7" t="s">
        <v>136</v>
      </c>
      <c r="C64" s="7" t="s">
        <v>190</v>
      </c>
      <c r="D64" s="7" t="s">
        <v>345</v>
      </c>
      <c r="E64" s="7" t="s">
        <v>346</v>
      </c>
      <c r="F64" s="8">
        <v>305</v>
      </c>
      <c r="G64" s="9">
        <v>0.144755576649264</v>
      </c>
      <c r="H64" s="8">
        <v>125</v>
      </c>
      <c r="I64" s="8">
        <v>117</v>
      </c>
      <c r="J64" s="38">
        <v>-0.14098360655737699</v>
      </c>
      <c r="K64" s="38">
        <v>1.6E-2</v>
      </c>
      <c r="L64" s="38">
        <v>-0.39316239316239299</v>
      </c>
      <c r="M64" s="38">
        <v>0.409162393162393</v>
      </c>
      <c r="N64" s="9">
        <v>0.22295081967213101</v>
      </c>
      <c r="O64" s="9">
        <v>0.29081632653061201</v>
      </c>
      <c r="P64" s="9">
        <v>0.606498194945848</v>
      </c>
      <c r="Q64" s="42">
        <v>224</v>
      </c>
      <c r="R64" s="38">
        <v>2.7654320987654302</v>
      </c>
    </row>
    <row r="65" spans="1:18" ht="15.75" customHeight="1" x14ac:dyDescent="0.2">
      <c r="A65" s="7">
        <v>62</v>
      </c>
      <c r="B65" s="7" t="s">
        <v>134</v>
      </c>
      <c r="C65" s="7" t="s">
        <v>142</v>
      </c>
      <c r="D65" s="7" t="s">
        <v>347</v>
      </c>
      <c r="E65" s="7" t="s">
        <v>348</v>
      </c>
      <c r="F65" s="8">
        <v>305</v>
      </c>
      <c r="G65" s="9">
        <v>0.170486305198435</v>
      </c>
      <c r="H65" s="8">
        <v>110</v>
      </c>
      <c r="I65" s="8">
        <v>100</v>
      </c>
      <c r="J65" s="38">
        <v>0.16393442622950799</v>
      </c>
      <c r="K65" s="38">
        <v>0.45454545454545497</v>
      </c>
      <c r="L65" s="38">
        <v>-0.12</v>
      </c>
      <c r="M65" s="38">
        <v>0.57454545454545503</v>
      </c>
      <c r="N65" s="9">
        <v>0.30491803278688501</v>
      </c>
      <c r="O65" s="9">
        <v>0.35502958579881699</v>
      </c>
      <c r="P65" s="9">
        <v>0.62545454545454604</v>
      </c>
      <c r="Q65" s="42">
        <v>248</v>
      </c>
      <c r="R65" s="38">
        <v>4.3508771929824599</v>
      </c>
    </row>
    <row r="66" spans="1:18" ht="15.75" customHeight="1" x14ac:dyDescent="0.2">
      <c r="A66" s="7">
        <v>63</v>
      </c>
      <c r="B66" s="7" t="s">
        <v>136</v>
      </c>
      <c r="C66" s="7" t="s">
        <v>138</v>
      </c>
      <c r="D66" s="7" t="s">
        <v>349</v>
      </c>
      <c r="E66" s="7" t="s">
        <v>350</v>
      </c>
      <c r="F66" s="8">
        <v>301</v>
      </c>
      <c r="G66" s="9">
        <v>0.226656626506024</v>
      </c>
      <c r="H66" s="8">
        <v>116</v>
      </c>
      <c r="I66" s="8">
        <v>115</v>
      </c>
      <c r="J66" s="38">
        <v>0.31561461794019902</v>
      </c>
      <c r="K66" s="38">
        <v>0.5</v>
      </c>
      <c r="L66" s="38">
        <v>0.23478260869565201</v>
      </c>
      <c r="M66" s="38">
        <v>0.26521739130434802</v>
      </c>
      <c r="N66" s="9">
        <v>0.25913621262458503</v>
      </c>
      <c r="O66" s="9">
        <v>0.29834254143646399</v>
      </c>
      <c r="P66" s="9">
        <v>0.50775193798449603</v>
      </c>
      <c r="Q66" s="42">
        <v>219</v>
      </c>
      <c r="R66" s="38">
        <v>2.6707317073170702</v>
      </c>
    </row>
    <row r="67" spans="1:18" ht="15.75" customHeight="1" x14ac:dyDescent="0.2">
      <c r="A67" s="7">
        <v>64</v>
      </c>
      <c r="B67" s="7" t="s">
        <v>136</v>
      </c>
      <c r="C67" s="7" t="s">
        <v>155</v>
      </c>
      <c r="D67" s="7" t="s">
        <v>351</v>
      </c>
      <c r="E67" s="7" t="s">
        <v>352</v>
      </c>
      <c r="F67" s="8">
        <v>300</v>
      </c>
      <c r="G67" s="9">
        <v>0.181050090525045</v>
      </c>
      <c r="H67" s="8">
        <v>104</v>
      </c>
      <c r="I67" s="8">
        <v>108</v>
      </c>
      <c r="J67" s="38">
        <v>0.27333333333333298</v>
      </c>
      <c r="K67" s="38">
        <v>0.51923076923076905</v>
      </c>
      <c r="L67" s="38">
        <v>0.21296296296296299</v>
      </c>
      <c r="M67" s="38">
        <v>0.30626780626780598</v>
      </c>
      <c r="N67" s="9">
        <v>0.353333333333333</v>
      </c>
      <c r="O67" s="9">
        <v>0.30635838150289002</v>
      </c>
      <c r="P67" s="9">
        <v>0.51310861423220999</v>
      </c>
      <c r="Q67" s="42">
        <v>250</v>
      </c>
      <c r="R67" s="38">
        <v>5</v>
      </c>
    </row>
    <row r="68" spans="1:18" ht="15.75" customHeight="1" x14ac:dyDescent="0.2">
      <c r="A68" s="7">
        <v>65</v>
      </c>
      <c r="B68" s="7" t="s">
        <v>136</v>
      </c>
      <c r="C68" s="7" t="s">
        <v>171</v>
      </c>
      <c r="D68" s="7" t="s">
        <v>353</v>
      </c>
      <c r="E68" s="7" t="s">
        <v>354</v>
      </c>
      <c r="F68" s="8">
        <v>297</v>
      </c>
      <c r="G68" s="9">
        <v>0.17307692307692299</v>
      </c>
      <c r="H68" s="8">
        <v>107</v>
      </c>
      <c r="I68" s="8">
        <v>116</v>
      </c>
      <c r="J68" s="38">
        <v>-5.3872053872053897E-2</v>
      </c>
      <c r="K68" s="38">
        <v>0.10280373831775701</v>
      </c>
      <c r="L68" s="38">
        <v>-0.26724137931034497</v>
      </c>
      <c r="M68" s="38">
        <v>0.37004511762810199</v>
      </c>
      <c r="N68" s="9">
        <v>0.31986531986532002</v>
      </c>
      <c r="O68" s="9">
        <v>0.28571428571428598</v>
      </c>
      <c r="P68" s="9">
        <v>0.55018587360594795</v>
      </c>
      <c r="Q68" s="42">
        <v>238</v>
      </c>
      <c r="R68" s="38">
        <v>4.0338983050847501</v>
      </c>
    </row>
    <row r="69" spans="1:18" ht="15.75" customHeight="1" x14ac:dyDescent="0.2">
      <c r="A69" s="7">
        <v>66</v>
      </c>
      <c r="B69" s="7" t="s">
        <v>134</v>
      </c>
      <c r="C69" s="7" t="s">
        <v>139</v>
      </c>
      <c r="D69" s="7" t="s">
        <v>355</v>
      </c>
      <c r="E69" s="7" t="s">
        <v>356</v>
      </c>
      <c r="F69" s="8">
        <v>297</v>
      </c>
      <c r="G69" s="9">
        <v>0.14089184060721099</v>
      </c>
      <c r="H69" s="8">
        <v>131</v>
      </c>
      <c r="I69" s="8">
        <v>103</v>
      </c>
      <c r="J69" s="38">
        <v>2.69360269360269E-2</v>
      </c>
      <c r="K69" s="38">
        <v>0.18320610687022901</v>
      </c>
      <c r="L69" s="38">
        <v>-0.18446601941747601</v>
      </c>
      <c r="M69" s="38">
        <v>0.36767212628770501</v>
      </c>
      <c r="N69" s="9">
        <v>0.29966329966330002</v>
      </c>
      <c r="O69" s="9">
        <v>0.38202247191011202</v>
      </c>
      <c r="P69" s="9">
        <v>0.67753623188405798</v>
      </c>
      <c r="Q69" s="42">
        <v>222</v>
      </c>
      <c r="R69" s="38">
        <v>2.96</v>
      </c>
    </row>
    <row r="70" spans="1:18" ht="15.75" customHeight="1" x14ac:dyDescent="0.2">
      <c r="A70" s="7">
        <v>67</v>
      </c>
      <c r="B70" s="7" t="s">
        <v>136</v>
      </c>
      <c r="C70" s="7" t="s">
        <v>168</v>
      </c>
      <c r="D70" s="7" t="s">
        <v>357</v>
      </c>
      <c r="E70" s="7" t="s">
        <v>358</v>
      </c>
      <c r="F70" s="8">
        <v>297</v>
      </c>
      <c r="G70" s="9">
        <v>0.13555454130534</v>
      </c>
      <c r="H70" s="8">
        <v>111</v>
      </c>
      <c r="I70" s="8">
        <v>116</v>
      </c>
      <c r="J70" s="38">
        <v>3.03030303030303E-2</v>
      </c>
      <c r="K70" s="38">
        <v>0.29729729729729698</v>
      </c>
      <c r="L70" s="38">
        <v>-0.24137931034482801</v>
      </c>
      <c r="M70" s="38">
        <v>0.53867660764212499</v>
      </c>
      <c r="N70" s="9">
        <v>0.26936026936026902</v>
      </c>
      <c r="O70" s="9">
        <v>0.34426229508196698</v>
      </c>
      <c r="P70" s="9">
        <v>0.68131868131868101</v>
      </c>
      <c r="Q70" s="42">
        <v>231</v>
      </c>
      <c r="R70" s="38">
        <v>3.5</v>
      </c>
    </row>
    <row r="71" spans="1:18" ht="15.75" customHeight="1" x14ac:dyDescent="0.2">
      <c r="A71" s="7">
        <v>68</v>
      </c>
      <c r="B71" s="7" t="s">
        <v>134</v>
      </c>
      <c r="C71" s="7" t="s">
        <v>140</v>
      </c>
      <c r="D71" s="7" t="s">
        <v>359</v>
      </c>
      <c r="E71" s="7" t="s">
        <v>360</v>
      </c>
      <c r="F71" s="8">
        <v>296</v>
      </c>
      <c r="G71" s="9">
        <v>0.17179338363319799</v>
      </c>
      <c r="H71" s="8">
        <v>117</v>
      </c>
      <c r="I71" s="8">
        <v>102</v>
      </c>
      <c r="J71" s="38">
        <v>0.17567567567567599</v>
      </c>
      <c r="K71" s="38">
        <v>0.27350427350427398</v>
      </c>
      <c r="L71" s="38">
        <v>7.8431372549019607E-2</v>
      </c>
      <c r="M71" s="38">
        <v>0.19507290095525401</v>
      </c>
      <c r="N71" s="9">
        <v>0.25675675675675702</v>
      </c>
      <c r="O71" s="9">
        <v>0.43786982248520701</v>
      </c>
      <c r="P71" s="9">
        <v>0.67803030303030298</v>
      </c>
      <c r="Q71" s="42">
        <v>249</v>
      </c>
      <c r="R71" s="38">
        <v>5.2978723404255303</v>
      </c>
    </row>
    <row r="72" spans="1:18" ht="15.75" customHeight="1" x14ac:dyDescent="0.2">
      <c r="A72" s="7">
        <v>69</v>
      </c>
      <c r="B72" s="7" t="s">
        <v>136</v>
      </c>
      <c r="C72" s="7" t="s">
        <v>143</v>
      </c>
      <c r="D72" s="7" t="s">
        <v>361</v>
      </c>
      <c r="E72" s="7" t="s">
        <v>362</v>
      </c>
      <c r="F72" s="8">
        <v>294</v>
      </c>
      <c r="G72" s="9">
        <v>0.15272727272727299</v>
      </c>
      <c r="H72" s="8">
        <v>106</v>
      </c>
      <c r="I72" s="8">
        <v>120</v>
      </c>
      <c r="J72" s="38">
        <v>9.8639455782312896E-2</v>
      </c>
      <c r="K72" s="38">
        <v>0.30188679245283001</v>
      </c>
      <c r="L72" s="38">
        <v>-4.1666666666666699E-2</v>
      </c>
      <c r="M72" s="38">
        <v>0.34355345911949697</v>
      </c>
      <c r="N72" s="9">
        <v>0.26190476190476197</v>
      </c>
      <c r="O72" s="9">
        <v>0.40223463687150801</v>
      </c>
      <c r="P72" s="9">
        <v>0.76470588235294101</v>
      </c>
      <c r="Q72" s="42">
        <v>226</v>
      </c>
      <c r="R72" s="38">
        <v>3.3235294117647101</v>
      </c>
    </row>
    <row r="73" spans="1:18" ht="15.75" customHeight="1" x14ac:dyDescent="0.2">
      <c r="A73" s="7">
        <v>70</v>
      </c>
      <c r="B73" s="7" t="s">
        <v>136</v>
      </c>
      <c r="C73" s="7" t="s">
        <v>167</v>
      </c>
      <c r="D73" s="7" t="s">
        <v>363</v>
      </c>
      <c r="E73" s="7" t="s">
        <v>364</v>
      </c>
      <c r="F73" s="8">
        <v>292</v>
      </c>
      <c r="G73" s="9">
        <v>0.145345943255351</v>
      </c>
      <c r="H73" s="8">
        <v>111</v>
      </c>
      <c r="I73" s="8">
        <v>108</v>
      </c>
      <c r="J73" s="38">
        <v>-0.24315068493150699</v>
      </c>
      <c r="K73" s="38">
        <v>-3.6036036036036001E-2</v>
      </c>
      <c r="L73" s="38">
        <v>-0.41666666666666702</v>
      </c>
      <c r="M73" s="38">
        <v>0.38063063063063102</v>
      </c>
      <c r="N73" s="9">
        <v>0.215753424657534</v>
      </c>
      <c r="O73" s="9">
        <v>0.40782122905027901</v>
      </c>
      <c r="P73" s="9">
        <v>0.73207547169811304</v>
      </c>
      <c r="Q73" s="42">
        <v>226</v>
      </c>
      <c r="R73" s="38">
        <v>3.4242424242424199</v>
      </c>
    </row>
    <row r="74" spans="1:18" ht="15.75" customHeight="1" x14ac:dyDescent="0.2">
      <c r="A74" s="7">
        <v>71</v>
      </c>
      <c r="B74" s="7" t="s">
        <v>136</v>
      </c>
      <c r="C74" s="7" t="s">
        <v>137</v>
      </c>
      <c r="D74" s="7" t="s">
        <v>365</v>
      </c>
      <c r="E74" s="7" t="s">
        <v>366</v>
      </c>
      <c r="F74" s="8">
        <v>292</v>
      </c>
      <c r="G74" s="9">
        <v>0.189487345879299</v>
      </c>
      <c r="H74" s="8">
        <v>117</v>
      </c>
      <c r="I74" s="8">
        <v>107</v>
      </c>
      <c r="J74" s="38">
        <v>0.414383561643836</v>
      </c>
      <c r="K74" s="38">
        <v>0.57264957264957295</v>
      </c>
      <c r="L74" s="38">
        <v>0.289719626168224</v>
      </c>
      <c r="M74" s="38">
        <v>0.282929946481348</v>
      </c>
      <c r="N74" s="9">
        <v>0.352739726027397</v>
      </c>
      <c r="O74" s="9">
        <v>0.25988700564971801</v>
      </c>
      <c r="P74" s="9">
        <v>0.48288973384030398</v>
      </c>
      <c r="Q74" s="42">
        <v>222</v>
      </c>
      <c r="R74" s="38">
        <v>3.1714285714285699</v>
      </c>
    </row>
    <row r="75" spans="1:18" ht="15.75" customHeight="1" x14ac:dyDescent="0.2">
      <c r="A75" s="7">
        <v>72</v>
      </c>
      <c r="B75" s="7" t="s">
        <v>136</v>
      </c>
      <c r="C75" s="7" t="s">
        <v>149</v>
      </c>
      <c r="D75" s="7" t="s">
        <v>367</v>
      </c>
      <c r="E75" s="7" t="s">
        <v>368</v>
      </c>
      <c r="F75" s="8">
        <v>291</v>
      </c>
      <c r="G75" s="9">
        <v>0.155614973262032</v>
      </c>
      <c r="H75" s="8">
        <v>125</v>
      </c>
      <c r="I75" s="8">
        <v>103</v>
      </c>
      <c r="J75" s="38">
        <v>-0.109965635738832</v>
      </c>
      <c r="K75" s="38">
        <v>0.152</v>
      </c>
      <c r="L75" s="38">
        <v>-0.27184466019417503</v>
      </c>
      <c r="M75" s="38">
        <v>0.42384466019417499</v>
      </c>
      <c r="N75" s="9">
        <v>0.28522336769759499</v>
      </c>
      <c r="O75" s="9">
        <v>0.36781609195402298</v>
      </c>
      <c r="P75" s="9">
        <v>0.63533834586466198</v>
      </c>
      <c r="Q75" s="42">
        <v>226</v>
      </c>
      <c r="R75" s="38">
        <v>3.4769230769230801</v>
      </c>
    </row>
    <row r="76" spans="1:18" ht="15.75" customHeight="1" x14ac:dyDescent="0.2">
      <c r="A76" s="7">
        <v>73</v>
      </c>
      <c r="B76" s="7" t="s">
        <v>134</v>
      </c>
      <c r="C76" s="7" t="s">
        <v>137</v>
      </c>
      <c r="D76" s="7" t="s">
        <v>369</v>
      </c>
      <c r="E76" s="7" t="s">
        <v>370</v>
      </c>
      <c r="F76" s="8">
        <v>283</v>
      </c>
      <c r="G76" s="9">
        <v>0.164918414918415</v>
      </c>
      <c r="H76" s="8">
        <v>108</v>
      </c>
      <c r="I76" s="8">
        <v>89</v>
      </c>
      <c r="J76" s="38">
        <v>0.307420494699647</v>
      </c>
      <c r="K76" s="38">
        <v>0.35185185185185203</v>
      </c>
      <c r="L76" s="38">
        <v>0.235955056179775</v>
      </c>
      <c r="M76" s="38">
        <v>0.115896795672077</v>
      </c>
      <c r="N76" s="9">
        <v>0.36042402826855102</v>
      </c>
      <c r="O76" s="9">
        <v>0.26857142857142902</v>
      </c>
      <c r="P76" s="9">
        <v>0.5</v>
      </c>
      <c r="Q76" s="42">
        <v>213</v>
      </c>
      <c r="R76" s="38">
        <v>3.04285714285714</v>
      </c>
    </row>
    <row r="77" spans="1:18" ht="15.75" customHeight="1" x14ac:dyDescent="0.2">
      <c r="A77" s="7">
        <v>74</v>
      </c>
      <c r="B77" s="7" t="s">
        <v>134</v>
      </c>
      <c r="C77" s="7" t="s">
        <v>135</v>
      </c>
      <c r="D77" s="7" t="s">
        <v>371</v>
      </c>
      <c r="E77" s="7" t="s">
        <v>372</v>
      </c>
      <c r="F77" s="8">
        <v>282</v>
      </c>
      <c r="G77" s="9">
        <v>0.18146718146718199</v>
      </c>
      <c r="H77" s="8">
        <v>93</v>
      </c>
      <c r="I77" s="8">
        <v>96</v>
      </c>
      <c r="J77" s="38">
        <v>0.42198581560283699</v>
      </c>
      <c r="K77" s="38">
        <v>0.53763440860215095</v>
      </c>
      <c r="L77" s="38">
        <v>0.42708333333333298</v>
      </c>
      <c r="M77" s="38">
        <v>0.110551075268817</v>
      </c>
      <c r="N77" s="9">
        <v>0.34397163120567398</v>
      </c>
      <c r="O77" s="9">
        <v>0.13698630136986301</v>
      </c>
      <c r="P77" s="9">
        <v>0.29554655870445401</v>
      </c>
      <c r="Q77" s="42">
        <v>225</v>
      </c>
      <c r="R77" s="38">
        <v>3.9473684210526301</v>
      </c>
    </row>
    <row r="78" spans="1:18" ht="15.75" customHeight="1" x14ac:dyDescent="0.2">
      <c r="A78" s="7">
        <v>75</v>
      </c>
      <c r="B78" s="7" t="s">
        <v>134</v>
      </c>
      <c r="C78" s="7" t="s">
        <v>135</v>
      </c>
      <c r="D78" s="7" t="s">
        <v>373</v>
      </c>
      <c r="E78" s="7" t="s">
        <v>374</v>
      </c>
      <c r="F78" s="8">
        <v>281</v>
      </c>
      <c r="G78" s="9">
        <v>0.17260442260442299</v>
      </c>
      <c r="H78" s="8">
        <v>109</v>
      </c>
      <c r="I78" s="8">
        <v>100</v>
      </c>
      <c r="J78" s="38">
        <v>0.41637010676156599</v>
      </c>
      <c r="K78" s="38">
        <v>0.51376146788990795</v>
      </c>
      <c r="L78" s="38">
        <v>0.32</v>
      </c>
      <c r="M78" s="38">
        <v>0.193761467889908</v>
      </c>
      <c r="N78" s="9">
        <v>0.370106761565836</v>
      </c>
      <c r="O78" s="9">
        <v>0.144736842105263</v>
      </c>
      <c r="P78" s="9">
        <v>0.31640625</v>
      </c>
      <c r="Q78" s="42">
        <v>224</v>
      </c>
      <c r="R78" s="38">
        <v>3.9298245614035099</v>
      </c>
    </row>
    <row r="79" spans="1:18" ht="15.75" customHeight="1" x14ac:dyDescent="0.2">
      <c r="A79" s="7">
        <v>76</v>
      </c>
      <c r="B79" s="7" t="s">
        <v>134</v>
      </c>
      <c r="C79" s="7" t="s">
        <v>140</v>
      </c>
      <c r="D79" s="7" t="s">
        <v>375</v>
      </c>
      <c r="E79" s="7" t="s">
        <v>376</v>
      </c>
      <c r="F79" s="8">
        <v>281</v>
      </c>
      <c r="G79" s="9">
        <v>0.15230352303523001</v>
      </c>
      <c r="H79" s="8">
        <v>120</v>
      </c>
      <c r="I79" s="8">
        <v>88</v>
      </c>
      <c r="J79" s="38">
        <v>0.28113879003558701</v>
      </c>
      <c r="K79" s="38">
        <v>0.43333333333333302</v>
      </c>
      <c r="L79" s="38">
        <v>-4.5454545454545497E-2</v>
      </c>
      <c r="M79" s="38">
        <v>0.47878787878787898</v>
      </c>
      <c r="N79" s="9">
        <v>0.28469750889679701</v>
      </c>
      <c r="O79" s="9">
        <v>0.316455696202532</v>
      </c>
      <c r="P79" s="9">
        <v>0.64092664092664098</v>
      </c>
      <c r="Q79" s="42">
        <v>231</v>
      </c>
      <c r="R79" s="38">
        <v>4.62</v>
      </c>
    </row>
    <row r="80" spans="1:18" ht="15.75" customHeight="1" x14ac:dyDescent="0.2">
      <c r="A80" s="7">
        <v>77</v>
      </c>
      <c r="B80" s="7" t="s">
        <v>134</v>
      </c>
      <c r="C80" s="7" t="s">
        <v>142</v>
      </c>
      <c r="D80" s="7" t="s">
        <v>377</v>
      </c>
      <c r="E80" s="7" t="s">
        <v>378</v>
      </c>
      <c r="F80" s="8">
        <v>281</v>
      </c>
      <c r="G80" s="9">
        <v>0.139315815567675</v>
      </c>
      <c r="H80" s="8">
        <v>106</v>
      </c>
      <c r="I80" s="8">
        <v>103</v>
      </c>
      <c r="J80" s="38">
        <v>3.5587188612099703E-2</v>
      </c>
      <c r="K80" s="38">
        <v>0.21698113207547201</v>
      </c>
      <c r="L80" s="38">
        <v>-0.12621359223301001</v>
      </c>
      <c r="M80" s="38">
        <v>0.34319472430848103</v>
      </c>
      <c r="N80" s="9">
        <v>0.26690391459074703</v>
      </c>
      <c r="O80" s="9">
        <v>0.34426229508196698</v>
      </c>
      <c r="P80" s="9">
        <v>0.68702290076335903</v>
      </c>
      <c r="Q80" s="42">
        <v>218</v>
      </c>
      <c r="R80" s="38">
        <v>3.46031746031746</v>
      </c>
    </row>
    <row r="81" spans="1:18" ht="15.75" customHeight="1" x14ac:dyDescent="0.2">
      <c r="A81" s="7">
        <v>78</v>
      </c>
      <c r="B81" s="7" t="s">
        <v>134</v>
      </c>
      <c r="C81" s="7" t="s">
        <v>142</v>
      </c>
      <c r="D81" s="7" t="s">
        <v>379</v>
      </c>
      <c r="E81" s="7" t="s">
        <v>380</v>
      </c>
      <c r="F81" s="8">
        <v>280</v>
      </c>
      <c r="G81" s="9">
        <v>0.18064516129032299</v>
      </c>
      <c r="H81" s="8">
        <v>119</v>
      </c>
      <c r="I81" s="8">
        <v>95</v>
      </c>
      <c r="J81" s="38">
        <v>0.189285714285714</v>
      </c>
      <c r="K81" s="38">
        <v>0.44537815126050401</v>
      </c>
      <c r="L81" s="38">
        <v>-2.1052631578947399E-2</v>
      </c>
      <c r="M81" s="38">
        <v>0.466430782839452</v>
      </c>
      <c r="N81" s="9">
        <v>0.310714285714286</v>
      </c>
      <c r="O81" s="9">
        <v>0.31034482758620702</v>
      </c>
      <c r="P81" s="9">
        <v>0.57307692307692304</v>
      </c>
      <c r="Q81" s="42">
        <v>222</v>
      </c>
      <c r="R81" s="38">
        <v>3.8275862068965498</v>
      </c>
    </row>
    <row r="82" spans="1:18" ht="15.75" customHeight="1" x14ac:dyDescent="0.2">
      <c r="A82" s="7">
        <v>79</v>
      </c>
      <c r="B82" s="7" t="s">
        <v>136</v>
      </c>
      <c r="C82" s="7" t="s">
        <v>154</v>
      </c>
      <c r="D82" s="7" t="s">
        <v>381</v>
      </c>
      <c r="E82" s="7" t="s">
        <v>382</v>
      </c>
      <c r="F82" s="8">
        <v>280</v>
      </c>
      <c r="G82" s="9">
        <v>0.117795540597392</v>
      </c>
      <c r="H82" s="8">
        <v>107</v>
      </c>
      <c r="I82" s="8">
        <v>120</v>
      </c>
      <c r="J82" s="38">
        <v>-0.13214285714285701</v>
      </c>
      <c r="K82" s="38">
        <v>0.121495327102804</v>
      </c>
      <c r="L82" s="38">
        <v>-0.375</v>
      </c>
      <c r="M82" s="38">
        <v>0.49649532710280397</v>
      </c>
      <c r="N82" s="9">
        <v>0.253571428571429</v>
      </c>
      <c r="O82" s="9">
        <v>0.44827586206896602</v>
      </c>
      <c r="P82" s="9">
        <v>0.75494071146245101</v>
      </c>
      <c r="Q82" s="42">
        <v>217</v>
      </c>
      <c r="R82" s="38">
        <v>3.44444444444445</v>
      </c>
    </row>
    <row r="83" spans="1:18" ht="15.75" customHeight="1" x14ac:dyDescent="0.2">
      <c r="A83" s="7">
        <v>80</v>
      </c>
      <c r="B83" s="7" t="s">
        <v>136</v>
      </c>
      <c r="C83" s="7" t="s">
        <v>143</v>
      </c>
      <c r="D83" s="7" t="s">
        <v>383</v>
      </c>
      <c r="E83" s="7" t="s">
        <v>384</v>
      </c>
      <c r="F83" s="8">
        <v>278</v>
      </c>
      <c r="G83" s="9">
        <v>0.13429951690821301</v>
      </c>
      <c r="H83" s="8">
        <v>102</v>
      </c>
      <c r="I83" s="8">
        <v>102</v>
      </c>
      <c r="J83" s="38">
        <v>7.9136690647481994E-2</v>
      </c>
      <c r="K83" s="38">
        <v>0.24509803921568599</v>
      </c>
      <c r="L83" s="38">
        <v>0</v>
      </c>
      <c r="M83" s="38">
        <v>0.24509803921568599</v>
      </c>
      <c r="N83" s="9">
        <v>0.27338129496402902</v>
      </c>
      <c r="O83" s="9">
        <v>0.33333333333333298</v>
      </c>
      <c r="P83" s="9">
        <v>0.67469879518072295</v>
      </c>
      <c r="Q83" s="42">
        <v>223</v>
      </c>
      <c r="R83" s="38">
        <v>4.05454545454546</v>
      </c>
    </row>
    <row r="84" spans="1:18" ht="15.75" customHeight="1" x14ac:dyDescent="0.2">
      <c r="A84" s="7">
        <v>81</v>
      </c>
      <c r="B84" s="7" t="s">
        <v>134</v>
      </c>
      <c r="C84" s="7" t="s">
        <v>150</v>
      </c>
      <c r="D84" s="7" t="s">
        <v>385</v>
      </c>
      <c r="E84" s="7" t="s">
        <v>386</v>
      </c>
      <c r="F84" s="8">
        <v>277</v>
      </c>
      <c r="G84" s="9">
        <v>0.13499025341130599</v>
      </c>
      <c r="H84" s="8">
        <v>103</v>
      </c>
      <c r="I84" s="8">
        <v>99</v>
      </c>
      <c r="J84" s="38">
        <v>7.9422382671480204E-2</v>
      </c>
      <c r="K84" s="38">
        <v>0.28155339805825202</v>
      </c>
      <c r="L84" s="38">
        <v>-0.11111111111111099</v>
      </c>
      <c r="M84" s="38">
        <v>0.39266450916936402</v>
      </c>
      <c r="N84" s="9">
        <v>0.27797833935018101</v>
      </c>
      <c r="O84" s="9">
        <v>0.25</v>
      </c>
      <c r="P84" s="9">
        <v>0.61264822134387398</v>
      </c>
      <c r="Q84" s="42">
        <v>210</v>
      </c>
      <c r="R84" s="38">
        <v>3.1343283582089598</v>
      </c>
    </row>
    <row r="85" spans="1:18" ht="15.75" customHeight="1" x14ac:dyDescent="0.2">
      <c r="A85" s="7">
        <v>82</v>
      </c>
      <c r="B85" s="7" t="s">
        <v>152</v>
      </c>
      <c r="C85" s="7" t="s">
        <v>170</v>
      </c>
      <c r="D85" s="7" t="s">
        <v>387</v>
      </c>
      <c r="E85" s="7" t="s">
        <v>388</v>
      </c>
      <c r="F85" s="8">
        <v>276</v>
      </c>
      <c r="G85" s="9">
        <v>0.15453527435610301</v>
      </c>
      <c r="H85" s="8">
        <v>120</v>
      </c>
      <c r="I85" s="8">
        <v>93</v>
      </c>
      <c r="J85" s="38">
        <v>-0.10507246376811601</v>
      </c>
      <c r="K85" s="38">
        <v>0.05</v>
      </c>
      <c r="L85" s="38">
        <v>-0.204301075268817</v>
      </c>
      <c r="M85" s="38">
        <v>0.25430107526881701</v>
      </c>
      <c r="N85" s="9">
        <v>0.20652173913043501</v>
      </c>
      <c r="O85" s="9">
        <v>0.26966292134831499</v>
      </c>
      <c r="P85" s="9">
        <v>0.57528957528957503</v>
      </c>
      <c r="Q85" s="42">
        <v>207</v>
      </c>
      <c r="R85" s="38">
        <v>3</v>
      </c>
    </row>
    <row r="86" spans="1:18" ht="15.75" customHeight="1" x14ac:dyDescent="0.2">
      <c r="A86" s="7">
        <v>83</v>
      </c>
      <c r="B86" s="7" t="s">
        <v>136</v>
      </c>
      <c r="C86" s="7" t="s">
        <v>146</v>
      </c>
      <c r="D86" s="7" t="s">
        <v>389</v>
      </c>
      <c r="E86" s="7" t="s">
        <v>390</v>
      </c>
      <c r="F86" s="8">
        <v>276</v>
      </c>
      <c r="G86" s="9">
        <v>0.134371957156767</v>
      </c>
      <c r="H86" s="8">
        <v>126</v>
      </c>
      <c r="I86" s="8">
        <v>86</v>
      </c>
      <c r="J86" s="38">
        <v>0.25</v>
      </c>
      <c r="K86" s="38">
        <v>0.30158730158730201</v>
      </c>
      <c r="L86" s="38">
        <v>0.116279069767442</v>
      </c>
      <c r="M86" s="38">
        <v>0.18530823181986</v>
      </c>
      <c r="N86" s="9">
        <v>0.27173913043478298</v>
      </c>
      <c r="O86" s="9">
        <v>0.40606060606060601</v>
      </c>
      <c r="P86" s="9">
        <v>0.61776061776061797</v>
      </c>
      <c r="Q86" s="42">
        <v>203</v>
      </c>
      <c r="R86" s="38">
        <v>2.7808219178082201</v>
      </c>
    </row>
    <row r="87" spans="1:18" ht="15.75" customHeight="1" x14ac:dyDescent="0.2">
      <c r="A87" s="7">
        <v>84</v>
      </c>
      <c r="B87" s="7" t="s">
        <v>136</v>
      </c>
      <c r="C87" s="7" t="s">
        <v>143</v>
      </c>
      <c r="D87" s="7" t="s">
        <v>391</v>
      </c>
      <c r="E87" s="7" t="s">
        <v>392</v>
      </c>
      <c r="F87" s="8">
        <v>275</v>
      </c>
      <c r="G87" s="9">
        <v>0.128026070763501</v>
      </c>
      <c r="H87" s="8">
        <v>116</v>
      </c>
      <c r="I87" s="8">
        <v>97</v>
      </c>
      <c r="J87" s="38">
        <v>0.112727272727273</v>
      </c>
      <c r="K87" s="38">
        <v>0.26724137931034497</v>
      </c>
      <c r="L87" s="38">
        <v>-0.164948453608247</v>
      </c>
      <c r="M87" s="38">
        <v>0.43218983291859198</v>
      </c>
      <c r="N87" s="9">
        <v>0.27636363636363598</v>
      </c>
      <c r="O87" s="9">
        <v>0.290697674418605</v>
      </c>
      <c r="P87" s="9">
        <v>0.64960629921259805</v>
      </c>
      <c r="Q87" s="42">
        <v>215</v>
      </c>
      <c r="R87" s="38">
        <v>3.5833333333333299</v>
      </c>
    </row>
    <row r="88" spans="1:18" ht="15.75" customHeight="1" x14ac:dyDescent="0.2">
      <c r="A88" s="7">
        <v>85</v>
      </c>
      <c r="B88" s="7" t="s">
        <v>134</v>
      </c>
      <c r="C88" s="7" t="s">
        <v>144</v>
      </c>
      <c r="D88" s="7" t="s">
        <v>393</v>
      </c>
      <c r="E88" s="7" t="s">
        <v>394</v>
      </c>
      <c r="F88" s="8">
        <v>274</v>
      </c>
      <c r="G88" s="9">
        <v>0.16924027177269901</v>
      </c>
      <c r="H88" s="8">
        <v>111</v>
      </c>
      <c r="I88" s="8">
        <v>115</v>
      </c>
      <c r="J88" s="38">
        <v>2.9197080291970798E-2</v>
      </c>
      <c r="K88" s="38">
        <v>0.27027027027027001</v>
      </c>
      <c r="L88" s="38">
        <v>-0.15652173913043499</v>
      </c>
      <c r="M88" s="38">
        <v>0.426792009400705</v>
      </c>
      <c r="N88" s="9">
        <v>0.21167883211678801</v>
      </c>
      <c r="O88" s="9">
        <v>0.41142857142857098</v>
      </c>
      <c r="P88" s="9">
        <v>0.67315175097276303</v>
      </c>
      <c r="Q88" s="42">
        <v>212</v>
      </c>
      <c r="R88" s="38">
        <v>3.4193548387096802</v>
      </c>
    </row>
    <row r="89" spans="1:18" ht="15.75" customHeight="1" x14ac:dyDescent="0.2">
      <c r="A89" s="7">
        <v>86</v>
      </c>
      <c r="B89" s="7" t="s">
        <v>134</v>
      </c>
      <c r="C89" s="7" t="s">
        <v>135</v>
      </c>
      <c r="D89" s="7" t="s">
        <v>395</v>
      </c>
      <c r="E89" s="7" t="s">
        <v>396</v>
      </c>
      <c r="F89" s="8">
        <v>271</v>
      </c>
      <c r="G89" s="9">
        <v>0.166155732679338</v>
      </c>
      <c r="H89" s="8">
        <v>94</v>
      </c>
      <c r="I89" s="8">
        <v>86</v>
      </c>
      <c r="J89" s="38">
        <v>0.23985239852398499</v>
      </c>
      <c r="K89" s="38">
        <v>0.36170212765957499</v>
      </c>
      <c r="L89" s="38">
        <v>0.127906976744186</v>
      </c>
      <c r="M89" s="38">
        <v>0.23379515091538799</v>
      </c>
      <c r="N89" s="9">
        <v>0.38376383763837602</v>
      </c>
      <c r="O89" s="9">
        <v>0.20134228187919501</v>
      </c>
      <c r="P89" s="9">
        <v>0.44871794871794901</v>
      </c>
      <c r="Q89" s="42">
        <v>221</v>
      </c>
      <c r="R89" s="38">
        <v>4.42</v>
      </c>
    </row>
    <row r="90" spans="1:18" ht="15.75" customHeight="1" x14ac:dyDescent="0.2">
      <c r="A90" s="7">
        <v>87</v>
      </c>
      <c r="B90" s="7" t="s">
        <v>136</v>
      </c>
      <c r="C90" s="7" t="s">
        <v>138</v>
      </c>
      <c r="D90" s="7" t="s">
        <v>397</v>
      </c>
      <c r="E90" s="7" t="s">
        <v>398</v>
      </c>
      <c r="F90" s="8">
        <v>270</v>
      </c>
      <c r="G90" s="9">
        <v>0.2023988005997</v>
      </c>
      <c r="H90" s="8">
        <v>105</v>
      </c>
      <c r="I90" s="8">
        <v>85</v>
      </c>
      <c r="J90" s="38">
        <v>0.31481481481481499</v>
      </c>
      <c r="K90" s="38">
        <v>0.42857142857142899</v>
      </c>
      <c r="L90" s="38">
        <v>0.29411764705882398</v>
      </c>
      <c r="M90" s="38">
        <v>0.13445378151260501</v>
      </c>
      <c r="N90" s="9">
        <v>0.38888888888888901</v>
      </c>
      <c r="O90" s="9">
        <v>0.215827338129496</v>
      </c>
      <c r="P90" s="9">
        <v>0.42616033755274302</v>
      </c>
      <c r="Q90" s="42">
        <v>215</v>
      </c>
      <c r="R90" s="38">
        <v>3.9090909090909101</v>
      </c>
    </row>
    <row r="91" spans="1:18" ht="15.75" customHeight="1" x14ac:dyDescent="0.2">
      <c r="A91" s="7">
        <v>88</v>
      </c>
      <c r="B91" s="7" t="s">
        <v>136</v>
      </c>
      <c r="C91" s="7" t="s">
        <v>136</v>
      </c>
      <c r="D91" s="7" t="s">
        <v>399</v>
      </c>
      <c r="E91" s="7" t="s">
        <v>400</v>
      </c>
      <c r="F91" s="8">
        <v>268</v>
      </c>
      <c r="G91" s="9">
        <v>0.15746180963572301</v>
      </c>
      <c r="H91" s="8">
        <v>117</v>
      </c>
      <c r="I91" s="8">
        <v>99</v>
      </c>
      <c r="J91" s="38">
        <v>8.9552238805970102E-2</v>
      </c>
      <c r="K91" s="38">
        <v>0.230769230769231</v>
      </c>
      <c r="L91" s="38">
        <v>-0.10101010101010099</v>
      </c>
      <c r="M91" s="38">
        <v>0.331779331779332</v>
      </c>
      <c r="N91" s="9">
        <v>0.27611940298507498</v>
      </c>
      <c r="O91" s="9">
        <v>0.26250000000000001</v>
      </c>
      <c r="P91" s="9">
        <v>0.58064516129032295</v>
      </c>
      <c r="Q91" s="42">
        <v>209</v>
      </c>
      <c r="R91" s="38">
        <v>3.5423728813559299</v>
      </c>
    </row>
    <row r="92" spans="1:18" ht="15.75" customHeight="1" x14ac:dyDescent="0.2">
      <c r="A92" s="7">
        <v>89</v>
      </c>
      <c r="B92" s="7" t="s">
        <v>136</v>
      </c>
      <c r="C92" s="7" t="s">
        <v>138</v>
      </c>
      <c r="D92" s="7" t="s">
        <v>401</v>
      </c>
      <c r="E92" s="7" t="s">
        <v>402</v>
      </c>
      <c r="F92" s="8">
        <v>267</v>
      </c>
      <c r="G92" s="9">
        <v>0.157151265450265</v>
      </c>
      <c r="H92" s="8">
        <v>90</v>
      </c>
      <c r="I92" s="8">
        <v>101</v>
      </c>
      <c r="J92" s="38">
        <v>0.37827715355805203</v>
      </c>
      <c r="K92" s="38">
        <v>0.58888888888888902</v>
      </c>
      <c r="L92" s="38">
        <v>0.20792079207920799</v>
      </c>
      <c r="M92" s="38">
        <v>0.38096809680968102</v>
      </c>
      <c r="N92" s="9">
        <v>0.32209737827715401</v>
      </c>
      <c r="O92" s="9">
        <v>0.28767123287671198</v>
      </c>
      <c r="P92" s="9">
        <v>0.54310344827586199</v>
      </c>
      <c r="Q92" s="42">
        <v>217</v>
      </c>
      <c r="R92" s="38">
        <v>4.34</v>
      </c>
    </row>
    <row r="93" spans="1:18" ht="15.75" customHeight="1" x14ac:dyDescent="0.2">
      <c r="A93" s="7">
        <v>90</v>
      </c>
      <c r="B93" s="7" t="s">
        <v>136</v>
      </c>
      <c r="C93" s="7" t="s">
        <v>168</v>
      </c>
      <c r="D93" s="7" t="s">
        <v>403</v>
      </c>
      <c r="E93" s="7" t="s">
        <v>404</v>
      </c>
      <c r="F93" s="8">
        <v>264</v>
      </c>
      <c r="G93" s="9">
        <v>0.12619502868068799</v>
      </c>
      <c r="H93" s="8">
        <v>104</v>
      </c>
      <c r="I93" s="8">
        <v>110</v>
      </c>
      <c r="J93" s="38">
        <v>-0.18181818181818199</v>
      </c>
      <c r="K93" s="38">
        <v>7.69230769230769E-2</v>
      </c>
      <c r="L93" s="38">
        <v>-0.46363636363636401</v>
      </c>
      <c r="M93" s="38">
        <v>0.54055944055944105</v>
      </c>
      <c r="N93" s="9">
        <v>0.22727272727272699</v>
      </c>
      <c r="O93" s="9">
        <v>0.41379310344827602</v>
      </c>
      <c r="P93" s="9">
        <v>0.70081967213114804</v>
      </c>
      <c r="Q93" s="42">
        <v>196</v>
      </c>
      <c r="R93" s="38">
        <v>2.8823529411764701</v>
      </c>
    </row>
    <row r="94" spans="1:18" ht="15.75" customHeight="1" x14ac:dyDescent="0.2">
      <c r="A94" s="7">
        <v>91</v>
      </c>
      <c r="B94" s="7" t="s">
        <v>134</v>
      </c>
      <c r="C94" s="7" t="s">
        <v>177</v>
      </c>
      <c r="D94" s="7" t="s">
        <v>405</v>
      </c>
      <c r="E94" s="7" t="s">
        <v>406</v>
      </c>
      <c r="F94" s="8">
        <v>263</v>
      </c>
      <c r="G94" s="9">
        <v>0.14458493677845</v>
      </c>
      <c r="H94" s="8">
        <v>112</v>
      </c>
      <c r="I94" s="8">
        <v>94</v>
      </c>
      <c r="J94" s="38">
        <v>-0.40684410646387797</v>
      </c>
      <c r="K94" s="38">
        <v>-0.25</v>
      </c>
      <c r="L94" s="38">
        <v>-0.55319148936170204</v>
      </c>
      <c r="M94" s="38">
        <v>0.30319148936170198</v>
      </c>
      <c r="N94" s="9">
        <v>0.159695817490494</v>
      </c>
      <c r="O94" s="9">
        <v>0.390532544378698</v>
      </c>
      <c r="P94" s="9">
        <v>0.72111553784860605</v>
      </c>
      <c r="Q94" s="42">
        <v>200</v>
      </c>
      <c r="R94" s="38">
        <v>3.1746031746031802</v>
      </c>
    </row>
    <row r="95" spans="1:18" ht="15.75" customHeight="1" x14ac:dyDescent="0.2">
      <c r="A95" s="7">
        <v>92</v>
      </c>
      <c r="B95" s="7" t="s">
        <v>134</v>
      </c>
      <c r="C95" s="7" t="s">
        <v>140</v>
      </c>
      <c r="D95" s="7" t="s">
        <v>407</v>
      </c>
      <c r="E95" s="7" t="s">
        <v>408</v>
      </c>
      <c r="F95" s="8">
        <v>263</v>
      </c>
      <c r="G95" s="9">
        <v>0.15037164093767899</v>
      </c>
      <c r="H95" s="8">
        <v>123</v>
      </c>
      <c r="I95" s="8">
        <v>91</v>
      </c>
      <c r="J95" s="38">
        <v>0.13688212927756699</v>
      </c>
      <c r="K95" s="38">
        <v>0.34146341463414598</v>
      </c>
      <c r="L95" s="38">
        <v>-1.0989010989011E-2</v>
      </c>
      <c r="M95" s="38">
        <v>0.35245242562315698</v>
      </c>
      <c r="N95" s="9">
        <v>0.26996197718631199</v>
      </c>
      <c r="O95" s="9">
        <v>0.28160919540229901</v>
      </c>
      <c r="P95" s="9">
        <v>0.60330578512396704</v>
      </c>
      <c r="Q95" s="42">
        <v>189</v>
      </c>
      <c r="R95" s="38">
        <v>2.5540540540540499</v>
      </c>
    </row>
    <row r="96" spans="1:18" ht="15.75" customHeight="1" x14ac:dyDescent="0.2">
      <c r="A96" s="7">
        <v>93</v>
      </c>
      <c r="B96" s="7" t="s">
        <v>136</v>
      </c>
      <c r="C96" s="7" t="s">
        <v>160</v>
      </c>
      <c r="D96" s="7" t="s">
        <v>409</v>
      </c>
      <c r="E96" s="7" t="s">
        <v>410</v>
      </c>
      <c r="F96" s="8">
        <v>262</v>
      </c>
      <c r="G96" s="9">
        <v>0.14223669923995699</v>
      </c>
      <c r="H96" s="8">
        <v>105</v>
      </c>
      <c r="I96" s="8">
        <v>116</v>
      </c>
      <c r="J96" s="38">
        <v>-6.4885496183206104E-2</v>
      </c>
      <c r="K96" s="38">
        <v>0.14285714285714299</v>
      </c>
      <c r="L96" s="38">
        <v>-0.27586206896551702</v>
      </c>
      <c r="M96" s="38">
        <v>0.41871921182265998</v>
      </c>
      <c r="N96" s="9">
        <v>0.232824427480916</v>
      </c>
      <c r="O96" s="9">
        <v>0.44444444444444398</v>
      </c>
      <c r="P96" s="9">
        <v>0.68442622950819698</v>
      </c>
      <c r="Q96" s="42">
        <v>206</v>
      </c>
      <c r="R96" s="38">
        <v>3.6785714285714302</v>
      </c>
    </row>
    <row r="97" spans="1:18" ht="15.75" customHeight="1" x14ac:dyDescent="0.2">
      <c r="A97" s="7">
        <v>94</v>
      </c>
      <c r="B97" s="7" t="s">
        <v>134</v>
      </c>
      <c r="C97" s="7" t="s">
        <v>145</v>
      </c>
      <c r="D97" s="7" t="s">
        <v>411</v>
      </c>
      <c r="E97" s="7" t="s">
        <v>412</v>
      </c>
      <c r="F97" s="8">
        <v>262</v>
      </c>
      <c r="G97" s="9">
        <v>0.116392714349178</v>
      </c>
      <c r="H97" s="8">
        <v>104</v>
      </c>
      <c r="I97" s="8">
        <v>83</v>
      </c>
      <c r="J97" s="38">
        <v>0.30152671755725202</v>
      </c>
      <c r="K97" s="38">
        <v>0.5</v>
      </c>
      <c r="L97" s="38">
        <v>0.156626506024096</v>
      </c>
      <c r="M97" s="38">
        <v>0.343373493975904</v>
      </c>
      <c r="N97" s="9">
        <v>0.30152671755725202</v>
      </c>
      <c r="O97" s="9">
        <v>0.40853658536585402</v>
      </c>
      <c r="P97" s="9">
        <v>0.66094420600858395</v>
      </c>
      <c r="Q97" s="42">
        <v>202</v>
      </c>
      <c r="R97" s="38">
        <v>3.3666666666666698</v>
      </c>
    </row>
    <row r="98" spans="1:18" ht="15.75" customHeight="1" x14ac:dyDescent="0.2">
      <c r="A98" s="7">
        <v>95</v>
      </c>
      <c r="B98" s="7" t="s">
        <v>134</v>
      </c>
      <c r="C98" s="7" t="s">
        <v>142</v>
      </c>
      <c r="D98" s="7" t="s">
        <v>413</v>
      </c>
      <c r="E98" s="7" t="s">
        <v>414</v>
      </c>
      <c r="F98" s="8">
        <v>261</v>
      </c>
      <c r="G98" s="9">
        <v>0.12116991643454</v>
      </c>
      <c r="H98" s="8">
        <v>93</v>
      </c>
      <c r="I98" s="8">
        <v>89</v>
      </c>
      <c r="J98" s="38">
        <v>3.83141762452107E-3</v>
      </c>
      <c r="K98" s="38">
        <v>0.26881720430107497</v>
      </c>
      <c r="L98" s="38">
        <v>-0.24719101123595499</v>
      </c>
      <c r="M98" s="38">
        <v>0.51600821553703002</v>
      </c>
      <c r="N98" s="9">
        <v>0.26053639846743298</v>
      </c>
      <c r="O98" s="9">
        <v>0.35714285714285698</v>
      </c>
      <c r="P98" s="9">
        <v>0.68464730290456399</v>
      </c>
      <c r="Q98" s="42">
        <v>203</v>
      </c>
      <c r="R98" s="38">
        <v>3.5</v>
      </c>
    </row>
    <row r="99" spans="1:18" ht="15.75" customHeight="1" x14ac:dyDescent="0.2">
      <c r="A99" s="7">
        <v>96</v>
      </c>
      <c r="B99" s="7" t="s">
        <v>134</v>
      </c>
      <c r="C99" s="7" t="s">
        <v>150</v>
      </c>
      <c r="D99" s="7" t="s">
        <v>415</v>
      </c>
      <c r="E99" s="7" t="s">
        <v>416</v>
      </c>
      <c r="F99" s="8">
        <v>261</v>
      </c>
      <c r="G99" s="9">
        <v>0.15517241379310401</v>
      </c>
      <c r="H99" s="8">
        <v>101</v>
      </c>
      <c r="I99" s="8">
        <v>98</v>
      </c>
      <c r="J99" s="38">
        <v>0.13409961685823801</v>
      </c>
      <c r="K99" s="38">
        <v>0.37623762376237602</v>
      </c>
      <c r="L99" s="38">
        <v>-6.1224489795918401E-2</v>
      </c>
      <c r="M99" s="38">
        <v>0.43746211355829501</v>
      </c>
      <c r="N99" s="9">
        <v>0.252873563218391</v>
      </c>
      <c r="O99" s="9">
        <v>0.28301886792452802</v>
      </c>
      <c r="P99" s="9">
        <v>0.62553191489361704</v>
      </c>
      <c r="Q99" s="42">
        <v>190</v>
      </c>
      <c r="R99" s="38">
        <v>2.6760563380281699</v>
      </c>
    </row>
    <row r="100" spans="1:18" ht="15.75" customHeight="1" x14ac:dyDescent="0.2">
      <c r="A100" s="7">
        <v>97</v>
      </c>
      <c r="B100" s="7" t="s">
        <v>136</v>
      </c>
      <c r="C100" s="7" t="s">
        <v>143</v>
      </c>
      <c r="D100" s="7" t="s">
        <v>417</v>
      </c>
      <c r="E100" s="7" t="s">
        <v>418</v>
      </c>
      <c r="F100" s="8">
        <v>260</v>
      </c>
      <c r="G100" s="9">
        <v>0.14755959137343899</v>
      </c>
      <c r="H100" s="8">
        <v>108</v>
      </c>
      <c r="I100" s="8">
        <v>96</v>
      </c>
      <c r="J100" s="38">
        <v>-8.0769230769230801E-2</v>
      </c>
      <c r="K100" s="38">
        <v>0.28703703703703698</v>
      </c>
      <c r="L100" s="38">
        <v>-0.44791666666666702</v>
      </c>
      <c r="M100" s="38">
        <v>0.73495370370370405</v>
      </c>
      <c r="N100" s="9">
        <v>0.265384615384615</v>
      </c>
      <c r="O100" s="9">
        <v>0.46103896103896103</v>
      </c>
      <c r="P100" s="9">
        <v>0.69008264462809898</v>
      </c>
      <c r="Q100" s="42">
        <v>207</v>
      </c>
      <c r="R100" s="38">
        <v>3.9056603773584899</v>
      </c>
    </row>
    <row r="101" spans="1:18" ht="15.75" customHeight="1" x14ac:dyDescent="0.2">
      <c r="A101" s="7">
        <v>98</v>
      </c>
      <c r="B101" s="7" t="s">
        <v>136</v>
      </c>
      <c r="C101" s="7" t="s">
        <v>148</v>
      </c>
      <c r="D101" s="7" t="s">
        <v>419</v>
      </c>
      <c r="E101" s="7" t="s">
        <v>420</v>
      </c>
      <c r="F101" s="8">
        <v>260</v>
      </c>
      <c r="G101" s="9">
        <v>0.15151515151515199</v>
      </c>
      <c r="H101" s="8">
        <v>111</v>
      </c>
      <c r="I101" s="8">
        <v>104</v>
      </c>
      <c r="J101" s="38">
        <v>0.15384615384615399</v>
      </c>
      <c r="K101" s="38">
        <v>0.46846846846846901</v>
      </c>
      <c r="L101" s="38">
        <v>-0.18269230769230799</v>
      </c>
      <c r="M101" s="38">
        <v>0.65116077616077594</v>
      </c>
      <c r="N101" s="9">
        <v>0.246153846153846</v>
      </c>
      <c r="O101" s="9">
        <v>0.44444444444444398</v>
      </c>
      <c r="P101" s="9">
        <v>0.71250000000000002</v>
      </c>
      <c r="Q101" s="42">
        <v>200</v>
      </c>
      <c r="R101" s="38">
        <v>3.3333333333333299</v>
      </c>
    </row>
    <row r="102" spans="1:18" ht="15.75" customHeight="1" x14ac:dyDescent="0.2">
      <c r="A102" s="7">
        <v>99</v>
      </c>
      <c r="B102" s="7" t="s">
        <v>134</v>
      </c>
      <c r="C102" s="7" t="s">
        <v>151</v>
      </c>
      <c r="D102" s="7" t="s">
        <v>421</v>
      </c>
      <c r="E102" s="7" t="s">
        <v>422</v>
      </c>
      <c r="F102" s="8">
        <v>260</v>
      </c>
      <c r="G102" s="9">
        <v>0.130522088353414</v>
      </c>
      <c r="H102" s="8">
        <v>108</v>
      </c>
      <c r="I102" s="8">
        <v>83</v>
      </c>
      <c r="J102" s="38">
        <v>0.130769230769231</v>
      </c>
      <c r="K102" s="38">
        <v>0.240740740740741</v>
      </c>
      <c r="L102" s="38">
        <v>-0.14457831325301199</v>
      </c>
      <c r="M102" s="38">
        <v>0.38531905399375299</v>
      </c>
      <c r="N102" s="9">
        <v>0.31538461538461499</v>
      </c>
      <c r="O102" s="9">
        <v>0.29375000000000001</v>
      </c>
      <c r="P102" s="9">
        <v>0.61764705882352899</v>
      </c>
      <c r="Q102" s="42">
        <v>194</v>
      </c>
      <c r="R102" s="38">
        <v>2.9393939393939399</v>
      </c>
    </row>
    <row r="103" spans="1:18" ht="15.75" customHeight="1" x14ac:dyDescent="0.2">
      <c r="A103" s="7">
        <v>100</v>
      </c>
      <c r="B103" s="7" t="s">
        <v>134</v>
      </c>
      <c r="C103" s="7" t="s">
        <v>139</v>
      </c>
      <c r="D103" s="7" t="s">
        <v>423</v>
      </c>
      <c r="E103" s="7" t="s">
        <v>424</v>
      </c>
      <c r="F103" s="8">
        <v>259</v>
      </c>
      <c r="G103" s="9">
        <v>0.14207350521119</v>
      </c>
      <c r="H103" s="8">
        <v>116</v>
      </c>
      <c r="I103" s="8">
        <v>93</v>
      </c>
      <c r="J103" s="38">
        <v>3.8610038610038602E-2</v>
      </c>
      <c r="K103" s="38">
        <v>0.31034482758620702</v>
      </c>
      <c r="L103" s="38">
        <v>-0.236559139784946</v>
      </c>
      <c r="M103" s="38">
        <v>0.54690396737115299</v>
      </c>
      <c r="N103" s="9">
        <v>0.24324324324324301</v>
      </c>
      <c r="O103" s="9">
        <v>0.52760736196319002</v>
      </c>
      <c r="P103" s="9">
        <v>0.75409836065573799</v>
      </c>
      <c r="Q103" s="42">
        <v>199</v>
      </c>
      <c r="R103" s="38">
        <v>3.31666666666667</v>
      </c>
    </row>
    <row r="104" spans="1:18" ht="15.75" customHeight="1" x14ac:dyDescent="0.2">
      <c r="A104" s="7">
        <v>101</v>
      </c>
      <c r="B104" s="7" t="s">
        <v>134</v>
      </c>
      <c r="C104" s="7" t="s">
        <v>144</v>
      </c>
      <c r="D104" s="7" t="s">
        <v>425</v>
      </c>
      <c r="E104" s="7" t="s">
        <v>426</v>
      </c>
      <c r="F104" s="8">
        <v>259</v>
      </c>
      <c r="G104" s="9">
        <v>0.13357400722021701</v>
      </c>
      <c r="H104" s="8">
        <v>123</v>
      </c>
      <c r="I104" s="8">
        <v>81</v>
      </c>
      <c r="J104" s="38">
        <v>7.3359073359073407E-2</v>
      </c>
      <c r="K104" s="38">
        <v>0.138211382113821</v>
      </c>
      <c r="L104" s="38">
        <v>1.2345679012345699E-2</v>
      </c>
      <c r="M104" s="38">
        <v>0.12586570310147599</v>
      </c>
      <c r="N104" s="9">
        <v>0.23938223938223899</v>
      </c>
      <c r="O104" s="9">
        <v>0.34545454545454601</v>
      </c>
      <c r="P104" s="9">
        <v>0.65833333333333299</v>
      </c>
      <c r="Q104" s="42">
        <v>194</v>
      </c>
      <c r="R104" s="38">
        <v>2.98461538461539</v>
      </c>
    </row>
    <row r="105" spans="1:18" ht="15.75" customHeight="1" x14ac:dyDescent="0.2">
      <c r="A105" s="7">
        <v>102</v>
      </c>
      <c r="B105" s="7" t="s">
        <v>134</v>
      </c>
      <c r="C105" s="7" t="s">
        <v>147</v>
      </c>
      <c r="D105" s="7" t="s">
        <v>427</v>
      </c>
      <c r="E105" s="7" t="s">
        <v>428</v>
      </c>
      <c r="F105" s="8">
        <v>257</v>
      </c>
      <c r="G105" s="9">
        <v>0.15883807169344899</v>
      </c>
      <c r="H105" s="8">
        <v>88</v>
      </c>
      <c r="I105" s="8">
        <v>90</v>
      </c>
      <c r="J105" s="38">
        <v>-9.3385214007782102E-2</v>
      </c>
      <c r="K105" s="38">
        <v>9.0909090909090898E-2</v>
      </c>
      <c r="L105" s="38">
        <v>-0.11111111111111099</v>
      </c>
      <c r="M105" s="38">
        <v>0.20202020202020199</v>
      </c>
      <c r="N105" s="9">
        <v>0.214007782101167</v>
      </c>
      <c r="O105" s="9">
        <v>0.48633879781420802</v>
      </c>
      <c r="P105" s="9">
        <v>0.73553719008264495</v>
      </c>
      <c r="Q105" s="42">
        <v>183</v>
      </c>
      <c r="R105" s="38">
        <v>2.4729729729729701</v>
      </c>
    </row>
    <row r="106" spans="1:18" ht="15.75" customHeight="1" x14ac:dyDescent="0.2">
      <c r="A106" s="7">
        <v>103</v>
      </c>
      <c r="B106" s="7" t="s">
        <v>136</v>
      </c>
      <c r="C106" s="7" t="s">
        <v>134</v>
      </c>
      <c r="D106" s="7" t="s">
        <v>429</v>
      </c>
      <c r="E106" s="7" t="s">
        <v>430</v>
      </c>
      <c r="F106" s="8">
        <v>255</v>
      </c>
      <c r="G106" s="9">
        <v>0.114298520842671</v>
      </c>
      <c r="H106" s="8">
        <v>95</v>
      </c>
      <c r="I106" s="8">
        <v>104</v>
      </c>
      <c r="J106" s="38">
        <v>-0.227450980392157</v>
      </c>
      <c r="K106" s="38">
        <v>-7.3684210526315796E-2</v>
      </c>
      <c r="L106" s="38">
        <v>-0.45192307692307698</v>
      </c>
      <c r="M106" s="38">
        <v>0.37823886639676102</v>
      </c>
      <c r="N106" s="9">
        <v>0.23137254901960799</v>
      </c>
      <c r="O106" s="9">
        <v>0.41025641025641002</v>
      </c>
      <c r="P106" s="9">
        <v>0.74166666666666703</v>
      </c>
      <c r="Q106" s="42">
        <v>199</v>
      </c>
      <c r="R106" s="38">
        <v>3.5535714285714302</v>
      </c>
    </row>
    <row r="107" spans="1:18" ht="15.75" customHeight="1" x14ac:dyDescent="0.2">
      <c r="A107" s="7">
        <v>104</v>
      </c>
      <c r="B107" s="7" t="s">
        <v>134</v>
      </c>
      <c r="C107" s="7" t="s">
        <v>135</v>
      </c>
      <c r="D107" s="7" t="s">
        <v>431</v>
      </c>
      <c r="E107" s="7" t="s">
        <v>432</v>
      </c>
      <c r="F107" s="8">
        <v>254</v>
      </c>
      <c r="G107" s="9">
        <v>0.16558018252933501</v>
      </c>
      <c r="H107" s="8">
        <v>100</v>
      </c>
      <c r="I107" s="8">
        <v>69</v>
      </c>
      <c r="J107" s="38">
        <v>0.41732283464566899</v>
      </c>
      <c r="K107" s="38">
        <v>0.63</v>
      </c>
      <c r="L107" s="38">
        <v>0.33333333333333298</v>
      </c>
      <c r="M107" s="38">
        <v>0.29666666666666702</v>
      </c>
      <c r="N107" s="9">
        <v>0.32283464566929099</v>
      </c>
      <c r="O107" s="9">
        <v>0.24</v>
      </c>
      <c r="P107" s="9">
        <v>0.49090909090909102</v>
      </c>
      <c r="Q107" s="42">
        <v>202</v>
      </c>
      <c r="R107" s="38">
        <v>3.8846153846153899</v>
      </c>
    </row>
    <row r="108" spans="1:18" ht="15.75" customHeight="1" x14ac:dyDescent="0.2">
      <c r="A108" s="7">
        <v>105</v>
      </c>
      <c r="B108" s="7" t="s">
        <v>136</v>
      </c>
      <c r="C108" s="7" t="s">
        <v>134</v>
      </c>
      <c r="D108" s="7" t="s">
        <v>433</v>
      </c>
      <c r="E108" s="7" t="s">
        <v>434</v>
      </c>
      <c r="F108" s="8">
        <v>253</v>
      </c>
      <c r="G108" s="9">
        <v>0.12719959778783299</v>
      </c>
      <c r="H108" s="8">
        <v>95</v>
      </c>
      <c r="I108" s="8">
        <v>103</v>
      </c>
      <c r="J108" s="38">
        <v>-0.25691699604743101</v>
      </c>
      <c r="K108" s="38">
        <v>-0.157894736842105</v>
      </c>
      <c r="L108" s="38">
        <v>-0.38834951456310701</v>
      </c>
      <c r="M108" s="38">
        <v>0.23045477772100201</v>
      </c>
      <c r="N108" s="9">
        <v>0.24505928853754899</v>
      </c>
      <c r="O108" s="9">
        <v>0.380368098159509</v>
      </c>
      <c r="P108" s="9">
        <v>0.66810344827586199</v>
      </c>
      <c r="Q108" s="42">
        <v>197</v>
      </c>
      <c r="R108" s="38">
        <v>3.5178571428571401</v>
      </c>
    </row>
    <row r="109" spans="1:18" ht="15.75" customHeight="1" x14ac:dyDescent="0.2">
      <c r="A109" s="7">
        <v>106</v>
      </c>
      <c r="B109" s="7" t="s">
        <v>136</v>
      </c>
      <c r="C109" s="7" t="s">
        <v>160</v>
      </c>
      <c r="D109" s="7" t="s">
        <v>435</v>
      </c>
      <c r="E109" s="7" t="s">
        <v>436</v>
      </c>
      <c r="F109" s="8">
        <v>253</v>
      </c>
      <c r="G109" s="9">
        <v>0.15213469633193</v>
      </c>
      <c r="H109" s="8">
        <v>101</v>
      </c>
      <c r="I109" s="8">
        <v>94</v>
      </c>
      <c r="J109" s="38">
        <v>-3.9525691699604697E-3</v>
      </c>
      <c r="K109" s="38">
        <v>0.24752475247524799</v>
      </c>
      <c r="L109" s="38">
        <v>-0.329787234042553</v>
      </c>
      <c r="M109" s="38">
        <v>0.57731198651780102</v>
      </c>
      <c r="N109" s="9">
        <v>0.26877470355731198</v>
      </c>
      <c r="O109" s="9">
        <v>0.39552238805970202</v>
      </c>
      <c r="P109" s="9">
        <v>0.74025974025973995</v>
      </c>
      <c r="Q109" s="42">
        <v>211</v>
      </c>
      <c r="R109" s="38">
        <v>5.0238095238095202</v>
      </c>
    </row>
    <row r="110" spans="1:18" ht="15.75" customHeight="1" x14ac:dyDescent="0.2">
      <c r="A110" s="7">
        <v>107</v>
      </c>
      <c r="B110" s="7" t="s">
        <v>134</v>
      </c>
      <c r="C110" s="7" t="s">
        <v>145</v>
      </c>
      <c r="D110" s="7" t="s">
        <v>437</v>
      </c>
      <c r="E110" s="7" t="s">
        <v>438</v>
      </c>
      <c r="F110" s="8">
        <v>253</v>
      </c>
      <c r="G110" s="9">
        <v>0.123716381418093</v>
      </c>
      <c r="H110" s="8">
        <v>93</v>
      </c>
      <c r="I110" s="8">
        <v>90</v>
      </c>
      <c r="J110" s="38">
        <v>0.158102766798419</v>
      </c>
      <c r="K110" s="38">
        <v>0.33333333333333298</v>
      </c>
      <c r="L110" s="38">
        <v>6.6666666666666693E-2</v>
      </c>
      <c r="M110" s="38">
        <v>0.266666666666667</v>
      </c>
      <c r="N110" s="9">
        <v>0.24901185770751</v>
      </c>
      <c r="O110" s="9">
        <v>0.41249999999999998</v>
      </c>
      <c r="P110" s="9">
        <v>0.71489361702127696</v>
      </c>
      <c r="Q110" s="42">
        <v>180</v>
      </c>
      <c r="R110" s="38">
        <v>2.4657534246575299</v>
      </c>
    </row>
    <row r="111" spans="1:18" ht="15.75" customHeight="1" x14ac:dyDescent="0.2">
      <c r="A111" s="7">
        <v>108</v>
      </c>
      <c r="B111" s="7" t="s">
        <v>134</v>
      </c>
      <c r="C111" s="7" t="s">
        <v>145</v>
      </c>
      <c r="D111" s="7" t="s">
        <v>439</v>
      </c>
      <c r="E111" s="7" t="s">
        <v>440</v>
      </c>
      <c r="F111" s="8">
        <v>252</v>
      </c>
      <c r="G111" s="9">
        <v>0.11376975169300201</v>
      </c>
      <c r="H111" s="8">
        <v>88</v>
      </c>
      <c r="I111" s="8">
        <v>87</v>
      </c>
      <c r="J111" s="38">
        <v>0.103174603174603</v>
      </c>
      <c r="K111" s="38">
        <v>0.27272727272727298</v>
      </c>
      <c r="L111" s="38">
        <v>-6.8965517241379296E-2</v>
      </c>
      <c r="M111" s="38">
        <v>0.34169278996865199</v>
      </c>
      <c r="N111" s="9">
        <v>0.26984126984126999</v>
      </c>
      <c r="O111" s="9">
        <v>0.39869281045751598</v>
      </c>
      <c r="P111" s="9">
        <v>0.68398268398268403</v>
      </c>
      <c r="Q111" s="42">
        <v>192</v>
      </c>
      <c r="R111" s="38">
        <v>3.2</v>
      </c>
    </row>
    <row r="112" spans="1:18" ht="15.75" customHeight="1" x14ac:dyDescent="0.2">
      <c r="A112" s="7">
        <v>109</v>
      </c>
      <c r="B112" s="7" t="s">
        <v>136</v>
      </c>
      <c r="C112" s="7" t="s">
        <v>165</v>
      </c>
      <c r="D112" s="7" t="s">
        <v>441</v>
      </c>
      <c r="E112" s="7" t="s">
        <v>442</v>
      </c>
      <c r="F112" s="8">
        <v>252</v>
      </c>
      <c r="G112" s="9">
        <v>0.17771509167842001</v>
      </c>
      <c r="H112" s="8">
        <v>116</v>
      </c>
      <c r="I112" s="8">
        <v>94</v>
      </c>
      <c r="J112" s="38">
        <v>0.13888888888888901</v>
      </c>
      <c r="K112" s="38">
        <v>0.32758620689655199</v>
      </c>
      <c r="L112" s="38">
        <v>-8.5106382978723402E-2</v>
      </c>
      <c r="M112" s="38">
        <v>0.41269258987527502</v>
      </c>
      <c r="N112" s="9">
        <v>0.226190476190476</v>
      </c>
      <c r="O112" s="9">
        <v>0.38509316770186303</v>
      </c>
      <c r="P112" s="9">
        <v>0.67826086956521703</v>
      </c>
      <c r="Q112" s="42">
        <v>190</v>
      </c>
      <c r="R112" s="38">
        <v>3.0645161290322598</v>
      </c>
    </row>
    <row r="113" spans="1:18" ht="15.75" customHeight="1" x14ac:dyDescent="0.2">
      <c r="A113" s="7">
        <v>110</v>
      </c>
      <c r="B113" s="7" t="s">
        <v>134</v>
      </c>
      <c r="C113" s="7" t="s">
        <v>144</v>
      </c>
      <c r="D113" s="7" t="s">
        <v>443</v>
      </c>
      <c r="E113" s="7" t="s">
        <v>444</v>
      </c>
      <c r="F113" s="8">
        <v>251</v>
      </c>
      <c r="G113" s="9">
        <v>0.109559144478394</v>
      </c>
      <c r="H113" s="8">
        <v>99</v>
      </c>
      <c r="I113" s="8">
        <v>103</v>
      </c>
      <c r="J113" s="38">
        <v>-8.3665338645418294E-2</v>
      </c>
      <c r="K113" s="38">
        <v>0.10101010101010099</v>
      </c>
      <c r="L113" s="38">
        <v>-0.213592233009709</v>
      </c>
      <c r="M113" s="38">
        <v>0.31460233401981003</v>
      </c>
      <c r="N113" s="9">
        <v>0.25498007968127501</v>
      </c>
      <c r="O113" s="9">
        <v>0.42465753424657499</v>
      </c>
      <c r="P113" s="9">
        <v>0.71365638766519801</v>
      </c>
      <c r="Q113" s="42">
        <v>201</v>
      </c>
      <c r="R113" s="38">
        <v>4.0199999999999996</v>
      </c>
    </row>
    <row r="114" spans="1:18" ht="15.75" customHeight="1" x14ac:dyDescent="0.2">
      <c r="A114" s="7">
        <v>111</v>
      </c>
      <c r="B114" s="7" t="s">
        <v>136</v>
      </c>
      <c r="C114" s="7" t="s">
        <v>174</v>
      </c>
      <c r="D114" s="7" t="s">
        <v>445</v>
      </c>
      <c r="E114" s="7" t="s">
        <v>446</v>
      </c>
      <c r="F114" s="8">
        <v>250</v>
      </c>
      <c r="G114" s="9">
        <v>0.12953367875647701</v>
      </c>
      <c r="H114" s="8">
        <v>103</v>
      </c>
      <c r="I114" s="8">
        <v>95</v>
      </c>
      <c r="J114" s="38">
        <v>-0.12</v>
      </c>
      <c r="K114" s="38">
        <v>5.8252427184466E-2</v>
      </c>
      <c r="L114" s="38">
        <v>-0.27368421052631597</v>
      </c>
      <c r="M114" s="38">
        <v>0.33193663771078202</v>
      </c>
      <c r="N114" s="9">
        <v>0.28799999999999998</v>
      </c>
      <c r="O114" s="9">
        <v>0.28930817610062898</v>
      </c>
      <c r="P114" s="9">
        <v>0.71250000000000002</v>
      </c>
      <c r="Q114" s="42">
        <v>191</v>
      </c>
      <c r="R114" s="38">
        <v>3.2372881355932202</v>
      </c>
    </row>
    <row r="115" spans="1:18" ht="15.75" customHeight="1" x14ac:dyDescent="0.2">
      <c r="A115" s="7">
        <v>112</v>
      </c>
      <c r="B115" s="7" t="s">
        <v>136</v>
      </c>
      <c r="C115" s="7" t="s">
        <v>136</v>
      </c>
      <c r="D115" s="7" t="s">
        <v>447</v>
      </c>
      <c r="E115" s="7" t="s">
        <v>448</v>
      </c>
      <c r="F115" s="8">
        <v>250</v>
      </c>
      <c r="G115" s="9">
        <v>0.14662756598240501</v>
      </c>
      <c r="H115" s="8">
        <v>96</v>
      </c>
      <c r="I115" s="8">
        <v>95</v>
      </c>
      <c r="J115" s="38">
        <v>-1.6E-2</v>
      </c>
      <c r="K115" s="38">
        <v>0.19791666666666699</v>
      </c>
      <c r="L115" s="38">
        <v>-0.28421052631579002</v>
      </c>
      <c r="M115" s="38">
        <v>0.48212719298245599</v>
      </c>
      <c r="N115" s="9">
        <v>0.32</v>
      </c>
      <c r="O115" s="9">
        <v>0.42465753424657499</v>
      </c>
      <c r="P115" s="9">
        <v>0.70995670995671001</v>
      </c>
      <c r="Q115" s="42">
        <v>195</v>
      </c>
      <c r="R115" s="38">
        <v>3.5454545454545499</v>
      </c>
    </row>
    <row r="116" spans="1:18" ht="15.75" customHeight="1" x14ac:dyDescent="0.2">
      <c r="A116" s="7">
        <v>113</v>
      </c>
      <c r="B116" s="7" t="s">
        <v>134</v>
      </c>
      <c r="C116" s="7" t="s">
        <v>135</v>
      </c>
      <c r="D116" s="7" t="s">
        <v>449</v>
      </c>
      <c r="E116" s="7" t="s">
        <v>450</v>
      </c>
      <c r="F116" s="8">
        <v>250</v>
      </c>
      <c r="G116" s="9">
        <v>0.17029972752043601</v>
      </c>
      <c r="H116" s="8">
        <v>108</v>
      </c>
      <c r="I116" s="8">
        <v>62</v>
      </c>
      <c r="J116" s="38">
        <v>0.36</v>
      </c>
      <c r="K116" s="38">
        <v>0.47222222222222199</v>
      </c>
      <c r="L116" s="38">
        <v>0.225806451612903</v>
      </c>
      <c r="M116" s="38">
        <v>0.24641577060931899</v>
      </c>
      <c r="N116" s="9">
        <v>0.36799999999999999</v>
      </c>
      <c r="O116" s="9">
        <v>0.14383561643835599</v>
      </c>
      <c r="P116" s="9">
        <v>0.43317972350230399</v>
      </c>
      <c r="Q116" s="42">
        <v>200</v>
      </c>
      <c r="R116" s="38">
        <v>4</v>
      </c>
    </row>
    <row r="117" spans="1:18" ht="15.75" customHeight="1" x14ac:dyDescent="0.2">
      <c r="A117" s="7">
        <v>114</v>
      </c>
      <c r="B117" s="7" t="s">
        <v>136</v>
      </c>
      <c r="C117" s="7" t="s">
        <v>146</v>
      </c>
      <c r="D117" s="7" t="s">
        <v>451</v>
      </c>
      <c r="E117" s="7" t="s">
        <v>452</v>
      </c>
      <c r="F117" s="8">
        <v>249</v>
      </c>
      <c r="G117" s="9">
        <v>0.143847487001733</v>
      </c>
      <c r="H117" s="8">
        <v>94</v>
      </c>
      <c r="I117" s="8">
        <v>99</v>
      </c>
      <c r="J117" s="38">
        <v>-1.60642570281125E-2</v>
      </c>
      <c r="K117" s="38">
        <v>0.22340425531914901</v>
      </c>
      <c r="L117" s="38">
        <v>-0.21212121212121199</v>
      </c>
      <c r="M117" s="38">
        <v>0.43552546744036102</v>
      </c>
      <c r="N117" s="9">
        <v>0.22891566265060201</v>
      </c>
      <c r="O117" s="9">
        <v>0.44585987261146498</v>
      </c>
      <c r="P117" s="9">
        <v>0.70562770562770605</v>
      </c>
      <c r="Q117" s="42">
        <v>195</v>
      </c>
      <c r="R117" s="38">
        <v>3.6111111111111098</v>
      </c>
    </row>
    <row r="118" spans="1:18" ht="15.75" customHeight="1" x14ac:dyDescent="0.2">
      <c r="A118" s="7">
        <v>115</v>
      </c>
      <c r="B118" s="7" t="s">
        <v>134</v>
      </c>
      <c r="C118" s="7" t="s">
        <v>147</v>
      </c>
      <c r="D118" s="7" t="s">
        <v>453</v>
      </c>
      <c r="E118" s="7" t="s">
        <v>454</v>
      </c>
      <c r="F118" s="8">
        <v>248</v>
      </c>
      <c r="G118" s="9">
        <v>0.16974674880219001</v>
      </c>
      <c r="H118" s="8">
        <v>83</v>
      </c>
      <c r="I118" s="8">
        <v>100</v>
      </c>
      <c r="J118" s="38">
        <v>-6.0483870967741903E-2</v>
      </c>
      <c r="K118" s="38">
        <v>0.27710843373493999</v>
      </c>
      <c r="L118" s="38">
        <v>-0.32</v>
      </c>
      <c r="M118" s="38">
        <v>0.59710843373494005</v>
      </c>
      <c r="N118" s="9">
        <v>0.27016129032258102</v>
      </c>
      <c r="O118" s="9">
        <v>0.33333333333333298</v>
      </c>
      <c r="P118" s="9">
        <v>0.63090128755364805</v>
      </c>
      <c r="Q118" s="42">
        <v>190</v>
      </c>
      <c r="R118" s="38">
        <v>3.27586206896552</v>
      </c>
    </row>
    <row r="119" spans="1:18" ht="15.75" customHeight="1" x14ac:dyDescent="0.2">
      <c r="A119" s="7">
        <v>116</v>
      </c>
      <c r="B119" s="7" t="s">
        <v>136</v>
      </c>
      <c r="C119" s="7" t="s">
        <v>156</v>
      </c>
      <c r="D119" s="7" t="s">
        <v>455</v>
      </c>
      <c r="E119" s="7" t="s">
        <v>456</v>
      </c>
      <c r="F119" s="8">
        <v>247</v>
      </c>
      <c r="G119" s="9">
        <v>0.125</v>
      </c>
      <c r="H119" s="8">
        <v>94</v>
      </c>
      <c r="I119" s="8">
        <v>110</v>
      </c>
      <c r="J119" s="38">
        <v>-0.27530364372469601</v>
      </c>
      <c r="K119" s="38">
        <v>-0.159574468085106</v>
      </c>
      <c r="L119" s="38">
        <v>-0.40909090909090901</v>
      </c>
      <c r="M119" s="38">
        <v>0.249516441005803</v>
      </c>
      <c r="N119" s="9">
        <v>0.22267206477732801</v>
      </c>
      <c r="O119" s="9">
        <v>0.46666666666666701</v>
      </c>
      <c r="P119" s="9">
        <v>0.78205128205128205</v>
      </c>
      <c r="Q119" s="42">
        <v>194</v>
      </c>
      <c r="R119" s="38">
        <v>3.6603773584905701</v>
      </c>
    </row>
    <row r="120" spans="1:18" ht="15.75" customHeight="1" x14ac:dyDescent="0.2">
      <c r="A120" s="7">
        <v>117</v>
      </c>
      <c r="B120" s="7" t="s">
        <v>136</v>
      </c>
      <c r="C120" s="7" t="s">
        <v>137</v>
      </c>
      <c r="D120" s="7" t="s">
        <v>457</v>
      </c>
      <c r="E120" s="7" t="s">
        <v>458</v>
      </c>
      <c r="F120" s="8">
        <v>243</v>
      </c>
      <c r="G120" s="9">
        <v>0.12769311613242301</v>
      </c>
      <c r="H120" s="8">
        <v>88</v>
      </c>
      <c r="I120" s="8">
        <v>96</v>
      </c>
      <c r="J120" s="38">
        <v>0.234567901234568</v>
      </c>
      <c r="K120" s="38">
        <v>0.43181818181818199</v>
      </c>
      <c r="L120" s="38">
        <v>0.114583333333333</v>
      </c>
      <c r="M120" s="38">
        <v>0.31723484848484901</v>
      </c>
      <c r="N120" s="9">
        <v>0.312757201646091</v>
      </c>
      <c r="O120" s="9">
        <v>0.301369863013699</v>
      </c>
      <c r="P120" s="9">
        <v>0.62443438914027205</v>
      </c>
      <c r="Q120" s="42">
        <v>180</v>
      </c>
      <c r="R120" s="38">
        <v>2.8571428571428599</v>
      </c>
    </row>
    <row r="121" spans="1:18" ht="15.75" customHeight="1" x14ac:dyDescent="0.2">
      <c r="A121" s="7">
        <v>118</v>
      </c>
      <c r="B121" s="7" t="s">
        <v>134</v>
      </c>
      <c r="C121" s="7" t="s">
        <v>197</v>
      </c>
      <c r="D121" s="7" t="s">
        <v>459</v>
      </c>
      <c r="E121" s="7" t="s">
        <v>460</v>
      </c>
      <c r="F121" s="8">
        <v>243</v>
      </c>
      <c r="G121" s="9">
        <v>0.130574959699087</v>
      </c>
      <c r="H121" s="8">
        <v>100</v>
      </c>
      <c r="I121" s="8">
        <v>87</v>
      </c>
      <c r="J121" s="38">
        <v>1.2345679012345699E-2</v>
      </c>
      <c r="K121" s="38">
        <v>0.24</v>
      </c>
      <c r="L121" s="38">
        <v>-0.29885057471264398</v>
      </c>
      <c r="M121" s="38">
        <v>0.53885057471264397</v>
      </c>
      <c r="N121" s="9">
        <v>0.24691358024691401</v>
      </c>
      <c r="O121" s="9">
        <v>0.42307692307692302</v>
      </c>
      <c r="P121" s="9">
        <v>0.69090909090909103</v>
      </c>
      <c r="Q121" s="42">
        <v>189</v>
      </c>
      <c r="R121" s="38">
        <v>3.5</v>
      </c>
    </row>
    <row r="122" spans="1:18" ht="15.75" customHeight="1" x14ac:dyDescent="0.2">
      <c r="A122" s="7">
        <v>119</v>
      </c>
      <c r="B122" s="7" t="s">
        <v>134</v>
      </c>
      <c r="C122" s="7" t="s">
        <v>196</v>
      </c>
      <c r="D122" s="7" t="s">
        <v>461</v>
      </c>
      <c r="E122" s="7" t="s">
        <v>462</v>
      </c>
      <c r="F122" s="8">
        <v>243</v>
      </c>
      <c r="G122" s="9">
        <v>0.14021927293710301</v>
      </c>
      <c r="H122" s="8">
        <v>98</v>
      </c>
      <c r="I122" s="8">
        <v>91</v>
      </c>
      <c r="J122" s="38">
        <v>-5.7613168724279802E-2</v>
      </c>
      <c r="K122" s="38">
        <v>0.102040816326531</v>
      </c>
      <c r="L122" s="38">
        <v>-0.25274725274725302</v>
      </c>
      <c r="M122" s="38">
        <v>0.35478806907378302</v>
      </c>
      <c r="N122" s="9">
        <v>0.30041152263374499</v>
      </c>
      <c r="O122" s="9">
        <v>0.43506493506493499</v>
      </c>
      <c r="P122" s="9">
        <v>0.62389380530973504</v>
      </c>
      <c r="Q122" s="42">
        <v>182</v>
      </c>
      <c r="R122" s="38">
        <v>2.9836065573770498</v>
      </c>
    </row>
    <row r="123" spans="1:18" ht="15.75" customHeight="1" x14ac:dyDescent="0.2">
      <c r="A123" s="7">
        <v>120</v>
      </c>
      <c r="B123" s="7" t="s">
        <v>136</v>
      </c>
      <c r="C123" s="7" t="s">
        <v>148</v>
      </c>
      <c r="D123" s="7" t="s">
        <v>463</v>
      </c>
      <c r="E123" s="7" t="s">
        <v>464</v>
      </c>
      <c r="F123" s="8">
        <v>243</v>
      </c>
      <c r="G123" s="9">
        <v>0.124935732647815</v>
      </c>
      <c r="H123" s="8">
        <v>92</v>
      </c>
      <c r="I123" s="8">
        <v>100</v>
      </c>
      <c r="J123" s="38">
        <v>0.16049382716049401</v>
      </c>
      <c r="K123" s="38">
        <v>0.27173913043478298</v>
      </c>
      <c r="L123" s="38">
        <v>0.08</v>
      </c>
      <c r="M123" s="38">
        <v>0.191739130434783</v>
      </c>
      <c r="N123" s="9">
        <v>0.296296296296296</v>
      </c>
      <c r="O123" s="9">
        <v>0.39259259259259299</v>
      </c>
      <c r="P123" s="9">
        <v>0.67727272727272703</v>
      </c>
      <c r="Q123" s="42">
        <v>193</v>
      </c>
      <c r="R123" s="38">
        <v>3.86</v>
      </c>
    </row>
    <row r="124" spans="1:18" ht="15.75" customHeight="1" x14ac:dyDescent="0.2">
      <c r="A124" s="7">
        <v>121</v>
      </c>
      <c r="B124" s="7" t="s">
        <v>158</v>
      </c>
      <c r="C124" s="7" t="s">
        <v>198</v>
      </c>
      <c r="D124" s="7" t="s">
        <v>465</v>
      </c>
      <c r="E124" s="7" t="s">
        <v>466</v>
      </c>
      <c r="F124" s="8">
        <v>243</v>
      </c>
      <c r="G124" s="9">
        <v>0.122913505311077</v>
      </c>
      <c r="H124" s="8">
        <v>78</v>
      </c>
      <c r="I124" s="8">
        <v>105</v>
      </c>
      <c r="J124" s="38">
        <v>-0.209876543209877</v>
      </c>
      <c r="K124" s="38">
        <v>-1.2820512820512799E-2</v>
      </c>
      <c r="L124" s="38">
        <v>-0.44761904761904803</v>
      </c>
      <c r="M124" s="38">
        <v>0.43479853479853497</v>
      </c>
      <c r="N124" s="9">
        <v>0.22222222222222199</v>
      </c>
      <c r="O124" s="9">
        <v>0.26143790849673199</v>
      </c>
      <c r="P124" s="9">
        <v>0.62211981566820296</v>
      </c>
      <c r="Q124" s="42">
        <v>179</v>
      </c>
      <c r="R124" s="38">
        <v>2.796875</v>
      </c>
    </row>
    <row r="125" spans="1:18" ht="15.75" customHeight="1" x14ac:dyDescent="0.2">
      <c r="A125" s="7">
        <v>122</v>
      </c>
      <c r="B125" s="7" t="s">
        <v>134</v>
      </c>
      <c r="C125" s="7" t="s">
        <v>135</v>
      </c>
      <c r="D125" s="7" t="s">
        <v>467</v>
      </c>
      <c r="E125" s="7" t="s">
        <v>468</v>
      </c>
      <c r="F125" s="8">
        <v>241</v>
      </c>
      <c r="G125" s="9">
        <v>0.197703035274815</v>
      </c>
      <c r="H125" s="8">
        <v>87</v>
      </c>
      <c r="I125" s="8">
        <v>76</v>
      </c>
      <c r="J125" s="38">
        <v>0.47302904564315401</v>
      </c>
      <c r="K125" s="38">
        <v>0.50574712643678199</v>
      </c>
      <c r="L125" s="38">
        <v>0.5</v>
      </c>
      <c r="M125" s="38">
        <v>5.7471264367816603E-3</v>
      </c>
      <c r="N125" s="9">
        <v>0.352697095435685</v>
      </c>
      <c r="O125" s="9">
        <v>0.16129032258064499</v>
      </c>
      <c r="P125" s="9">
        <v>0.36619718309859201</v>
      </c>
      <c r="Q125" s="42">
        <v>195</v>
      </c>
      <c r="R125" s="38">
        <v>4.2391304347826102</v>
      </c>
    </row>
    <row r="126" spans="1:18" ht="15.75" customHeight="1" x14ac:dyDescent="0.2">
      <c r="A126" s="7">
        <v>123</v>
      </c>
      <c r="B126" s="7" t="s">
        <v>136</v>
      </c>
      <c r="C126" s="7" t="s">
        <v>163</v>
      </c>
      <c r="D126" s="7" t="s">
        <v>469</v>
      </c>
      <c r="E126" s="7" t="s">
        <v>470</v>
      </c>
      <c r="F126" s="8">
        <v>241</v>
      </c>
      <c r="G126" s="9">
        <v>0.160881174899867</v>
      </c>
      <c r="H126" s="8">
        <v>108</v>
      </c>
      <c r="I126" s="8">
        <v>81</v>
      </c>
      <c r="J126" s="38">
        <v>0.10788381742738599</v>
      </c>
      <c r="K126" s="38">
        <v>0.30555555555555602</v>
      </c>
      <c r="L126" s="38">
        <v>-0.148148148148148</v>
      </c>
      <c r="M126" s="38">
        <v>0.453703703703704</v>
      </c>
      <c r="N126" s="9">
        <v>0.26970954356846499</v>
      </c>
      <c r="O126" s="9">
        <v>0.37662337662337703</v>
      </c>
      <c r="P126" s="9">
        <v>0.64601769911504403</v>
      </c>
      <c r="Q126" s="42">
        <v>176</v>
      </c>
      <c r="R126" s="38">
        <v>2.7076923076923101</v>
      </c>
    </row>
    <row r="127" spans="1:18" ht="15.75" customHeight="1" x14ac:dyDescent="0.2">
      <c r="A127" s="7">
        <v>124</v>
      </c>
      <c r="B127" s="7" t="s">
        <v>134</v>
      </c>
      <c r="C127" s="7" t="s">
        <v>199</v>
      </c>
      <c r="D127" s="7" t="s">
        <v>471</v>
      </c>
      <c r="E127" s="7" t="s">
        <v>472</v>
      </c>
      <c r="F127" s="8">
        <v>241</v>
      </c>
      <c r="G127" s="9">
        <v>0.13493840985442301</v>
      </c>
      <c r="H127" s="8">
        <v>96</v>
      </c>
      <c r="I127" s="8">
        <v>83</v>
      </c>
      <c r="J127" s="38">
        <v>-0.17427385892116201</v>
      </c>
      <c r="K127" s="38">
        <v>0</v>
      </c>
      <c r="L127" s="38">
        <v>-0.44578313253012097</v>
      </c>
      <c r="M127" s="38">
        <v>0.44578313253012097</v>
      </c>
      <c r="N127" s="9">
        <v>0.219917012448133</v>
      </c>
      <c r="O127" s="9">
        <v>0.42384105960264901</v>
      </c>
      <c r="P127" s="9">
        <v>0.72</v>
      </c>
      <c r="Q127" s="42">
        <v>186</v>
      </c>
      <c r="R127" s="38">
        <v>3.3818181818181801</v>
      </c>
    </row>
    <row r="128" spans="1:18" ht="15.75" customHeight="1" x14ac:dyDescent="0.2">
      <c r="A128" s="7">
        <v>125</v>
      </c>
      <c r="B128" s="7" t="s">
        <v>136</v>
      </c>
      <c r="C128" s="7" t="s">
        <v>161</v>
      </c>
      <c r="D128" s="7" t="s">
        <v>473</v>
      </c>
      <c r="E128" s="7" t="s">
        <v>474</v>
      </c>
      <c r="F128" s="8">
        <v>241</v>
      </c>
      <c r="G128" s="9">
        <v>0.156595191682911</v>
      </c>
      <c r="H128" s="8">
        <v>91</v>
      </c>
      <c r="I128" s="8">
        <v>108</v>
      </c>
      <c r="J128" s="38">
        <v>1.2448132780083001E-2</v>
      </c>
      <c r="K128" s="38">
        <v>0.30769230769230799</v>
      </c>
      <c r="L128" s="38">
        <v>-0.296296296296296</v>
      </c>
      <c r="M128" s="38">
        <v>0.60398860398860399</v>
      </c>
      <c r="N128" s="9">
        <v>0.24066390041493799</v>
      </c>
      <c r="O128" s="9">
        <v>0.47794117647058798</v>
      </c>
      <c r="P128" s="9">
        <v>0.78828828828828801</v>
      </c>
      <c r="Q128" s="42">
        <v>205</v>
      </c>
      <c r="R128" s="38">
        <v>5.69444444444445</v>
      </c>
    </row>
    <row r="129" spans="1:18" ht="15.75" customHeight="1" x14ac:dyDescent="0.2">
      <c r="A129" s="7">
        <v>126</v>
      </c>
      <c r="B129" s="7" t="s">
        <v>136</v>
      </c>
      <c r="C129" s="7" t="s">
        <v>161</v>
      </c>
      <c r="D129" s="7" t="s">
        <v>475</v>
      </c>
      <c r="E129" s="7" t="s">
        <v>476</v>
      </c>
      <c r="F129" s="8">
        <v>240</v>
      </c>
      <c r="G129" s="9">
        <v>0.143798681845416</v>
      </c>
      <c r="H129" s="8">
        <v>96</v>
      </c>
      <c r="I129" s="8">
        <v>82</v>
      </c>
      <c r="J129" s="38">
        <v>0.108333333333333</v>
      </c>
      <c r="K129" s="38">
        <v>0.20833333333333301</v>
      </c>
      <c r="L129" s="38">
        <v>4.8780487804878099E-2</v>
      </c>
      <c r="M129" s="38">
        <v>0.159552845528455</v>
      </c>
      <c r="N129" s="9">
        <v>0.28333333333333299</v>
      </c>
      <c r="O129" s="9">
        <v>0.52554744525547503</v>
      </c>
      <c r="P129" s="9">
        <v>0.73303167420814497</v>
      </c>
      <c r="Q129" s="42">
        <v>199</v>
      </c>
      <c r="R129" s="38">
        <v>4.8536585365853702</v>
      </c>
    </row>
    <row r="130" spans="1:18" ht="15.75" customHeight="1" x14ac:dyDescent="0.2">
      <c r="A130" s="7">
        <v>127</v>
      </c>
      <c r="B130" s="7" t="s">
        <v>158</v>
      </c>
      <c r="C130" s="7" t="s">
        <v>200</v>
      </c>
      <c r="D130" s="7" t="s">
        <v>477</v>
      </c>
      <c r="E130" s="7" t="s">
        <v>478</v>
      </c>
      <c r="F130" s="8">
        <v>239</v>
      </c>
      <c r="G130" s="9">
        <v>0.12863293864370301</v>
      </c>
      <c r="H130" s="8">
        <v>84</v>
      </c>
      <c r="I130" s="8">
        <v>90</v>
      </c>
      <c r="J130" s="38">
        <v>-7.1129707112970703E-2</v>
      </c>
      <c r="K130" s="38">
        <v>3.5714285714285698E-2</v>
      </c>
      <c r="L130" s="38">
        <v>-0.17777777777777801</v>
      </c>
      <c r="M130" s="38">
        <v>0.21349206349206401</v>
      </c>
      <c r="N130" s="9">
        <v>0.25941422594142299</v>
      </c>
      <c r="O130" s="9">
        <v>0.47368421052631599</v>
      </c>
      <c r="P130" s="9">
        <v>0.69444444444444398</v>
      </c>
      <c r="Q130" s="42">
        <v>176</v>
      </c>
      <c r="R130" s="38">
        <v>2.7936507936507899</v>
      </c>
    </row>
    <row r="131" spans="1:18" ht="15.75" customHeight="1" x14ac:dyDescent="0.2">
      <c r="A131" s="7">
        <v>128</v>
      </c>
      <c r="B131" s="7" t="s">
        <v>134</v>
      </c>
      <c r="C131" s="7" t="s">
        <v>135</v>
      </c>
      <c r="D131" s="7" t="s">
        <v>479</v>
      </c>
      <c r="E131" s="7" t="s">
        <v>480</v>
      </c>
      <c r="F131" s="8">
        <v>239</v>
      </c>
      <c r="G131" s="9">
        <v>0.17022792022791999</v>
      </c>
      <c r="H131" s="8">
        <v>91</v>
      </c>
      <c r="I131" s="8">
        <v>72</v>
      </c>
      <c r="J131" s="38">
        <v>0.34309623430962299</v>
      </c>
      <c r="K131" s="38">
        <v>0.56043956043956</v>
      </c>
      <c r="L131" s="38">
        <v>0.33333333333333298</v>
      </c>
      <c r="M131" s="38">
        <v>0.22710622710622699</v>
      </c>
      <c r="N131" s="9">
        <v>0.330543933054393</v>
      </c>
      <c r="O131" s="9">
        <v>0.16030534351145001</v>
      </c>
      <c r="P131" s="9">
        <v>0.52427184466019405</v>
      </c>
      <c r="Q131" s="42">
        <v>192</v>
      </c>
      <c r="R131" s="38">
        <v>4.0851063829787204</v>
      </c>
    </row>
    <row r="132" spans="1:18" ht="15.75" customHeight="1" x14ac:dyDescent="0.2">
      <c r="A132" s="7">
        <v>129</v>
      </c>
      <c r="B132" s="7" t="s">
        <v>136</v>
      </c>
      <c r="C132" s="7" t="s">
        <v>137</v>
      </c>
      <c r="D132" s="7" t="s">
        <v>481</v>
      </c>
      <c r="E132" s="7" t="s">
        <v>482</v>
      </c>
      <c r="F132" s="8">
        <v>238</v>
      </c>
      <c r="G132" s="9">
        <v>0.164251207729469</v>
      </c>
      <c r="H132" s="8">
        <v>96</v>
      </c>
      <c r="I132" s="8">
        <v>83</v>
      </c>
      <c r="J132" s="38">
        <v>0.27310924369747902</v>
      </c>
      <c r="K132" s="38">
        <v>0.47916666666666702</v>
      </c>
      <c r="L132" s="38">
        <v>3.6144578313252997E-2</v>
      </c>
      <c r="M132" s="38">
        <v>0.443022088353414</v>
      </c>
      <c r="N132" s="9">
        <v>0.29831932773109199</v>
      </c>
      <c r="O132" s="9">
        <v>0.33112582781457001</v>
      </c>
      <c r="P132" s="9">
        <v>0.47169811320754701</v>
      </c>
      <c r="Q132" s="42">
        <v>185</v>
      </c>
      <c r="R132" s="38">
        <v>3.4905660377358498</v>
      </c>
    </row>
    <row r="133" spans="1:18" ht="15.75" customHeight="1" x14ac:dyDescent="0.2">
      <c r="A133" s="7">
        <v>130</v>
      </c>
      <c r="B133" s="7" t="s">
        <v>136</v>
      </c>
      <c r="C133" s="7" t="s">
        <v>137</v>
      </c>
      <c r="D133" s="7" t="s">
        <v>483</v>
      </c>
      <c r="E133" s="7" t="s">
        <v>484</v>
      </c>
      <c r="F133" s="8">
        <v>238</v>
      </c>
      <c r="G133" s="9">
        <v>0.20713664055700601</v>
      </c>
      <c r="H133" s="8">
        <v>97</v>
      </c>
      <c r="I133" s="8">
        <v>86</v>
      </c>
      <c r="J133" s="38">
        <v>0.373949579831933</v>
      </c>
      <c r="K133" s="38">
        <v>0.536082474226804</v>
      </c>
      <c r="L133" s="38">
        <v>0.13953488372093001</v>
      </c>
      <c r="M133" s="38">
        <v>0.39654759050587401</v>
      </c>
      <c r="N133" s="9">
        <v>0.34873949579831898</v>
      </c>
      <c r="O133" s="9">
        <v>0.26388888888888901</v>
      </c>
      <c r="P133" s="9">
        <v>0.465437788018433</v>
      </c>
      <c r="Q133" s="42">
        <v>177</v>
      </c>
      <c r="R133" s="38">
        <v>2.9016393442622999</v>
      </c>
    </row>
    <row r="134" spans="1:18" ht="15.75" customHeight="1" x14ac:dyDescent="0.2">
      <c r="A134" s="7">
        <v>131</v>
      </c>
      <c r="B134" s="7" t="s">
        <v>134</v>
      </c>
      <c r="C134" s="7" t="s">
        <v>142</v>
      </c>
      <c r="D134" s="7" t="s">
        <v>485</v>
      </c>
      <c r="E134" s="7" t="s">
        <v>486</v>
      </c>
      <c r="F134" s="8">
        <v>237</v>
      </c>
      <c r="G134" s="9">
        <v>0.17124277456647399</v>
      </c>
      <c r="H134" s="8">
        <v>90</v>
      </c>
      <c r="I134" s="8">
        <v>81</v>
      </c>
      <c r="J134" s="38">
        <v>0.30379746835443</v>
      </c>
      <c r="K134" s="38">
        <v>0.52222222222222203</v>
      </c>
      <c r="L134" s="38">
        <v>6.1728395061728399E-2</v>
      </c>
      <c r="M134" s="38">
        <v>0.46049382716049397</v>
      </c>
      <c r="N134" s="9">
        <v>0.33333333333333298</v>
      </c>
      <c r="O134" s="9">
        <v>0.27200000000000002</v>
      </c>
      <c r="P134" s="9">
        <v>0.52558139534883697</v>
      </c>
      <c r="Q134" s="42">
        <v>192</v>
      </c>
      <c r="R134" s="38">
        <v>4.2666666666666702</v>
      </c>
    </row>
    <row r="135" spans="1:18" ht="15.75" customHeight="1" x14ac:dyDescent="0.2">
      <c r="A135" s="7">
        <v>132</v>
      </c>
      <c r="B135" s="7" t="s">
        <v>134</v>
      </c>
      <c r="C135" s="7" t="s">
        <v>147</v>
      </c>
      <c r="D135" s="7" t="s">
        <v>487</v>
      </c>
      <c r="E135" s="7" t="s">
        <v>488</v>
      </c>
      <c r="F135" s="8">
        <v>237</v>
      </c>
      <c r="G135" s="9">
        <v>0.120243531202435</v>
      </c>
      <c r="H135" s="8">
        <v>87</v>
      </c>
      <c r="I135" s="8">
        <v>86</v>
      </c>
      <c r="J135" s="38">
        <v>-0.113924050632911</v>
      </c>
      <c r="K135" s="38">
        <v>0.14942528735632199</v>
      </c>
      <c r="L135" s="38">
        <v>-0.26744186046511598</v>
      </c>
      <c r="M135" s="38">
        <v>0.41686714782143802</v>
      </c>
      <c r="N135" s="9">
        <v>0.253164556962025</v>
      </c>
      <c r="O135" s="9">
        <v>0.41401273885350298</v>
      </c>
      <c r="P135" s="9">
        <v>0.66513761467889898</v>
      </c>
      <c r="Q135" s="42">
        <v>175</v>
      </c>
      <c r="R135" s="38">
        <v>2.82258064516129</v>
      </c>
    </row>
    <row r="136" spans="1:18" ht="15.75" customHeight="1" x14ac:dyDescent="0.2">
      <c r="A136" s="7">
        <v>133</v>
      </c>
      <c r="B136" s="7" t="s">
        <v>134</v>
      </c>
      <c r="C136" s="7" t="s">
        <v>150</v>
      </c>
      <c r="D136" s="7" t="s">
        <v>489</v>
      </c>
      <c r="E136" s="7" t="s">
        <v>490</v>
      </c>
      <c r="F136" s="8">
        <v>236</v>
      </c>
      <c r="G136" s="9">
        <v>0.16411682892906801</v>
      </c>
      <c r="H136" s="8">
        <v>98</v>
      </c>
      <c r="I136" s="8">
        <v>94</v>
      </c>
      <c r="J136" s="38">
        <v>0.14830508474576301</v>
      </c>
      <c r="K136" s="38">
        <v>0.31632653061224503</v>
      </c>
      <c r="L136" s="38">
        <v>-4.2553191489361701E-2</v>
      </c>
      <c r="M136" s="38">
        <v>0.35887972210160701</v>
      </c>
      <c r="N136" s="9">
        <v>0.27542372881355898</v>
      </c>
      <c r="O136" s="9">
        <v>0.29447852760736198</v>
      </c>
      <c r="P136" s="9">
        <v>0.57870370370370405</v>
      </c>
      <c r="Q136" s="42">
        <v>164</v>
      </c>
      <c r="R136" s="38">
        <v>2.2777777777777799</v>
      </c>
    </row>
    <row r="137" spans="1:18" ht="15.75" customHeight="1" x14ac:dyDescent="0.2">
      <c r="A137" s="7">
        <v>134</v>
      </c>
      <c r="B137" s="7" t="s">
        <v>134</v>
      </c>
      <c r="C137" s="7" t="s">
        <v>135</v>
      </c>
      <c r="D137" s="7" t="s">
        <v>491</v>
      </c>
      <c r="E137" s="7" t="s">
        <v>492</v>
      </c>
      <c r="F137" s="8">
        <v>236</v>
      </c>
      <c r="G137" s="9">
        <v>0.210902591599643</v>
      </c>
      <c r="H137" s="8">
        <v>83</v>
      </c>
      <c r="I137" s="8">
        <v>64</v>
      </c>
      <c r="J137" s="38">
        <v>0.30932203389830498</v>
      </c>
      <c r="K137" s="38">
        <v>0.34939759036144602</v>
      </c>
      <c r="L137" s="38">
        <v>0.3125</v>
      </c>
      <c r="M137" s="38">
        <v>3.6897590361445798E-2</v>
      </c>
      <c r="N137" s="9">
        <v>0.40254237288135603</v>
      </c>
      <c r="O137" s="9">
        <v>0.104838709677419</v>
      </c>
      <c r="P137" s="9">
        <v>0.34313725490196101</v>
      </c>
      <c r="Q137" s="42">
        <v>198</v>
      </c>
      <c r="R137" s="38">
        <v>5.2105263157894699</v>
      </c>
    </row>
    <row r="138" spans="1:18" ht="15.75" customHeight="1" x14ac:dyDescent="0.2">
      <c r="A138" s="7">
        <v>135</v>
      </c>
      <c r="B138" s="7" t="s">
        <v>134</v>
      </c>
      <c r="C138" s="7" t="s">
        <v>135</v>
      </c>
      <c r="D138" s="7" t="s">
        <v>493</v>
      </c>
      <c r="E138" s="7" t="s">
        <v>494</v>
      </c>
      <c r="F138" s="8">
        <v>235</v>
      </c>
      <c r="G138" s="9">
        <v>0.197147651006711</v>
      </c>
      <c r="H138" s="8">
        <v>87</v>
      </c>
      <c r="I138" s="8">
        <v>77</v>
      </c>
      <c r="J138" s="38">
        <v>0.33191489361702098</v>
      </c>
      <c r="K138" s="38">
        <v>0.41379310344827602</v>
      </c>
      <c r="L138" s="38">
        <v>0.27272727272727298</v>
      </c>
      <c r="M138" s="38">
        <v>0.14106583072100301</v>
      </c>
      <c r="N138" s="9">
        <v>0.27659574468085102</v>
      </c>
      <c r="O138" s="9">
        <v>0.16666666666666699</v>
      </c>
      <c r="P138" s="9">
        <v>0.46859903381642498</v>
      </c>
      <c r="Q138" s="42">
        <v>192</v>
      </c>
      <c r="R138" s="38">
        <v>4.46511627906977</v>
      </c>
    </row>
    <row r="139" spans="1:18" ht="15.75" customHeight="1" x14ac:dyDescent="0.2">
      <c r="A139" s="7">
        <v>136</v>
      </c>
      <c r="B139" s="7" t="s">
        <v>136</v>
      </c>
      <c r="C139" s="7" t="s">
        <v>167</v>
      </c>
      <c r="D139" s="7" t="s">
        <v>495</v>
      </c>
      <c r="E139" s="7" t="s">
        <v>496</v>
      </c>
      <c r="F139" s="8">
        <v>234</v>
      </c>
      <c r="G139" s="9">
        <v>0.13094571908226099</v>
      </c>
      <c r="H139" s="8">
        <v>94</v>
      </c>
      <c r="I139" s="8">
        <v>91</v>
      </c>
      <c r="J139" s="38">
        <v>-0.26068376068376098</v>
      </c>
      <c r="K139" s="38">
        <v>-0.24468085106383</v>
      </c>
      <c r="L139" s="38">
        <v>-0.28571428571428598</v>
      </c>
      <c r="M139" s="38">
        <v>4.1033434650455898E-2</v>
      </c>
      <c r="N139" s="9">
        <v>0.226495726495727</v>
      </c>
      <c r="O139" s="9">
        <v>0.44666666666666699</v>
      </c>
      <c r="P139" s="9">
        <v>0.70232558139534895</v>
      </c>
      <c r="Q139" s="42">
        <v>174</v>
      </c>
      <c r="R139" s="38">
        <v>2.9</v>
      </c>
    </row>
    <row r="140" spans="1:18" ht="15.75" customHeight="1" x14ac:dyDescent="0.2">
      <c r="A140" s="7">
        <v>137</v>
      </c>
      <c r="B140" s="7" t="s">
        <v>136</v>
      </c>
      <c r="C140" s="7" t="s">
        <v>137</v>
      </c>
      <c r="D140" s="7" t="s">
        <v>497</v>
      </c>
      <c r="E140" s="7" t="s">
        <v>498</v>
      </c>
      <c r="F140" s="8">
        <v>234</v>
      </c>
      <c r="G140" s="9">
        <v>0.19931856899488901</v>
      </c>
      <c r="H140" s="8">
        <v>79</v>
      </c>
      <c r="I140" s="8">
        <v>90</v>
      </c>
      <c r="J140" s="38">
        <v>0.29914529914529903</v>
      </c>
      <c r="K140" s="38">
        <v>0.569620253164557</v>
      </c>
      <c r="L140" s="38">
        <v>0.155555555555556</v>
      </c>
      <c r="M140" s="38">
        <v>0.414064697609001</v>
      </c>
      <c r="N140" s="9">
        <v>0.39316239316239299</v>
      </c>
      <c r="O140" s="9">
        <v>0.20472440944881901</v>
      </c>
      <c r="P140" s="9">
        <v>0.36190476190476201</v>
      </c>
      <c r="Q140" s="42">
        <v>180</v>
      </c>
      <c r="R140" s="38">
        <v>3.3333333333333299</v>
      </c>
    </row>
    <row r="141" spans="1:18" ht="15.75" customHeight="1" x14ac:dyDescent="0.2">
      <c r="A141" s="7">
        <v>138</v>
      </c>
      <c r="B141" s="7" t="s">
        <v>136</v>
      </c>
      <c r="C141" s="7" t="s">
        <v>146</v>
      </c>
      <c r="D141" s="7" t="s">
        <v>499</v>
      </c>
      <c r="E141" s="7" t="s">
        <v>500</v>
      </c>
      <c r="F141" s="8">
        <v>232</v>
      </c>
      <c r="G141" s="9">
        <v>0.121593291404612</v>
      </c>
      <c r="H141" s="8">
        <v>87</v>
      </c>
      <c r="I141" s="8">
        <v>94</v>
      </c>
      <c r="J141" s="38">
        <v>7.3275862068965497E-2</v>
      </c>
      <c r="K141" s="38">
        <v>0.21839080459770099</v>
      </c>
      <c r="L141" s="38">
        <v>-0.180851063829787</v>
      </c>
      <c r="M141" s="38">
        <v>0.39924186842748799</v>
      </c>
      <c r="N141" s="9">
        <v>0.28879310344827602</v>
      </c>
      <c r="O141" s="9">
        <v>0.39610389610389601</v>
      </c>
      <c r="P141" s="9">
        <v>0.70270270270270296</v>
      </c>
      <c r="Q141" s="42">
        <v>183</v>
      </c>
      <c r="R141" s="38">
        <v>3.7346938775510199</v>
      </c>
    </row>
    <row r="142" spans="1:18" ht="15.75" customHeight="1" x14ac:dyDescent="0.2">
      <c r="A142" s="7">
        <v>139</v>
      </c>
      <c r="B142" s="7" t="s">
        <v>136</v>
      </c>
      <c r="C142" s="7" t="s">
        <v>143</v>
      </c>
      <c r="D142" s="7" t="s">
        <v>501</v>
      </c>
      <c r="E142" s="7" t="s">
        <v>502</v>
      </c>
      <c r="F142" s="8">
        <v>232</v>
      </c>
      <c r="G142" s="9">
        <v>0.110687022900763</v>
      </c>
      <c r="H142" s="8">
        <v>83</v>
      </c>
      <c r="I142" s="8">
        <v>97</v>
      </c>
      <c r="J142" s="38">
        <v>0.15086206896551699</v>
      </c>
      <c r="K142" s="38">
        <v>0.33734939759036098</v>
      </c>
      <c r="L142" s="38">
        <v>-4.1237113402061903E-2</v>
      </c>
      <c r="M142" s="38">
        <v>0.37858651099242302</v>
      </c>
      <c r="N142" s="9">
        <v>0.29741379310344801</v>
      </c>
      <c r="O142" s="9">
        <v>0.30827067669172897</v>
      </c>
      <c r="P142" s="9">
        <v>0.59154929577464799</v>
      </c>
      <c r="Q142" s="42">
        <v>179</v>
      </c>
      <c r="R142" s="38">
        <v>3.3773584905660399</v>
      </c>
    </row>
    <row r="143" spans="1:18" ht="15.75" customHeight="1" x14ac:dyDescent="0.2">
      <c r="A143" s="7">
        <v>140</v>
      </c>
      <c r="B143" s="7" t="s">
        <v>152</v>
      </c>
      <c r="C143" s="7" t="s">
        <v>179</v>
      </c>
      <c r="D143" s="7" t="s">
        <v>503</v>
      </c>
      <c r="E143" s="7" t="s">
        <v>504</v>
      </c>
      <c r="F143" s="8">
        <v>229</v>
      </c>
      <c r="G143" s="9">
        <v>0.129159616469261</v>
      </c>
      <c r="H143" s="8">
        <v>80</v>
      </c>
      <c r="I143" s="8">
        <v>98</v>
      </c>
      <c r="J143" s="38">
        <v>-0.35371179039301298</v>
      </c>
      <c r="K143" s="38">
        <v>-0.13750000000000001</v>
      </c>
      <c r="L143" s="38">
        <v>-0.52040816326530603</v>
      </c>
      <c r="M143" s="38">
        <v>0.38290816326530602</v>
      </c>
      <c r="N143" s="9">
        <v>0.22707423580785999</v>
      </c>
      <c r="O143" s="9">
        <v>0.34645669291338599</v>
      </c>
      <c r="P143" s="9">
        <v>0.69194312796208501</v>
      </c>
      <c r="Q143" s="42">
        <v>179</v>
      </c>
      <c r="R143" s="38">
        <v>3.58</v>
      </c>
    </row>
    <row r="144" spans="1:18" ht="15.75" customHeight="1" x14ac:dyDescent="0.2">
      <c r="A144" s="7">
        <v>141</v>
      </c>
      <c r="B144" s="7" t="s">
        <v>136</v>
      </c>
      <c r="C144" s="7" t="s">
        <v>143</v>
      </c>
      <c r="D144" s="7" t="s">
        <v>505</v>
      </c>
      <c r="E144" s="7" t="s">
        <v>506</v>
      </c>
      <c r="F144" s="8">
        <v>229</v>
      </c>
      <c r="G144" s="9">
        <v>0.16195190947666199</v>
      </c>
      <c r="H144" s="8">
        <v>84</v>
      </c>
      <c r="I144" s="8">
        <v>97</v>
      </c>
      <c r="J144" s="38">
        <v>6.1135371179039298E-2</v>
      </c>
      <c r="K144" s="38">
        <v>0.34523809523809501</v>
      </c>
      <c r="L144" s="38">
        <v>-0.22680412371134001</v>
      </c>
      <c r="M144" s="38">
        <v>0.57204221894943497</v>
      </c>
      <c r="N144" s="9">
        <v>0.30131004366812197</v>
      </c>
      <c r="O144" s="9">
        <v>0.293650793650794</v>
      </c>
      <c r="P144" s="9">
        <v>0.64532019704433496</v>
      </c>
      <c r="Q144" s="42">
        <v>184</v>
      </c>
      <c r="R144" s="38">
        <v>4.0888888888888903</v>
      </c>
    </row>
    <row r="145" spans="1:18" ht="15.75" customHeight="1" x14ac:dyDescent="0.2">
      <c r="A145" s="7">
        <v>142</v>
      </c>
      <c r="B145" s="7" t="s">
        <v>134</v>
      </c>
      <c r="C145" s="7" t="s">
        <v>135</v>
      </c>
      <c r="D145" s="7" t="s">
        <v>507</v>
      </c>
      <c r="E145" s="7" t="s">
        <v>508</v>
      </c>
      <c r="F145" s="8">
        <v>228</v>
      </c>
      <c r="G145" s="9">
        <v>0.18476499189627199</v>
      </c>
      <c r="H145" s="8">
        <v>109</v>
      </c>
      <c r="I145" s="8">
        <v>36</v>
      </c>
      <c r="J145" s="38">
        <v>0.44736842105263203</v>
      </c>
      <c r="K145" s="38">
        <v>0.48623853211009199</v>
      </c>
      <c r="L145" s="38">
        <v>0.194444444444444</v>
      </c>
      <c r="M145" s="38">
        <v>0.29179408766564702</v>
      </c>
      <c r="N145" s="9">
        <v>0.28947368421052599</v>
      </c>
      <c r="O145" s="9">
        <v>0.30303030303030298</v>
      </c>
      <c r="P145" s="9">
        <v>0.54377880184331795</v>
      </c>
      <c r="Q145" s="42">
        <v>175</v>
      </c>
      <c r="R145" s="38">
        <v>3.3018867924528301</v>
      </c>
    </row>
    <row r="146" spans="1:18" ht="15.75" customHeight="1" x14ac:dyDescent="0.2">
      <c r="A146" s="7">
        <v>143</v>
      </c>
      <c r="B146" s="7" t="s">
        <v>134</v>
      </c>
      <c r="C146" s="7" t="s">
        <v>137</v>
      </c>
      <c r="D146" s="7" t="s">
        <v>509</v>
      </c>
      <c r="E146" s="7" t="s">
        <v>510</v>
      </c>
      <c r="F146" s="8">
        <v>227</v>
      </c>
      <c r="G146" s="9">
        <v>0.17354740061162099</v>
      </c>
      <c r="H146" s="8">
        <v>98</v>
      </c>
      <c r="I146" s="8">
        <v>78</v>
      </c>
      <c r="J146" s="38">
        <v>0.233480176211454</v>
      </c>
      <c r="K146" s="38">
        <v>0.32653061224489799</v>
      </c>
      <c r="L146" s="38">
        <v>0.19230769230769201</v>
      </c>
      <c r="M146" s="38">
        <v>0.134222919937206</v>
      </c>
      <c r="N146" s="9">
        <v>0.27312775330396499</v>
      </c>
      <c r="O146" s="9">
        <v>0.233576642335766</v>
      </c>
      <c r="P146" s="9">
        <v>0.50738916256157596</v>
      </c>
      <c r="Q146" s="42">
        <v>179</v>
      </c>
      <c r="R146" s="38">
        <v>3.7291666666666701</v>
      </c>
    </row>
    <row r="147" spans="1:18" ht="15.75" customHeight="1" x14ac:dyDescent="0.2">
      <c r="A147" s="7">
        <v>144</v>
      </c>
      <c r="B147" s="7" t="s">
        <v>136</v>
      </c>
      <c r="C147" s="7" t="s">
        <v>148</v>
      </c>
      <c r="D147" s="7" t="s">
        <v>511</v>
      </c>
      <c r="E147" s="7" t="s">
        <v>512</v>
      </c>
      <c r="F147" s="8">
        <v>227</v>
      </c>
      <c r="G147" s="9">
        <v>0.13243873978996501</v>
      </c>
      <c r="H147" s="8">
        <v>99</v>
      </c>
      <c r="I147" s="8">
        <v>85</v>
      </c>
      <c r="J147" s="38">
        <v>9.2511013215859E-2</v>
      </c>
      <c r="K147" s="38">
        <v>0.41414141414141398</v>
      </c>
      <c r="L147" s="38">
        <v>-0.188235294117647</v>
      </c>
      <c r="M147" s="38">
        <v>0.60237670825906098</v>
      </c>
      <c r="N147" s="9">
        <v>0.27312775330396499</v>
      </c>
      <c r="O147" s="9">
        <v>0.44444444444444398</v>
      </c>
      <c r="P147" s="9">
        <v>0.66666666666666696</v>
      </c>
      <c r="Q147" s="42">
        <v>173</v>
      </c>
      <c r="R147" s="38">
        <v>3.2037037037037002</v>
      </c>
    </row>
    <row r="148" spans="1:18" ht="15.75" customHeight="1" x14ac:dyDescent="0.2">
      <c r="A148" s="7">
        <v>145</v>
      </c>
      <c r="B148" s="7" t="s">
        <v>136</v>
      </c>
      <c r="C148" s="7" t="s">
        <v>171</v>
      </c>
      <c r="D148" s="7" t="s">
        <v>513</v>
      </c>
      <c r="E148" s="7" t="s">
        <v>514</v>
      </c>
      <c r="F148" s="8">
        <v>224</v>
      </c>
      <c r="G148" s="9">
        <v>0.13625304136253</v>
      </c>
      <c r="H148" s="8">
        <v>81</v>
      </c>
      <c r="I148" s="8">
        <v>81</v>
      </c>
      <c r="J148" s="38">
        <v>-8.9285714285714302E-2</v>
      </c>
      <c r="K148" s="38">
        <v>0.12345679012345701</v>
      </c>
      <c r="L148" s="38">
        <v>-0.32098765432098803</v>
      </c>
      <c r="M148" s="38">
        <v>0.44444444444444398</v>
      </c>
      <c r="N148" s="9">
        <v>0.33035714285714302</v>
      </c>
      <c r="O148" s="9">
        <v>0.27941176470588203</v>
      </c>
      <c r="P148" s="9">
        <v>0.55670103092783496</v>
      </c>
      <c r="Q148" s="42">
        <v>172</v>
      </c>
      <c r="R148" s="38">
        <v>3.3076923076923102</v>
      </c>
    </row>
    <row r="149" spans="1:18" ht="15.75" customHeight="1" x14ac:dyDescent="0.2">
      <c r="A149" s="7">
        <v>146</v>
      </c>
      <c r="B149" s="7" t="s">
        <v>136</v>
      </c>
      <c r="C149" s="7" t="s">
        <v>174</v>
      </c>
      <c r="D149" s="7" t="s">
        <v>515</v>
      </c>
      <c r="E149" s="7" t="s">
        <v>516</v>
      </c>
      <c r="F149" s="8">
        <v>224</v>
      </c>
      <c r="G149" s="9">
        <v>0.101818181818182</v>
      </c>
      <c r="H149" s="8">
        <v>83</v>
      </c>
      <c r="I149" s="8">
        <v>92</v>
      </c>
      <c r="J149" s="38">
        <v>-0.23660714285714299</v>
      </c>
      <c r="K149" s="38">
        <v>-0.120481927710843</v>
      </c>
      <c r="L149" s="38">
        <v>-0.282608695652174</v>
      </c>
      <c r="M149" s="38">
        <v>0.16212676794133099</v>
      </c>
      <c r="N149" s="9">
        <v>0.30803571428571402</v>
      </c>
      <c r="O149" s="9">
        <v>0.316176470588235</v>
      </c>
      <c r="P149" s="9">
        <v>0.64251207729468596</v>
      </c>
      <c r="Q149" s="42">
        <v>175</v>
      </c>
      <c r="R149" s="38">
        <v>3.5714285714285698</v>
      </c>
    </row>
    <row r="150" spans="1:18" ht="15.75" customHeight="1" x14ac:dyDescent="0.2">
      <c r="A150" s="7">
        <v>147</v>
      </c>
      <c r="B150" s="7" t="s">
        <v>136</v>
      </c>
      <c r="C150" s="7" t="s">
        <v>138</v>
      </c>
      <c r="D150" s="7" t="s">
        <v>517</v>
      </c>
      <c r="E150" s="7" t="s">
        <v>518</v>
      </c>
      <c r="F150" s="8">
        <v>223</v>
      </c>
      <c r="G150" s="9">
        <v>0.20421245421245399</v>
      </c>
      <c r="H150" s="8">
        <v>77</v>
      </c>
      <c r="I150" s="8">
        <v>81</v>
      </c>
      <c r="J150" s="38">
        <v>0.33183856502242198</v>
      </c>
      <c r="K150" s="38">
        <v>0.51948051948051899</v>
      </c>
      <c r="L150" s="38">
        <v>0.148148148148148</v>
      </c>
      <c r="M150" s="38">
        <v>0.37133237133237101</v>
      </c>
      <c r="N150" s="9">
        <v>0.36322869955157</v>
      </c>
      <c r="O150" s="9">
        <v>0.2</v>
      </c>
      <c r="P150" s="9">
        <v>0.41951219512195098</v>
      </c>
      <c r="Q150" s="42">
        <v>183</v>
      </c>
      <c r="R150" s="38">
        <v>4.5750000000000002</v>
      </c>
    </row>
    <row r="151" spans="1:18" ht="15.75" customHeight="1" x14ac:dyDescent="0.2">
      <c r="A151" s="7">
        <v>148</v>
      </c>
      <c r="B151" s="7" t="s">
        <v>136</v>
      </c>
      <c r="C151" s="7" t="s">
        <v>155</v>
      </c>
      <c r="D151" s="7" t="s">
        <v>519</v>
      </c>
      <c r="E151" s="7" t="s">
        <v>520</v>
      </c>
      <c r="F151" s="8">
        <v>222</v>
      </c>
      <c r="G151" s="9">
        <v>0.17209302325581399</v>
      </c>
      <c r="H151" s="8">
        <v>90</v>
      </c>
      <c r="I151" s="8">
        <v>74</v>
      </c>
      <c r="J151" s="38">
        <v>0.24774774774774799</v>
      </c>
      <c r="K151" s="38">
        <v>0.36666666666666697</v>
      </c>
      <c r="L151" s="38">
        <v>0.108108108108108</v>
      </c>
      <c r="M151" s="38">
        <v>0.25855855855855903</v>
      </c>
      <c r="N151" s="9">
        <v>0.31981981981981999</v>
      </c>
      <c r="O151" s="9">
        <v>0.247933884297521</v>
      </c>
      <c r="P151" s="9">
        <v>0.61306532663316604</v>
      </c>
      <c r="Q151" s="42">
        <v>171</v>
      </c>
      <c r="R151" s="38">
        <v>3.3529411764705901</v>
      </c>
    </row>
    <row r="152" spans="1:18" ht="15.75" customHeight="1" x14ac:dyDescent="0.2">
      <c r="A152" s="7">
        <v>149</v>
      </c>
      <c r="B152" s="7" t="s">
        <v>134</v>
      </c>
      <c r="C152" s="7" t="s">
        <v>151</v>
      </c>
      <c r="D152" s="7" t="s">
        <v>521</v>
      </c>
      <c r="E152" s="7" t="s">
        <v>522</v>
      </c>
      <c r="F152" s="8">
        <v>222</v>
      </c>
      <c r="G152" s="9">
        <v>0.128919860627178</v>
      </c>
      <c r="H152" s="8">
        <v>85</v>
      </c>
      <c r="I152" s="8">
        <v>82</v>
      </c>
      <c r="J152" s="38">
        <v>4.0540540540540501E-2</v>
      </c>
      <c r="K152" s="38">
        <v>0.16470588235294101</v>
      </c>
      <c r="L152" s="38">
        <v>-3.65853658536585E-2</v>
      </c>
      <c r="M152" s="38">
        <v>0.20129124820659999</v>
      </c>
      <c r="N152" s="9">
        <v>0.27477477477477502</v>
      </c>
      <c r="O152" s="9">
        <v>0.29927007299270098</v>
      </c>
      <c r="P152" s="9">
        <v>0.63959390862944199</v>
      </c>
      <c r="Q152" s="42">
        <v>174</v>
      </c>
      <c r="R152" s="38">
        <v>3.625</v>
      </c>
    </row>
    <row r="153" spans="1:18" ht="15.75" customHeight="1" x14ac:dyDescent="0.2">
      <c r="A153" s="7">
        <v>150</v>
      </c>
      <c r="B153" s="7" t="s">
        <v>134</v>
      </c>
      <c r="C153" s="7" t="s">
        <v>135</v>
      </c>
      <c r="D153" s="7" t="s">
        <v>523</v>
      </c>
      <c r="E153" s="7" t="s">
        <v>524</v>
      </c>
      <c r="F153" s="8">
        <v>220</v>
      </c>
      <c r="G153" s="9">
        <v>0.144736842105263</v>
      </c>
      <c r="H153" s="8">
        <v>99</v>
      </c>
      <c r="I153" s="8">
        <v>69</v>
      </c>
      <c r="J153" s="38">
        <v>0.145454545454545</v>
      </c>
      <c r="K153" s="38">
        <v>0.29292929292929298</v>
      </c>
      <c r="L153" s="38">
        <v>-8.6956521739130405E-2</v>
      </c>
      <c r="M153" s="38">
        <v>0.37988581466842303</v>
      </c>
      <c r="N153" s="9">
        <v>0.33636363636363598</v>
      </c>
      <c r="O153" s="9">
        <v>0.25196850393700798</v>
      </c>
      <c r="P153" s="9">
        <v>0.46666666666666701</v>
      </c>
      <c r="Q153" s="42">
        <v>163</v>
      </c>
      <c r="R153" s="38">
        <v>2.8596491228070202</v>
      </c>
    </row>
    <row r="154" spans="1:18" ht="15.75" customHeight="1" x14ac:dyDescent="0.2">
      <c r="A154" s="7">
        <v>151</v>
      </c>
      <c r="B154" s="7" t="s">
        <v>134</v>
      </c>
      <c r="C154" s="7" t="s">
        <v>142</v>
      </c>
      <c r="D154" s="7" t="s">
        <v>525</v>
      </c>
      <c r="E154" s="7" t="s">
        <v>526</v>
      </c>
      <c r="F154" s="8">
        <v>219</v>
      </c>
      <c r="G154" s="9">
        <v>0.15240083507306901</v>
      </c>
      <c r="H154" s="8">
        <v>103</v>
      </c>
      <c r="I154" s="8">
        <v>74</v>
      </c>
      <c r="J154" s="38">
        <v>0.114155251141553</v>
      </c>
      <c r="K154" s="38">
        <v>0.27184466019417503</v>
      </c>
      <c r="L154" s="38">
        <v>-5.4054054054054099E-2</v>
      </c>
      <c r="M154" s="38">
        <v>0.32589871424822903</v>
      </c>
      <c r="N154" s="9">
        <v>0.28310502283104999</v>
      </c>
      <c r="O154" s="9">
        <v>0.34265734265734299</v>
      </c>
      <c r="P154" s="9">
        <v>0.70769230769230795</v>
      </c>
      <c r="Q154" s="42">
        <v>167</v>
      </c>
      <c r="R154" s="38">
        <v>3.2115384615384599</v>
      </c>
    </row>
    <row r="155" spans="1:18" ht="15.75" customHeight="1" x14ac:dyDescent="0.2">
      <c r="A155" s="7">
        <v>152</v>
      </c>
      <c r="B155" s="7" t="s">
        <v>134</v>
      </c>
      <c r="C155" s="7" t="s">
        <v>144</v>
      </c>
      <c r="D155" s="7" t="s">
        <v>527</v>
      </c>
      <c r="E155" s="7" t="s">
        <v>528</v>
      </c>
      <c r="F155" s="8">
        <v>218</v>
      </c>
      <c r="G155" s="9">
        <v>0.15751445086705201</v>
      </c>
      <c r="H155" s="8">
        <v>85</v>
      </c>
      <c r="I155" s="8">
        <v>92</v>
      </c>
      <c r="J155" s="38">
        <v>2.2935779816513801E-2</v>
      </c>
      <c r="K155" s="38">
        <v>0.32941176470588202</v>
      </c>
      <c r="L155" s="38">
        <v>-0.13043478260869601</v>
      </c>
      <c r="M155" s="38">
        <v>0.45984654731457802</v>
      </c>
      <c r="N155" s="9">
        <v>0.243119266055046</v>
      </c>
      <c r="O155" s="9">
        <v>0.50354609929077998</v>
      </c>
      <c r="P155" s="9">
        <v>0.72330097087378598</v>
      </c>
      <c r="Q155" s="42">
        <v>168</v>
      </c>
      <c r="R155" s="38">
        <v>3.36</v>
      </c>
    </row>
    <row r="156" spans="1:18" ht="15.75" customHeight="1" x14ac:dyDescent="0.2">
      <c r="A156" s="7">
        <v>153</v>
      </c>
      <c r="B156" s="7" t="s">
        <v>134</v>
      </c>
      <c r="C156" s="7" t="s">
        <v>135</v>
      </c>
      <c r="D156" s="7" t="s">
        <v>529</v>
      </c>
      <c r="E156" s="7" t="s">
        <v>530</v>
      </c>
      <c r="F156" s="8">
        <v>216</v>
      </c>
      <c r="G156" s="9">
        <v>0.20970873786407801</v>
      </c>
      <c r="H156" s="8">
        <v>78</v>
      </c>
      <c r="I156" s="8">
        <v>69</v>
      </c>
      <c r="J156" s="38">
        <v>0.282407407407407</v>
      </c>
      <c r="K156" s="38">
        <v>0.269230769230769</v>
      </c>
      <c r="L156" s="38">
        <v>0.217391304347826</v>
      </c>
      <c r="M156" s="38">
        <v>5.1839464882943102E-2</v>
      </c>
      <c r="N156" s="9">
        <v>0.39351851851851899</v>
      </c>
      <c r="O156" s="9">
        <v>0.12962962962963001</v>
      </c>
      <c r="P156" s="9">
        <v>0.41988950276243098</v>
      </c>
      <c r="Q156" s="42">
        <v>171</v>
      </c>
      <c r="R156" s="38">
        <v>3.8</v>
      </c>
    </row>
    <row r="157" spans="1:18" ht="15.75" customHeight="1" x14ac:dyDescent="0.2">
      <c r="A157" s="7">
        <v>154</v>
      </c>
      <c r="B157" s="7" t="s">
        <v>152</v>
      </c>
      <c r="C157" s="7" t="s">
        <v>153</v>
      </c>
      <c r="D157" s="7" t="s">
        <v>531</v>
      </c>
      <c r="E157" s="7" t="s">
        <v>532</v>
      </c>
      <c r="F157" s="8">
        <v>215</v>
      </c>
      <c r="G157" s="9">
        <v>0.124493341053851</v>
      </c>
      <c r="H157" s="8">
        <v>57</v>
      </c>
      <c r="I157" s="8">
        <v>70</v>
      </c>
      <c r="J157" s="38">
        <v>0</v>
      </c>
      <c r="K157" s="38">
        <v>0.21052631578947401</v>
      </c>
      <c r="L157" s="38">
        <v>-0.157142857142857</v>
      </c>
      <c r="M157" s="38">
        <v>0.36766917293233098</v>
      </c>
      <c r="N157" s="9">
        <v>0.28372093023255801</v>
      </c>
      <c r="O157" s="9">
        <v>0.31858407079646001</v>
      </c>
      <c r="P157" s="9">
        <v>0.56216216216216197</v>
      </c>
      <c r="Q157" s="42">
        <v>175</v>
      </c>
      <c r="R157" s="38">
        <v>4.375</v>
      </c>
    </row>
    <row r="158" spans="1:18" ht="15.75" customHeight="1" x14ac:dyDescent="0.2">
      <c r="A158" s="7">
        <v>155</v>
      </c>
      <c r="B158" s="7" t="s">
        <v>134</v>
      </c>
      <c r="C158" s="7" t="s">
        <v>135</v>
      </c>
      <c r="D158" s="7" t="s">
        <v>533</v>
      </c>
      <c r="E158" s="7" t="s">
        <v>534</v>
      </c>
      <c r="F158" s="8">
        <v>215</v>
      </c>
      <c r="G158" s="9">
        <v>0.17077045274027</v>
      </c>
      <c r="H158" s="8">
        <v>81</v>
      </c>
      <c r="I158" s="8">
        <v>66</v>
      </c>
      <c r="J158" s="38">
        <v>0.39069767441860498</v>
      </c>
      <c r="K158" s="38">
        <v>0.51851851851851904</v>
      </c>
      <c r="L158" s="38">
        <v>0.19696969696969699</v>
      </c>
      <c r="M158" s="38">
        <v>0.32154882154882197</v>
      </c>
      <c r="N158" s="9">
        <v>0.32093023255814002</v>
      </c>
      <c r="O158" s="9">
        <v>0.26126126126126098</v>
      </c>
      <c r="P158" s="9">
        <v>0.49197860962566897</v>
      </c>
      <c r="Q158" s="42">
        <v>176</v>
      </c>
      <c r="R158" s="38">
        <v>4.5128205128205101</v>
      </c>
    </row>
    <row r="159" spans="1:18" ht="15.75" customHeight="1" x14ac:dyDescent="0.2">
      <c r="A159" s="7">
        <v>156</v>
      </c>
      <c r="B159" s="7" t="s">
        <v>136</v>
      </c>
      <c r="C159" s="7" t="s">
        <v>154</v>
      </c>
      <c r="D159" s="7" t="s">
        <v>535</v>
      </c>
      <c r="E159" s="7" t="s">
        <v>536</v>
      </c>
      <c r="F159" s="8">
        <v>212</v>
      </c>
      <c r="G159" s="9">
        <v>0.143049932523617</v>
      </c>
      <c r="H159" s="8">
        <v>86</v>
      </c>
      <c r="I159" s="8">
        <v>82</v>
      </c>
      <c r="J159" s="38">
        <v>-0.21698113207547201</v>
      </c>
      <c r="K159" s="38">
        <v>3.4883720930232599E-2</v>
      </c>
      <c r="L159" s="38">
        <v>-0.40243902439024398</v>
      </c>
      <c r="M159" s="38">
        <v>0.43732274532047699</v>
      </c>
      <c r="N159" s="9">
        <v>0.28301886792452802</v>
      </c>
      <c r="O159" s="9">
        <v>0.39669421487603301</v>
      </c>
      <c r="P159" s="9">
        <v>0.75263157894736799</v>
      </c>
      <c r="Q159" s="42">
        <v>174</v>
      </c>
      <c r="R159" s="38">
        <v>4.5789473684210504</v>
      </c>
    </row>
    <row r="160" spans="1:18" ht="15.75" customHeight="1" x14ac:dyDescent="0.2">
      <c r="A160" s="7">
        <v>157</v>
      </c>
      <c r="B160" s="7" t="s">
        <v>136</v>
      </c>
      <c r="C160" s="7" t="s">
        <v>137</v>
      </c>
      <c r="D160" s="7" t="s">
        <v>537</v>
      </c>
      <c r="E160" s="7" t="s">
        <v>538</v>
      </c>
      <c r="F160" s="8">
        <v>210</v>
      </c>
      <c r="G160" s="9">
        <v>0.135048231511254</v>
      </c>
      <c r="H160" s="8">
        <v>90</v>
      </c>
      <c r="I160" s="8">
        <v>73</v>
      </c>
      <c r="J160" s="38">
        <v>0.40952380952381001</v>
      </c>
      <c r="K160" s="38">
        <v>0.56666666666666698</v>
      </c>
      <c r="L160" s="38">
        <v>0.26027397260273999</v>
      </c>
      <c r="M160" s="38">
        <v>0.306392694063927</v>
      </c>
      <c r="N160" s="9">
        <v>0.28571428571428598</v>
      </c>
      <c r="O160" s="9">
        <v>0.3125</v>
      </c>
      <c r="P160" s="9">
        <v>0.6</v>
      </c>
      <c r="Q160" s="42">
        <v>160</v>
      </c>
      <c r="R160" s="38">
        <v>3.2</v>
      </c>
    </row>
    <row r="161" spans="1:18" ht="15.75" customHeight="1" x14ac:dyDescent="0.2">
      <c r="A161" s="7">
        <v>158</v>
      </c>
      <c r="B161" s="7" t="s">
        <v>134</v>
      </c>
      <c r="C161" s="7" t="s">
        <v>150</v>
      </c>
      <c r="D161" s="7" t="s">
        <v>539</v>
      </c>
      <c r="E161" s="7" t="s">
        <v>540</v>
      </c>
      <c r="F161" s="8">
        <v>210</v>
      </c>
      <c r="G161" s="9">
        <v>0.158371040723982</v>
      </c>
      <c r="H161" s="8">
        <v>89</v>
      </c>
      <c r="I161" s="8">
        <v>71</v>
      </c>
      <c r="J161" s="38">
        <v>0.104761904761905</v>
      </c>
      <c r="K161" s="38">
        <v>0.348314606741573</v>
      </c>
      <c r="L161" s="38">
        <v>-0.169014084507042</v>
      </c>
      <c r="M161" s="38">
        <v>0.51732869124861502</v>
      </c>
      <c r="N161" s="9">
        <v>0.24761904761904799</v>
      </c>
      <c r="O161" s="9">
        <v>0.39200000000000002</v>
      </c>
      <c r="P161" s="9">
        <v>0.70967741935483897</v>
      </c>
      <c r="Q161" s="42">
        <v>152</v>
      </c>
      <c r="R161" s="38">
        <v>2.6206896551724101</v>
      </c>
    </row>
    <row r="162" spans="1:18" ht="15.75" customHeight="1" x14ac:dyDescent="0.2">
      <c r="A162" s="7">
        <v>159</v>
      </c>
      <c r="B162" s="7" t="s">
        <v>134</v>
      </c>
      <c r="C162" s="7" t="s">
        <v>135</v>
      </c>
      <c r="D162" s="7" t="s">
        <v>541</v>
      </c>
      <c r="E162" s="7" t="s">
        <v>542</v>
      </c>
      <c r="F162" s="8">
        <v>209</v>
      </c>
      <c r="G162" s="9">
        <v>0.19514472455648901</v>
      </c>
      <c r="H162" s="8">
        <v>92</v>
      </c>
      <c r="I162" s="8">
        <v>60</v>
      </c>
      <c r="J162" s="38">
        <v>0.33014354066985702</v>
      </c>
      <c r="K162" s="38">
        <v>0.40217391304347799</v>
      </c>
      <c r="L162" s="38">
        <v>0.16666666666666699</v>
      </c>
      <c r="M162" s="38">
        <v>0.235507246376812</v>
      </c>
      <c r="N162" s="9">
        <v>0.34449760765550203</v>
      </c>
      <c r="O162" s="9">
        <v>0.15573770491803299</v>
      </c>
      <c r="P162" s="9">
        <v>0.35483870967741898</v>
      </c>
      <c r="Q162" s="42">
        <v>167</v>
      </c>
      <c r="R162" s="38">
        <v>3.9761904761904798</v>
      </c>
    </row>
    <row r="163" spans="1:18" ht="15.75" customHeight="1" x14ac:dyDescent="0.2">
      <c r="A163" s="7">
        <v>160</v>
      </c>
      <c r="B163" s="7" t="s">
        <v>136</v>
      </c>
      <c r="C163" s="7" t="s">
        <v>141</v>
      </c>
      <c r="D163" s="7" t="s">
        <v>543</v>
      </c>
      <c r="E163" s="7" t="s">
        <v>544</v>
      </c>
      <c r="F163" s="8">
        <v>207</v>
      </c>
      <c r="G163" s="9">
        <v>0.12825278810408899</v>
      </c>
      <c r="H163" s="8">
        <v>80</v>
      </c>
      <c r="I163" s="8">
        <v>86</v>
      </c>
      <c r="J163" s="38">
        <v>0.14492753623188401</v>
      </c>
      <c r="K163" s="38">
        <v>0.33750000000000002</v>
      </c>
      <c r="L163" s="38">
        <v>-4.6511627906976702E-2</v>
      </c>
      <c r="M163" s="38">
        <v>0.38401162790697702</v>
      </c>
      <c r="N163" s="9">
        <v>0.28502415458937203</v>
      </c>
      <c r="O163" s="9">
        <v>0.34586466165413499</v>
      </c>
      <c r="P163" s="9">
        <v>0.65425531914893598</v>
      </c>
      <c r="Q163" s="42">
        <v>160</v>
      </c>
      <c r="R163" s="38">
        <v>3.4042553191489402</v>
      </c>
    </row>
    <row r="164" spans="1:18" ht="15.75" customHeight="1" x14ac:dyDescent="0.2">
      <c r="A164" s="7">
        <v>161</v>
      </c>
      <c r="B164" s="7" t="s">
        <v>136</v>
      </c>
      <c r="C164" s="7" t="s">
        <v>163</v>
      </c>
      <c r="D164" s="7" t="s">
        <v>545</v>
      </c>
      <c r="E164" s="7" t="s">
        <v>546</v>
      </c>
      <c r="F164" s="8">
        <v>207</v>
      </c>
      <c r="G164" s="9">
        <v>0.124849215922799</v>
      </c>
      <c r="H164" s="8">
        <v>92</v>
      </c>
      <c r="I164" s="8">
        <v>76</v>
      </c>
      <c r="J164" s="38">
        <v>4.8309178743961402E-3</v>
      </c>
      <c r="K164" s="38">
        <v>7.6086956521739094E-2</v>
      </c>
      <c r="L164" s="38">
        <v>-0.17105263157894701</v>
      </c>
      <c r="M164" s="38">
        <v>0.24713958810068701</v>
      </c>
      <c r="N164" s="9">
        <v>0.231884057971015</v>
      </c>
      <c r="O164" s="9">
        <v>0.35338345864661702</v>
      </c>
      <c r="P164" s="9">
        <v>0.68556701030927802</v>
      </c>
      <c r="Q164" s="42">
        <v>162</v>
      </c>
      <c r="R164" s="38">
        <v>3.6</v>
      </c>
    </row>
    <row r="165" spans="1:18" ht="15.75" customHeight="1" x14ac:dyDescent="0.2">
      <c r="A165" s="7">
        <v>162</v>
      </c>
      <c r="B165" s="7" t="s">
        <v>134</v>
      </c>
      <c r="C165" s="7" t="s">
        <v>144</v>
      </c>
      <c r="D165" s="7" t="s">
        <v>547</v>
      </c>
      <c r="E165" s="7" t="s">
        <v>548</v>
      </c>
      <c r="F165" s="8">
        <v>206</v>
      </c>
      <c r="G165" s="9">
        <v>0.11997670355270799</v>
      </c>
      <c r="H165" s="8">
        <v>88</v>
      </c>
      <c r="I165" s="8">
        <v>83</v>
      </c>
      <c r="J165" s="38">
        <v>-5.3398058252427202E-2</v>
      </c>
      <c r="K165" s="38">
        <v>0.11363636363636399</v>
      </c>
      <c r="L165" s="38">
        <v>-0.14457831325301199</v>
      </c>
      <c r="M165" s="38">
        <v>0.25821467688937599</v>
      </c>
      <c r="N165" s="9">
        <v>0.27669902912621402</v>
      </c>
      <c r="O165" s="9">
        <v>0.30769230769230799</v>
      </c>
      <c r="P165" s="9">
        <v>0.68617021276595802</v>
      </c>
      <c r="Q165" s="42">
        <v>151</v>
      </c>
      <c r="R165" s="38">
        <v>2.74545454545455</v>
      </c>
    </row>
    <row r="166" spans="1:18" ht="15.75" customHeight="1" x14ac:dyDescent="0.2">
      <c r="A166" s="7">
        <v>163</v>
      </c>
      <c r="B166" s="7" t="s">
        <v>136</v>
      </c>
      <c r="C166" s="7" t="s">
        <v>134</v>
      </c>
      <c r="D166" s="7" t="s">
        <v>549</v>
      </c>
      <c r="E166" s="7" t="s">
        <v>550</v>
      </c>
      <c r="F166" s="8">
        <v>204</v>
      </c>
      <c r="G166" s="9">
        <v>0.121863799283154</v>
      </c>
      <c r="H166" s="8">
        <v>73</v>
      </c>
      <c r="I166" s="8">
        <v>87</v>
      </c>
      <c r="J166" s="38">
        <v>-0.20588235294117699</v>
      </c>
      <c r="K166" s="38">
        <v>0.17808219178082199</v>
      </c>
      <c r="L166" s="38">
        <v>-0.49425287356321801</v>
      </c>
      <c r="M166" s="38">
        <v>0.67233506534403997</v>
      </c>
      <c r="N166" s="9">
        <v>0.24509803921568599</v>
      </c>
      <c r="O166" s="9">
        <v>0.484375</v>
      </c>
      <c r="P166" s="9">
        <v>0.71727748691099502</v>
      </c>
      <c r="Q166" s="42">
        <v>169</v>
      </c>
      <c r="R166" s="38">
        <v>4.8285714285714301</v>
      </c>
    </row>
    <row r="167" spans="1:18" ht="15.75" customHeight="1" x14ac:dyDescent="0.2">
      <c r="A167" s="7">
        <v>164</v>
      </c>
      <c r="B167" s="7" t="s">
        <v>134</v>
      </c>
      <c r="C167" s="7" t="s">
        <v>135</v>
      </c>
      <c r="D167" s="7" t="s">
        <v>551</v>
      </c>
      <c r="E167" s="7" t="s">
        <v>552</v>
      </c>
      <c r="F167" s="8">
        <v>203</v>
      </c>
      <c r="G167" s="9">
        <v>0.170302013422819</v>
      </c>
      <c r="H167" s="8">
        <v>75</v>
      </c>
      <c r="I167" s="8">
        <v>62</v>
      </c>
      <c r="J167" s="38">
        <v>0.18719211822660101</v>
      </c>
      <c r="K167" s="38">
        <v>0.33333333333333298</v>
      </c>
      <c r="L167" s="38">
        <v>-0.112903225806452</v>
      </c>
      <c r="M167" s="38">
        <v>0.44623655913978499</v>
      </c>
      <c r="N167" s="9">
        <v>0.33990147783251201</v>
      </c>
      <c r="O167" s="9">
        <v>0.23478260869565201</v>
      </c>
      <c r="P167" s="9">
        <v>0.53672316384180796</v>
      </c>
      <c r="Q167" s="42">
        <v>169</v>
      </c>
      <c r="R167" s="38">
        <v>4.9705882352941204</v>
      </c>
    </row>
    <row r="168" spans="1:18" ht="15.75" customHeight="1" x14ac:dyDescent="0.2">
      <c r="A168" s="7">
        <v>165</v>
      </c>
      <c r="B168" s="7" t="s">
        <v>136</v>
      </c>
      <c r="C168" s="7" t="s">
        <v>148</v>
      </c>
      <c r="D168" s="7" t="s">
        <v>553</v>
      </c>
      <c r="E168" s="7" t="s">
        <v>554</v>
      </c>
      <c r="F168" s="8">
        <v>203</v>
      </c>
      <c r="G168" s="9">
        <v>0.10431654676259</v>
      </c>
      <c r="H168" s="8">
        <v>82</v>
      </c>
      <c r="I168" s="8">
        <v>72</v>
      </c>
      <c r="J168" s="38">
        <v>0.152709359605911</v>
      </c>
      <c r="K168" s="38">
        <v>0.36585365853658502</v>
      </c>
      <c r="L168" s="38">
        <v>-6.9444444444444503E-2</v>
      </c>
      <c r="M168" s="38">
        <v>0.43529810298103</v>
      </c>
      <c r="N168" s="9">
        <v>0.32512315270935999</v>
      </c>
      <c r="O168" s="9">
        <v>0.310924369747899</v>
      </c>
      <c r="P168" s="9">
        <v>0.61375661375661394</v>
      </c>
      <c r="Q168" s="42">
        <v>165</v>
      </c>
      <c r="R168" s="38">
        <v>4.3421052631579</v>
      </c>
    </row>
    <row r="169" spans="1:18" ht="15.75" customHeight="1" x14ac:dyDescent="0.2">
      <c r="A169" s="7">
        <v>166</v>
      </c>
      <c r="B169" s="7" t="s">
        <v>134</v>
      </c>
      <c r="C169" s="7" t="s">
        <v>135</v>
      </c>
      <c r="D169" s="7" t="s">
        <v>555</v>
      </c>
      <c r="E169" s="7" t="s">
        <v>556</v>
      </c>
      <c r="F169" s="8">
        <v>202</v>
      </c>
      <c r="G169" s="9">
        <v>0.17162276975361099</v>
      </c>
      <c r="H169" s="8">
        <v>87</v>
      </c>
      <c r="I169" s="8">
        <v>60</v>
      </c>
      <c r="J169" s="38">
        <v>0.27227722772277202</v>
      </c>
      <c r="K169" s="38">
        <v>0.390804597701149</v>
      </c>
      <c r="L169" s="38">
        <v>0.2</v>
      </c>
      <c r="M169" s="38">
        <v>0.19080459770114899</v>
      </c>
      <c r="N169" s="9">
        <v>0.36138613861386099</v>
      </c>
      <c r="O169" s="9">
        <v>0.25</v>
      </c>
      <c r="P169" s="9">
        <v>0.422222222222222</v>
      </c>
      <c r="Q169" s="42">
        <v>168</v>
      </c>
      <c r="R169" s="38">
        <v>4.9411764705882399</v>
      </c>
    </row>
    <row r="170" spans="1:18" ht="15.75" customHeight="1" x14ac:dyDescent="0.2">
      <c r="A170" s="7">
        <v>167</v>
      </c>
      <c r="B170" s="7" t="s">
        <v>136</v>
      </c>
      <c r="C170" s="7" t="s">
        <v>137</v>
      </c>
      <c r="D170" s="7" t="s">
        <v>557</v>
      </c>
      <c r="E170" s="7" t="s">
        <v>558</v>
      </c>
      <c r="F170" s="8">
        <v>202</v>
      </c>
      <c r="G170" s="9">
        <v>0.13845099383139101</v>
      </c>
      <c r="H170" s="8">
        <v>88</v>
      </c>
      <c r="I170" s="8">
        <v>72</v>
      </c>
      <c r="J170" s="38">
        <v>0.33168316831683198</v>
      </c>
      <c r="K170" s="38">
        <v>0.47727272727272702</v>
      </c>
      <c r="L170" s="38">
        <v>0.180555555555556</v>
      </c>
      <c r="M170" s="38">
        <v>0.29671717171717199</v>
      </c>
      <c r="N170" s="9">
        <v>0.30198019801980203</v>
      </c>
      <c r="O170" s="9">
        <v>0.36799999999999999</v>
      </c>
      <c r="P170" s="9">
        <v>0.66129032258064502</v>
      </c>
      <c r="Q170" s="42">
        <v>144</v>
      </c>
      <c r="R170" s="38">
        <v>2.4827586206896601</v>
      </c>
    </row>
    <row r="171" spans="1:18" ht="15.75" customHeight="1" x14ac:dyDescent="0.2">
      <c r="A171" s="7">
        <v>168</v>
      </c>
      <c r="B171" s="7" t="s">
        <v>134</v>
      </c>
      <c r="C171" s="7" t="s">
        <v>142</v>
      </c>
      <c r="D171" s="7" t="s">
        <v>559</v>
      </c>
      <c r="E171" s="7" t="s">
        <v>560</v>
      </c>
      <c r="F171" s="8">
        <v>202</v>
      </c>
      <c r="G171" s="9">
        <v>0.118336262448741</v>
      </c>
      <c r="H171" s="8">
        <v>78</v>
      </c>
      <c r="I171" s="8">
        <v>71</v>
      </c>
      <c r="J171" s="38">
        <v>0.15346534653465399</v>
      </c>
      <c r="K171" s="38">
        <v>0.38461538461538503</v>
      </c>
      <c r="L171" s="38">
        <v>-0.154929577464789</v>
      </c>
      <c r="M171" s="38">
        <v>0.539544962080173</v>
      </c>
      <c r="N171" s="9">
        <v>0.25247524752475298</v>
      </c>
      <c r="O171" s="9">
        <v>0.39230769230769202</v>
      </c>
      <c r="P171" s="9">
        <v>0.64171122994652396</v>
      </c>
      <c r="Q171" s="42">
        <v>155</v>
      </c>
      <c r="R171" s="38">
        <v>3.2978723404255299</v>
      </c>
    </row>
    <row r="172" spans="1:18" ht="15.75" customHeight="1" x14ac:dyDescent="0.2">
      <c r="A172" s="7">
        <v>169</v>
      </c>
      <c r="B172" s="7" t="s">
        <v>136</v>
      </c>
      <c r="C172" s="7" t="s">
        <v>143</v>
      </c>
      <c r="D172" s="7" t="s">
        <v>561</v>
      </c>
      <c r="E172" s="7" t="s">
        <v>562</v>
      </c>
      <c r="F172" s="8">
        <v>201</v>
      </c>
      <c r="G172" s="9">
        <v>0.11472602739726</v>
      </c>
      <c r="H172" s="8">
        <v>70</v>
      </c>
      <c r="I172" s="8">
        <v>81</v>
      </c>
      <c r="J172" s="38">
        <v>0.119402985074627</v>
      </c>
      <c r="K172" s="38">
        <v>0.41428571428571398</v>
      </c>
      <c r="L172" s="38">
        <v>0</v>
      </c>
      <c r="M172" s="38">
        <v>0.41428571428571398</v>
      </c>
      <c r="N172" s="9">
        <v>0.28358208955223901</v>
      </c>
      <c r="O172" s="9">
        <v>0.40707964601769903</v>
      </c>
      <c r="P172" s="9">
        <v>0.70949720670391103</v>
      </c>
      <c r="Q172" s="42">
        <v>161</v>
      </c>
      <c r="R172" s="38">
        <v>4.0250000000000004</v>
      </c>
    </row>
    <row r="173" spans="1:18" ht="15.75" customHeight="1" x14ac:dyDescent="0.2">
      <c r="A173" s="7">
        <v>170</v>
      </c>
      <c r="B173" s="7" t="s">
        <v>134</v>
      </c>
      <c r="C173" s="7" t="s">
        <v>135</v>
      </c>
      <c r="D173" s="7" t="s">
        <v>563</v>
      </c>
      <c r="E173" s="7" t="s">
        <v>564</v>
      </c>
      <c r="F173" s="8">
        <v>201</v>
      </c>
      <c r="G173" s="9">
        <v>0.15033657442034401</v>
      </c>
      <c r="H173" s="8">
        <v>82</v>
      </c>
      <c r="I173" s="8">
        <v>68</v>
      </c>
      <c r="J173" s="38">
        <v>0.288557213930348</v>
      </c>
      <c r="K173" s="38">
        <v>0.30487804878048802</v>
      </c>
      <c r="L173" s="38">
        <v>0.14705882352941199</v>
      </c>
      <c r="M173" s="38">
        <v>0.157819225251076</v>
      </c>
      <c r="N173" s="9">
        <v>0.34328358208955201</v>
      </c>
      <c r="O173" s="9">
        <v>0.24561403508771901</v>
      </c>
      <c r="P173" s="9">
        <v>0.494623655913979</v>
      </c>
      <c r="Q173" s="42">
        <v>142</v>
      </c>
      <c r="R173" s="38">
        <v>2.4067796610169498</v>
      </c>
    </row>
    <row r="174" spans="1:18" ht="15.75" customHeight="1" x14ac:dyDescent="0.2">
      <c r="A174" s="7">
        <v>171</v>
      </c>
      <c r="B174" s="7" t="s">
        <v>134</v>
      </c>
      <c r="C174" s="7" t="s">
        <v>135</v>
      </c>
      <c r="D174" s="7" t="s">
        <v>565</v>
      </c>
      <c r="E174" s="7" t="s">
        <v>566</v>
      </c>
      <c r="F174" s="8">
        <v>201</v>
      </c>
      <c r="G174" s="9">
        <v>0.178507992895204</v>
      </c>
      <c r="H174" s="8">
        <v>70</v>
      </c>
      <c r="I174" s="8">
        <v>63</v>
      </c>
      <c r="J174" s="38">
        <v>0.34328358208955201</v>
      </c>
      <c r="K174" s="38">
        <v>0.5</v>
      </c>
      <c r="L174" s="38">
        <v>0.19047619047619099</v>
      </c>
      <c r="M174" s="38">
        <v>0.30952380952380998</v>
      </c>
      <c r="N174" s="9">
        <v>0.37810945273631802</v>
      </c>
      <c r="O174" s="9">
        <v>0.19191919191919199</v>
      </c>
      <c r="P174" s="9">
        <v>0.42285714285714299</v>
      </c>
      <c r="Q174" s="42">
        <v>175</v>
      </c>
      <c r="R174" s="38">
        <v>6.7307692307692299</v>
      </c>
    </row>
    <row r="175" spans="1:18" ht="15.75" customHeight="1" x14ac:dyDescent="0.2">
      <c r="A175" s="7">
        <v>172</v>
      </c>
      <c r="B175" s="7" t="s">
        <v>136</v>
      </c>
      <c r="C175" s="7" t="s">
        <v>138</v>
      </c>
      <c r="D175" s="7" t="s">
        <v>567</v>
      </c>
      <c r="E175" s="7" t="s">
        <v>568</v>
      </c>
      <c r="F175" s="8">
        <v>201</v>
      </c>
      <c r="G175" s="9">
        <v>0.20807453416149099</v>
      </c>
      <c r="H175" s="8">
        <v>72</v>
      </c>
      <c r="I175" s="8">
        <v>68</v>
      </c>
      <c r="J175" s="38">
        <v>0.36318407960199001</v>
      </c>
      <c r="K175" s="38">
        <v>0.38888888888888901</v>
      </c>
      <c r="L175" s="38">
        <v>0.308823529411765</v>
      </c>
      <c r="M175" s="38">
        <v>8.0065359477124204E-2</v>
      </c>
      <c r="N175" s="9">
        <v>0.38805970149253699</v>
      </c>
      <c r="O175" s="9">
        <v>0.203703703703704</v>
      </c>
      <c r="P175" s="9">
        <v>0.42105263157894701</v>
      </c>
      <c r="Q175" s="42">
        <v>168</v>
      </c>
      <c r="R175" s="38">
        <v>5.0909090909090899</v>
      </c>
    </row>
    <row r="176" spans="1:18" ht="15.75" customHeight="1" x14ac:dyDescent="0.2">
      <c r="A176" s="7">
        <v>173</v>
      </c>
      <c r="B176" s="7" t="s">
        <v>134</v>
      </c>
      <c r="C176" s="7" t="s">
        <v>175</v>
      </c>
      <c r="D176" s="7" t="s">
        <v>569</v>
      </c>
      <c r="E176" s="7" t="s">
        <v>570</v>
      </c>
      <c r="F176" s="8">
        <v>200</v>
      </c>
      <c r="G176" s="9">
        <v>0.152788388082506</v>
      </c>
      <c r="H176" s="8">
        <v>70</v>
      </c>
      <c r="I176" s="8">
        <v>62</v>
      </c>
      <c r="J176" s="38">
        <v>0.31</v>
      </c>
      <c r="K176" s="38">
        <v>0.34285714285714303</v>
      </c>
      <c r="L176" s="38">
        <v>0.241935483870968</v>
      </c>
      <c r="M176" s="38">
        <v>0.100921658986175</v>
      </c>
      <c r="N176" s="9">
        <v>0.28000000000000003</v>
      </c>
      <c r="O176" s="9">
        <v>0.25471698113207603</v>
      </c>
      <c r="P176" s="9">
        <v>0.47953216374268998</v>
      </c>
      <c r="Q176" s="42">
        <v>162</v>
      </c>
      <c r="R176" s="38">
        <v>4.2631578947368398</v>
      </c>
    </row>
    <row r="177" spans="1:18" ht="15.75" customHeight="1" x14ac:dyDescent="0.2">
      <c r="A177" s="7">
        <v>174</v>
      </c>
      <c r="B177" s="7" t="s">
        <v>134</v>
      </c>
      <c r="C177" s="7" t="s">
        <v>135</v>
      </c>
      <c r="D177" s="7" t="s">
        <v>571</v>
      </c>
      <c r="E177" s="7" t="s">
        <v>572</v>
      </c>
      <c r="F177" s="8">
        <v>200</v>
      </c>
      <c r="G177" s="9">
        <v>0.19588638589617999</v>
      </c>
      <c r="H177" s="8">
        <v>75</v>
      </c>
      <c r="I177" s="8">
        <v>59</v>
      </c>
      <c r="J177" s="38">
        <v>0.37</v>
      </c>
      <c r="K177" s="38">
        <v>0.56000000000000005</v>
      </c>
      <c r="L177" s="38">
        <v>0.355932203389831</v>
      </c>
      <c r="M177" s="38">
        <v>0.20406779661016999</v>
      </c>
      <c r="N177" s="9">
        <v>0.31</v>
      </c>
      <c r="O177" s="9">
        <v>0.18947368421052599</v>
      </c>
      <c r="P177" s="9">
        <v>0.45505617977528101</v>
      </c>
      <c r="Q177" s="42">
        <v>164</v>
      </c>
      <c r="R177" s="38">
        <v>4.5555555555555598</v>
      </c>
    </row>
    <row r="178" spans="1:18" ht="15.75" customHeight="1" x14ac:dyDescent="0.2">
      <c r="A178" s="7">
        <v>175</v>
      </c>
      <c r="B178" s="7" t="s">
        <v>136</v>
      </c>
      <c r="C178" s="7" t="s">
        <v>137</v>
      </c>
      <c r="D178" s="7" t="s">
        <v>573</v>
      </c>
      <c r="E178" s="7" t="s">
        <v>574</v>
      </c>
      <c r="F178" s="8">
        <v>199</v>
      </c>
      <c r="G178" s="9">
        <v>0.122991347342398</v>
      </c>
      <c r="H178" s="8">
        <v>85</v>
      </c>
      <c r="I178" s="8">
        <v>71</v>
      </c>
      <c r="J178" s="38">
        <v>0.266331658291457</v>
      </c>
      <c r="K178" s="38">
        <v>0.56470588235294095</v>
      </c>
      <c r="L178" s="38">
        <v>-4.2253521126760597E-2</v>
      </c>
      <c r="M178" s="38">
        <v>0.60695940347970201</v>
      </c>
      <c r="N178" s="9">
        <v>0.24120603015075401</v>
      </c>
      <c r="O178" s="9">
        <v>0.40476190476190499</v>
      </c>
      <c r="P178" s="9">
        <v>0.65573770491803296</v>
      </c>
      <c r="Q178" s="42">
        <v>154</v>
      </c>
      <c r="R178" s="38">
        <v>3.4222222222222198</v>
      </c>
    </row>
    <row r="179" spans="1:18" ht="15.75" customHeight="1" x14ac:dyDescent="0.2">
      <c r="A179" s="7">
        <v>176</v>
      </c>
      <c r="B179" s="7" t="s">
        <v>136</v>
      </c>
      <c r="C179" s="7" t="s">
        <v>146</v>
      </c>
      <c r="D179" s="7" t="s">
        <v>575</v>
      </c>
      <c r="E179" s="7" t="s">
        <v>576</v>
      </c>
      <c r="F179" s="8">
        <v>199</v>
      </c>
      <c r="G179" s="9">
        <v>0.12291537986411399</v>
      </c>
      <c r="H179" s="8">
        <v>79</v>
      </c>
      <c r="I179" s="8">
        <v>69</v>
      </c>
      <c r="J179" s="38">
        <v>0.19597989949748701</v>
      </c>
      <c r="K179" s="38">
        <v>0.329113924050633</v>
      </c>
      <c r="L179" s="38">
        <v>-1.4492753623188401E-2</v>
      </c>
      <c r="M179" s="38">
        <v>0.34360667767382103</v>
      </c>
      <c r="N179" s="9">
        <v>0.28140703517587901</v>
      </c>
      <c r="O179" s="9">
        <v>0.40157480314960597</v>
      </c>
      <c r="P179" s="9">
        <v>0.70588235294117696</v>
      </c>
      <c r="Q179" s="42">
        <v>157</v>
      </c>
      <c r="R179" s="38">
        <v>3.7380952380952399</v>
      </c>
    </row>
    <row r="180" spans="1:18" ht="15.75" customHeight="1" x14ac:dyDescent="0.2">
      <c r="A180" s="7">
        <v>177</v>
      </c>
      <c r="B180" s="7" t="s">
        <v>152</v>
      </c>
      <c r="C180" s="7" t="s">
        <v>153</v>
      </c>
      <c r="D180" s="7" t="s">
        <v>577</v>
      </c>
      <c r="E180" s="7" t="s">
        <v>578</v>
      </c>
      <c r="F180" s="8">
        <v>198</v>
      </c>
      <c r="G180" s="9">
        <v>0.11346704871060199</v>
      </c>
      <c r="H180" s="8">
        <v>67</v>
      </c>
      <c r="I180" s="8">
        <v>76</v>
      </c>
      <c r="J180" s="38">
        <v>-0.31818181818181801</v>
      </c>
      <c r="K180" s="38">
        <v>-0.238805970149254</v>
      </c>
      <c r="L180" s="38">
        <v>-0.40789473684210498</v>
      </c>
      <c r="M180" s="38">
        <v>0.169088766692852</v>
      </c>
      <c r="N180" s="9">
        <v>0.27777777777777801</v>
      </c>
      <c r="O180" s="9">
        <v>0.33333333333333298</v>
      </c>
      <c r="P180" s="9">
        <v>0.57692307692307698</v>
      </c>
      <c r="Q180" s="42">
        <v>152</v>
      </c>
      <c r="R180" s="38">
        <v>3.3043478260869601</v>
      </c>
    </row>
    <row r="181" spans="1:18" ht="15.75" customHeight="1" x14ac:dyDescent="0.2">
      <c r="A181" s="7">
        <v>178</v>
      </c>
      <c r="B181" s="7" t="s">
        <v>134</v>
      </c>
      <c r="C181" s="7" t="s">
        <v>135</v>
      </c>
      <c r="D181" s="7" t="s">
        <v>579</v>
      </c>
      <c r="E181" s="7" t="s">
        <v>580</v>
      </c>
      <c r="F181" s="8">
        <v>197</v>
      </c>
      <c r="G181" s="9">
        <v>0.197197197197197</v>
      </c>
      <c r="H181" s="8">
        <v>76</v>
      </c>
      <c r="I181" s="8">
        <v>69</v>
      </c>
      <c r="J181" s="38">
        <v>0.40101522842639598</v>
      </c>
      <c r="K181" s="38">
        <v>0.44736842105263203</v>
      </c>
      <c r="L181" s="38">
        <v>0.34782608695652201</v>
      </c>
      <c r="M181" s="38">
        <v>9.9542334096109894E-2</v>
      </c>
      <c r="N181" s="9">
        <v>0.37563451776649798</v>
      </c>
      <c r="O181" s="9">
        <v>0.13829787234042601</v>
      </c>
      <c r="P181" s="9">
        <v>0.31515151515151502</v>
      </c>
      <c r="Q181" s="42">
        <v>162</v>
      </c>
      <c r="R181" s="38">
        <v>4.6285714285714299</v>
      </c>
    </row>
    <row r="182" spans="1:18" ht="15.75" customHeight="1" x14ac:dyDescent="0.2">
      <c r="A182" s="7">
        <v>179</v>
      </c>
      <c r="B182" s="7" t="s">
        <v>152</v>
      </c>
      <c r="C182" s="7" t="s">
        <v>153</v>
      </c>
      <c r="D182" s="7" t="s">
        <v>581</v>
      </c>
      <c r="E182" s="7" t="s">
        <v>582</v>
      </c>
      <c r="F182" s="8">
        <v>197</v>
      </c>
      <c r="G182" s="9">
        <v>0.110178970917226</v>
      </c>
      <c r="H182" s="8">
        <v>78</v>
      </c>
      <c r="I182" s="8">
        <v>62</v>
      </c>
      <c r="J182" s="38">
        <v>-6.0913705583756403E-2</v>
      </c>
      <c r="K182" s="38">
        <v>0.16666666666666699</v>
      </c>
      <c r="L182" s="38">
        <v>-0.30645161290322598</v>
      </c>
      <c r="M182" s="38">
        <v>0.473118279569893</v>
      </c>
      <c r="N182" s="9">
        <v>0.24873096446700499</v>
      </c>
      <c r="O182" s="9">
        <v>0.247787610619469</v>
      </c>
      <c r="P182" s="9">
        <v>0.57303370786516905</v>
      </c>
      <c r="Q182" s="42">
        <v>147</v>
      </c>
      <c r="R182" s="38">
        <v>2.94</v>
      </c>
    </row>
    <row r="183" spans="1:18" ht="15.75" customHeight="1" x14ac:dyDescent="0.2">
      <c r="A183" s="7">
        <v>180</v>
      </c>
      <c r="B183" s="7" t="s">
        <v>134</v>
      </c>
      <c r="C183" s="7" t="s">
        <v>142</v>
      </c>
      <c r="D183" s="7" t="s">
        <v>583</v>
      </c>
      <c r="E183" s="7" t="s">
        <v>584</v>
      </c>
      <c r="F183" s="8">
        <v>196</v>
      </c>
      <c r="G183" s="9">
        <v>0.12039312039312</v>
      </c>
      <c r="H183" s="8">
        <v>68</v>
      </c>
      <c r="I183" s="8">
        <v>71</v>
      </c>
      <c r="J183" s="38">
        <v>4.5918367346938799E-2</v>
      </c>
      <c r="K183" s="38">
        <v>0.10294117647058799</v>
      </c>
      <c r="L183" s="38">
        <v>-4.2253521126760597E-2</v>
      </c>
      <c r="M183" s="38">
        <v>0.14519469759734899</v>
      </c>
      <c r="N183" s="9">
        <v>0.198979591836735</v>
      </c>
      <c r="O183" s="9">
        <v>0.41726618705036</v>
      </c>
      <c r="P183" s="9">
        <v>0.64171122994652396</v>
      </c>
      <c r="Q183" s="42">
        <v>147</v>
      </c>
      <c r="R183" s="38">
        <v>3</v>
      </c>
    </row>
    <row r="184" spans="1:18" ht="15.75" customHeight="1" x14ac:dyDescent="0.2">
      <c r="A184" s="7">
        <v>181</v>
      </c>
      <c r="B184" s="7" t="s">
        <v>136</v>
      </c>
      <c r="C184" s="7" t="s">
        <v>162</v>
      </c>
      <c r="D184" s="7" t="s">
        <v>585</v>
      </c>
      <c r="E184" s="7" t="s">
        <v>586</v>
      </c>
      <c r="F184" s="8">
        <v>195</v>
      </c>
      <c r="G184" s="9">
        <v>0.11669658886894101</v>
      </c>
      <c r="H184" s="8">
        <v>68</v>
      </c>
      <c r="I184" s="8">
        <v>50</v>
      </c>
      <c r="J184" s="38">
        <v>0.18974358974359001</v>
      </c>
      <c r="K184" s="38">
        <v>0.45588235294117702</v>
      </c>
      <c r="L184" s="38">
        <v>0.06</v>
      </c>
      <c r="M184" s="38">
        <v>0.39588235294117702</v>
      </c>
      <c r="N184" s="9">
        <v>0.30769230769230799</v>
      </c>
      <c r="O184" s="9">
        <v>0.22935779816513799</v>
      </c>
      <c r="P184" s="9">
        <v>0.61988304093567304</v>
      </c>
      <c r="Q184" s="42">
        <v>155</v>
      </c>
      <c r="R184" s="38">
        <v>3.875</v>
      </c>
    </row>
    <row r="185" spans="1:18" ht="15.75" customHeight="1" x14ac:dyDescent="0.2">
      <c r="A185" s="7">
        <v>182</v>
      </c>
      <c r="B185" s="7" t="s">
        <v>134</v>
      </c>
      <c r="C185" s="7" t="s">
        <v>135</v>
      </c>
      <c r="D185" s="7" t="s">
        <v>587</v>
      </c>
      <c r="E185" s="7" t="s">
        <v>588</v>
      </c>
      <c r="F185" s="8">
        <v>194</v>
      </c>
      <c r="G185" s="9">
        <v>0.13179347826087001</v>
      </c>
      <c r="H185" s="8">
        <v>67</v>
      </c>
      <c r="I185" s="8">
        <v>56</v>
      </c>
      <c r="J185" s="38">
        <v>0.40721649484536099</v>
      </c>
      <c r="K185" s="38">
        <v>0.61194029850746301</v>
      </c>
      <c r="L185" s="38">
        <v>0.214285714285714</v>
      </c>
      <c r="M185" s="38">
        <v>0.39765458422174799</v>
      </c>
      <c r="N185" s="9">
        <v>0.34536082474226798</v>
      </c>
      <c r="O185" s="9">
        <v>0.14141414141414099</v>
      </c>
      <c r="P185" s="9">
        <v>0.42514970059880203</v>
      </c>
      <c r="Q185" s="42">
        <v>159</v>
      </c>
      <c r="R185" s="38">
        <v>4.54285714285714</v>
      </c>
    </row>
    <row r="186" spans="1:18" ht="15.75" customHeight="1" x14ac:dyDescent="0.2">
      <c r="A186" s="7">
        <v>183</v>
      </c>
      <c r="B186" s="7" t="s">
        <v>136</v>
      </c>
      <c r="C186" s="7" t="s">
        <v>191</v>
      </c>
      <c r="D186" s="7" t="s">
        <v>589</v>
      </c>
      <c r="E186" s="7" t="s">
        <v>590</v>
      </c>
      <c r="F186" s="8">
        <v>193</v>
      </c>
      <c r="G186" s="9">
        <v>0.123086734693878</v>
      </c>
      <c r="H186" s="8">
        <v>77</v>
      </c>
      <c r="I186" s="8">
        <v>70</v>
      </c>
      <c r="J186" s="38">
        <v>-6.21761658031088E-2</v>
      </c>
      <c r="K186" s="38">
        <v>6.4935064935064901E-2</v>
      </c>
      <c r="L186" s="38">
        <v>-0.25714285714285701</v>
      </c>
      <c r="M186" s="38">
        <v>0.32207792207792202</v>
      </c>
      <c r="N186" s="9">
        <v>0.27461139896373099</v>
      </c>
      <c r="O186" s="9">
        <v>0.43220338983050899</v>
      </c>
      <c r="P186" s="9">
        <v>0.64367816091954</v>
      </c>
      <c r="Q186" s="42">
        <v>154</v>
      </c>
      <c r="R186" s="38">
        <v>3.9487179487179498</v>
      </c>
    </row>
    <row r="187" spans="1:18" ht="15.75" customHeight="1" x14ac:dyDescent="0.2">
      <c r="A187" s="7">
        <v>184</v>
      </c>
      <c r="B187" s="7" t="s">
        <v>134</v>
      </c>
      <c r="C187" s="7" t="s">
        <v>142</v>
      </c>
      <c r="D187" s="7" t="s">
        <v>591</v>
      </c>
      <c r="E187" s="7" t="s">
        <v>592</v>
      </c>
      <c r="F187" s="8">
        <v>192</v>
      </c>
      <c r="G187" s="9">
        <v>0.144360902255639</v>
      </c>
      <c r="H187" s="8">
        <v>79</v>
      </c>
      <c r="I187" s="8">
        <v>63</v>
      </c>
      <c r="J187" s="38">
        <v>0.18229166666666699</v>
      </c>
      <c r="K187" s="38">
        <v>0.405063291139241</v>
      </c>
      <c r="L187" s="38">
        <v>-0.14285714285714299</v>
      </c>
      <c r="M187" s="38">
        <v>0.54792043399638302</v>
      </c>
      <c r="N187" s="9">
        <v>0.359375</v>
      </c>
      <c r="O187" s="9">
        <v>0.263636363636364</v>
      </c>
      <c r="P187" s="9">
        <v>0.62068965517241403</v>
      </c>
      <c r="Q187" s="42">
        <v>155</v>
      </c>
      <c r="R187" s="38">
        <v>4.1891891891891904</v>
      </c>
    </row>
    <row r="188" spans="1:18" ht="15.75" customHeight="1" x14ac:dyDescent="0.2">
      <c r="A188" s="7">
        <v>185</v>
      </c>
      <c r="B188" s="7" t="s">
        <v>134</v>
      </c>
      <c r="C188" s="7" t="s">
        <v>139</v>
      </c>
      <c r="D188" s="7" t="s">
        <v>593</v>
      </c>
      <c r="E188" s="7" t="s">
        <v>594</v>
      </c>
      <c r="F188" s="8">
        <v>192</v>
      </c>
      <c r="G188" s="9">
        <v>0.14656488549618299</v>
      </c>
      <c r="H188" s="8">
        <v>80</v>
      </c>
      <c r="I188" s="8">
        <v>63</v>
      </c>
      <c r="J188" s="38">
        <v>1.5625E-2</v>
      </c>
      <c r="K188" s="38">
        <v>0.22500000000000001</v>
      </c>
      <c r="L188" s="38">
        <v>-0.26984126984126999</v>
      </c>
      <c r="M188" s="38">
        <v>0.49484126984127003</v>
      </c>
      <c r="N188" s="9">
        <v>0.265625</v>
      </c>
      <c r="O188" s="9">
        <v>0.45132743362831901</v>
      </c>
      <c r="P188" s="9">
        <v>0.72560975609756095</v>
      </c>
      <c r="Q188" s="42">
        <v>157</v>
      </c>
      <c r="R188" s="38">
        <v>4.4857142857142902</v>
      </c>
    </row>
    <row r="189" spans="1:18" ht="15.75" customHeight="1" x14ac:dyDescent="0.2">
      <c r="A189" s="7">
        <v>186</v>
      </c>
      <c r="B189" s="7" t="s">
        <v>136</v>
      </c>
      <c r="C189" s="7" t="s">
        <v>162</v>
      </c>
      <c r="D189" s="7" t="s">
        <v>595</v>
      </c>
      <c r="E189" s="7" t="s">
        <v>596</v>
      </c>
      <c r="F189" s="8">
        <v>191</v>
      </c>
      <c r="G189" s="9">
        <v>0.13163335630599601</v>
      </c>
      <c r="H189" s="8">
        <v>85</v>
      </c>
      <c r="I189" s="8">
        <v>67</v>
      </c>
      <c r="J189" s="38">
        <v>-0.12041884816753901</v>
      </c>
      <c r="K189" s="38">
        <v>0</v>
      </c>
      <c r="L189" s="38">
        <v>-0.28358208955223901</v>
      </c>
      <c r="M189" s="38">
        <v>0.28358208955223901</v>
      </c>
      <c r="N189" s="9">
        <v>0.27225130890052401</v>
      </c>
      <c r="O189" s="9">
        <v>0.42622950819672101</v>
      </c>
      <c r="P189" s="9">
        <v>0.67222222222222205</v>
      </c>
      <c r="Q189" s="42">
        <v>144</v>
      </c>
      <c r="R189" s="38">
        <v>3.0638297872340399</v>
      </c>
    </row>
    <row r="190" spans="1:18" ht="15.75" customHeight="1" x14ac:dyDescent="0.2">
      <c r="A190" s="7">
        <v>187</v>
      </c>
      <c r="B190" s="7" t="s">
        <v>136</v>
      </c>
      <c r="C190" s="7" t="s">
        <v>138</v>
      </c>
      <c r="D190" s="7" t="s">
        <v>597</v>
      </c>
      <c r="E190" s="7" t="s">
        <v>598</v>
      </c>
      <c r="F190" s="8">
        <v>191</v>
      </c>
      <c r="G190" s="9">
        <v>0.173794358507734</v>
      </c>
      <c r="H190" s="8">
        <v>88</v>
      </c>
      <c r="I190" s="8">
        <v>60</v>
      </c>
      <c r="J190" s="38">
        <v>0.37172774869109998</v>
      </c>
      <c r="K190" s="38">
        <v>0.44318181818181801</v>
      </c>
      <c r="L190" s="38">
        <v>0.3</v>
      </c>
      <c r="M190" s="38">
        <v>0.14318181818181799</v>
      </c>
      <c r="N190" s="9">
        <v>0.219895287958115</v>
      </c>
      <c r="O190" s="9">
        <v>0.47457627118644102</v>
      </c>
      <c r="P190" s="9">
        <v>0.68539325842696597</v>
      </c>
      <c r="Q190" s="42">
        <v>154</v>
      </c>
      <c r="R190" s="38">
        <v>4.1621621621621596</v>
      </c>
    </row>
    <row r="191" spans="1:18" ht="15.75" customHeight="1" x14ac:dyDescent="0.2">
      <c r="A191" s="7">
        <v>188</v>
      </c>
      <c r="B191" s="7" t="s">
        <v>136</v>
      </c>
      <c r="C191" s="7" t="s">
        <v>141</v>
      </c>
      <c r="D191" s="7" t="s">
        <v>599</v>
      </c>
      <c r="E191" s="7" t="s">
        <v>600</v>
      </c>
      <c r="F191" s="8">
        <v>191</v>
      </c>
      <c r="G191" s="9">
        <v>0.13691756272401401</v>
      </c>
      <c r="H191" s="8">
        <v>69</v>
      </c>
      <c r="I191" s="8">
        <v>69</v>
      </c>
      <c r="J191" s="38">
        <v>9.4240837696335095E-2</v>
      </c>
      <c r="K191" s="38">
        <v>0.231884057971015</v>
      </c>
      <c r="L191" s="38">
        <v>-8.6956521739130405E-2</v>
      </c>
      <c r="M191" s="38">
        <v>0.31884057971014501</v>
      </c>
      <c r="N191" s="9">
        <v>0.31937172774869099</v>
      </c>
      <c r="O191" s="9">
        <v>0.33333333333333298</v>
      </c>
      <c r="P191" s="9">
        <v>0.62573099415204703</v>
      </c>
      <c r="Q191" s="42">
        <v>148</v>
      </c>
      <c r="R191" s="38">
        <v>3.4418604651162799</v>
      </c>
    </row>
    <row r="192" spans="1:18" ht="15.75" customHeight="1" x14ac:dyDescent="0.2">
      <c r="A192" s="7">
        <v>189</v>
      </c>
      <c r="B192" s="7" t="s">
        <v>134</v>
      </c>
      <c r="C192" s="7" t="s">
        <v>137</v>
      </c>
      <c r="D192" s="7" t="s">
        <v>601</v>
      </c>
      <c r="E192" s="7" t="s">
        <v>602</v>
      </c>
      <c r="F192" s="8">
        <v>191</v>
      </c>
      <c r="G192" s="9">
        <v>0.16145393068469999</v>
      </c>
      <c r="H192" s="8">
        <v>68</v>
      </c>
      <c r="I192" s="8">
        <v>71</v>
      </c>
      <c r="J192" s="38">
        <v>0.39790575916230397</v>
      </c>
      <c r="K192" s="38">
        <v>0.5</v>
      </c>
      <c r="L192" s="38">
        <v>0.29577464788732399</v>
      </c>
      <c r="M192" s="38">
        <v>0.20422535211267601</v>
      </c>
      <c r="N192" s="9">
        <v>0.31937172774869099</v>
      </c>
      <c r="O192" s="9">
        <v>0.256198347107438</v>
      </c>
      <c r="P192" s="9">
        <v>0.47674418604651198</v>
      </c>
      <c r="Q192" s="42">
        <v>140</v>
      </c>
      <c r="R192" s="38">
        <v>2.7450980392156898</v>
      </c>
    </row>
    <row r="193" spans="1:18" ht="15.75" customHeight="1" x14ac:dyDescent="0.2">
      <c r="A193" s="7">
        <v>190</v>
      </c>
      <c r="B193" s="7" t="s">
        <v>136</v>
      </c>
      <c r="C193" s="7" t="s">
        <v>161</v>
      </c>
      <c r="D193" s="7" t="s">
        <v>603</v>
      </c>
      <c r="E193" s="7" t="s">
        <v>604</v>
      </c>
      <c r="F193" s="8">
        <v>189</v>
      </c>
      <c r="G193" s="9">
        <v>0.131524008350731</v>
      </c>
      <c r="H193" s="8">
        <v>70</v>
      </c>
      <c r="I193" s="8">
        <v>78</v>
      </c>
      <c r="J193" s="38">
        <v>-3.1746031746031703E-2</v>
      </c>
      <c r="K193" s="38">
        <v>0.214285714285714</v>
      </c>
      <c r="L193" s="38">
        <v>-0.21794871794871801</v>
      </c>
      <c r="M193" s="38">
        <v>0.43223443223443198</v>
      </c>
      <c r="N193" s="9">
        <v>0.248677248677249</v>
      </c>
      <c r="O193" s="9">
        <v>0.43925233644859801</v>
      </c>
      <c r="P193" s="9">
        <v>0.80116959064327498</v>
      </c>
      <c r="Q193" s="42">
        <v>150</v>
      </c>
      <c r="R193" s="38">
        <v>3.8461538461538498</v>
      </c>
    </row>
    <row r="194" spans="1:18" ht="15.75" customHeight="1" x14ac:dyDescent="0.2">
      <c r="A194" s="7">
        <v>191</v>
      </c>
      <c r="B194" s="7" t="s">
        <v>136</v>
      </c>
      <c r="C194" s="7" t="s">
        <v>202</v>
      </c>
      <c r="D194" s="7" t="s">
        <v>605</v>
      </c>
      <c r="E194" s="7" t="s">
        <v>606</v>
      </c>
      <c r="F194" s="8">
        <v>188</v>
      </c>
      <c r="G194" s="9">
        <v>0.133427963094393</v>
      </c>
      <c r="H194" s="8">
        <v>74</v>
      </c>
      <c r="I194" s="8">
        <v>67</v>
      </c>
      <c r="J194" s="38">
        <v>-0.111702127659575</v>
      </c>
      <c r="K194" s="38">
        <v>0.162162162162162</v>
      </c>
      <c r="L194" s="38">
        <v>-0.402985074626866</v>
      </c>
      <c r="M194" s="38">
        <v>0.56514723678902801</v>
      </c>
      <c r="N194" s="9">
        <v>0.37765957446808501</v>
      </c>
      <c r="O194" s="9">
        <v>0.22222222222222199</v>
      </c>
      <c r="P194" s="9">
        <v>0.49431818181818199</v>
      </c>
      <c r="Q194" s="42">
        <v>147</v>
      </c>
      <c r="R194" s="38">
        <v>3.5853658536585402</v>
      </c>
    </row>
    <row r="195" spans="1:18" ht="15.75" customHeight="1" x14ac:dyDescent="0.2">
      <c r="A195" s="7">
        <v>192</v>
      </c>
      <c r="B195" s="7" t="s">
        <v>134</v>
      </c>
      <c r="C195" s="7" t="s">
        <v>169</v>
      </c>
      <c r="D195" s="7" t="s">
        <v>607</v>
      </c>
      <c r="E195" s="7" t="s">
        <v>608</v>
      </c>
      <c r="F195" s="8">
        <v>187</v>
      </c>
      <c r="G195" s="9">
        <v>0.12825788751714701</v>
      </c>
      <c r="H195" s="8">
        <v>80</v>
      </c>
      <c r="I195" s="8">
        <v>61</v>
      </c>
      <c r="J195" s="38">
        <v>0.25668449197860999</v>
      </c>
      <c r="K195" s="38">
        <v>0.4375</v>
      </c>
      <c r="L195" s="38">
        <v>8.1967213114754106E-2</v>
      </c>
      <c r="M195" s="38">
        <v>0.35553278688524598</v>
      </c>
      <c r="N195" s="9">
        <v>0.30481283422459898</v>
      </c>
      <c r="O195" s="9">
        <v>0.25217391304347803</v>
      </c>
      <c r="P195" s="9">
        <v>0.51461988304093598</v>
      </c>
      <c r="Q195" s="42">
        <v>129</v>
      </c>
      <c r="R195" s="38">
        <v>2.22413793103448</v>
      </c>
    </row>
    <row r="196" spans="1:18" ht="15.75" customHeight="1" x14ac:dyDescent="0.2">
      <c r="A196" s="7">
        <v>193</v>
      </c>
      <c r="B196" s="7" t="s">
        <v>136</v>
      </c>
      <c r="C196" s="7" t="s">
        <v>137</v>
      </c>
      <c r="D196" s="7" t="s">
        <v>609</v>
      </c>
      <c r="E196" s="7" t="s">
        <v>610</v>
      </c>
      <c r="F196" s="8">
        <v>185</v>
      </c>
      <c r="G196" s="9">
        <v>0.126193724420191</v>
      </c>
      <c r="H196" s="8">
        <v>83</v>
      </c>
      <c r="I196" s="8">
        <v>53</v>
      </c>
      <c r="J196" s="38">
        <v>0.38378378378378403</v>
      </c>
      <c r="K196" s="38">
        <v>0.59036144578313299</v>
      </c>
      <c r="L196" s="38">
        <v>0.28301886792452802</v>
      </c>
      <c r="M196" s="38">
        <v>0.30734257785860403</v>
      </c>
      <c r="N196" s="9">
        <v>0.28108108108108099</v>
      </c>
      <c r="O196" s="9">
        <v>0.44166666666666698</v>
      </c>
      <c r="P196" s="9">
        <v>0.63636363636363602</v>
      </c>
      <c r="Q196" s="42">
        <v>133</v>
      </c>
      <c r="R196" s="38">
        <v>2.5576923076923102</v>
      </c>
    </row>
    <row r="197" spans="1:18" ht="15.75" customHeight="1" x14ac:dyDescent="0.2">
      <c r="A197" s="7">
        <v>194</v>
      </c>
      <c r="B197" s="7" t="s">
        <v>136</v>
      </c>
      <c r="C197" s="7" t="s">
        <v>162</v>
      </c>
      <c r="D197" s="7" t="s">
        <v>611</v>
      </c>
      <c r="E197" s="7" t="s">
        <v>612</v>
      </c>
      <c r="F197" s="8">
        <v>184</v>
      </c>
      <c r="G197" s="9">
        <v>0.13710879284649799</v>
      </c>
      <c r="H197" s="8">
        <v>68</v>
      </c>
      <c r="I197" s="8">
        <v>65</v>
      </c>
      <c r="J197" s="38">
        <v>-0.157608695652174</v>
      </c>
      <c r="K197" s="38">
        <v>0.25</v>
      </c>
      <c r="L197" s="38">
        <v>-0.53846153846153799</v>
      </c>
      <c r="M197" s="38">
        <v>0.78846153846153799</v>
      </c>
      <c r="N197" s="9">
        <v>0.21195652173912999</v>
      </c>
      <c r="O197" s="9">
        <v>0.46846846846846901</v>
      </c>
      <c r="P197" s="9">
        <v>0.72316384180791005</v>
      </c>
      <c r="Q197" s="42">
        <v>151</v>
      </c>
      <c r="R197" s="38">
        <v>4.5757575757575797</v>
      </c>
    </row>
    <row r="198" spans="1:18" ht="15.75" customHeight="1" x14ac:dyDescent="0.2">
      <c r="A198" s="7">
        <v>195</v>
      </c>
      <c r="B198" s="7" t="s">
        <v>134</v>
      </c>
      <c r="C198" s="7" t="s">
        <v>135</v>
      </c>
      <c r="D198" s="7" t="s">
        <v>613</v>
      </c>
      <c r="E198" s="7" t="s">
        <v>614</v>
      </c>
      <c r="F198" s="8">
        <v>184</v>
      </c>
      <c r="G198" s="9">
        <v>0.14274631497284701</v>
      </c>
      <c r="H198" s="8">
        <v>72</v>
      </c>
      <c r="I198" s="8">
        <v>55</v>
      </c>
      <c r="J198" s="38">
        <v>0.39130434782608697</v>
      </c>
      <c r="K198" s="38">
        <v>0.55555555555555602</v>
      </c>
      <c r="L198" s="38">
        <v>0.43636363636363601</v>
      </c>
      <c r="M198" s="38">
        <v>0.119191919191919</v>
      </c>
      <c r="N198" s="9">
        <v>0.38043478260869601</v>
      </c>
      <c r="O198" s="9">
        <v>0.21505376344086</v>
      </c>
      <c r="P198" s="9">
        <v>0.45859872611465002</v>
      </c>
      <c r="Q198" s="42">
        <v>153</v>
      </c>
      <c r="R198" s="38">
        <v>4.9354838709677402</v>
      </c>
    </row>
    <row r="199" spans="1:18" ht="15.75" customHeight="1" x14ac:dyDescent="0.2">
      <c r="A199" s="7">
        <v>196</v>
      </c>
      <c r="B199" s="7" t="s">
        <v>134</v>
      </c>
      <c r="C199" s="7" t="s">
        <v>137</v>
      </c>
      <c r="D199" s="7" t="s">
        <v>615</v>
      </c>
      <c r="E199" s="7" t="s">
        <v>616</v>
      </c>
      <c r="F199" s="8">
        <v>183</v>
      </c>
      <c r="G199" s="9">
        <v>0.140015302218822</v>
      </c>
      <c r="H199" s="8">
        <v>78</v>
      </c>
      <c r="I199" s="8">
        <v>58</v>
      </c>
      <c r="J199" s="38">
        <v>0.27322404371584702</v>
      </c>
      <c r="K199" s="38">
        <v>0.46153846153846201</v>
      </c>
      <c r="L199" s="38">
        <v>6.8965517241379296E-2</v>
      </c>
      <c r="M199" s="38">
        <v>0.392572944297082</v>
      </c>
      <c r="N199" s="9">
        <v>0.31147540983606598</v>
      </c>
      <c r="O199" s="9">
        <v>0.25600000000000001</v>
      </c>
      <c r="P199" s="9">
        <v>0.56470588235294095</v>
      </c>
      <c r="Q199" s="42">
        <v>129</v>
      </c>
      <c r="R199" s="38">
        <v>2.3888888888888902</v>
      </c>
    </row>
    <row r="200" spans="1:18" ht="15.75" customHeight="1" x14ac:dyDescent="0.2">
      <c r="A200" s="7">
        <v>197</v>
      </c>
      <c r="B200" s="7" t="s">
        <v>136</v>
      </c>
      <c r="C200" s="7" t="s">
        <v>165</v>
      </c>
      <c r="D200" s="7" t="s">
        <v>617</v>
      </c>
      <c r="E200" s="7" t="s">
        <v>618</v>
      </c>
      <c r="F200" s="8">
        <v>183</v>
      </c>
      <c r="G200" s="9">
        <v>0.14012251148545199</v>
      </c>
      <c r="H200" s="8">
        <v>76</v>
      </c>
      <c r="I200" s="8">
        <v>63</v>
      </c>
      <c r="J200" s="38">
        <v>-8.7431693989070997E-2</v>
      </c>
      <c r="K200" s="38">
        <v>0.13157894736842099</v>
      </c>
      <c r="L200" s="38">
        <v>-0.33333333333333298</v>
      </c>
      <c r="M200" s="38">
        <v>0.464912280701754</v>
      </c>
      <c r="N200" s="9">
        <v>0.26775956284153002</v>
      </c>
      <c r="O200" s="9">
        <v>0.42477876106194701</v>
      </c>
      <c r="P200" s="9">
        <v>0.62275449101796398</v>
      </c>
      <c r="Q200" s="42">
        <v>138</v>
      </c>
      <c r="R200" s="38">
        <v>3.06666666666667</v>
      </c>
    </row>
    <row r="201" spans="1:18" ht="15.75" customHeight="1" x14ac:dyDescent="0.2">
      <c r="A201" s="7">
        <v>198</v>
      </c>
      <c r="B201" s="7" t="s">
        <v>134</v>
      </c>
      <c r="C201" s="7" t="s">
        <v>169</v>
      </c>
      <c r="D201" s="7" t="s">
        <v>619</v>
      </c>
      <c r="E201" s="7" t="s">
        <v>620</v>
      </c>
      <c r="F201" s="8">
        <v>182</v>
      </c>
      <c r="G201" s="9">
        <v>0.14064914992272001</v>
      </c>
      <c r="H201" s="8">
        <v>71</v>
      </c>
      <c r="I201" s="8">
        <v>55</v>
      </c>
      <c r="J201" s="38">
        <v>0.120879120879121</v>
      </c>
      <c r="K201" s="38">
        <v>0.46478873239436602</v>
      </c>
      <c r="L201" s="38">
        <v>-0.18181818181818199</v>
      </c>
      <c r="M201" s="38">
        <v>0.64660691421254801</v>
      </c>
      <c r="N201" s="9">
        <v>0.340659340659341</v>
      </c>
      <c r="O201" s="9">
        <v>0.25</v>
      </c>
      <c r="P201" s="9">
        <v>0.58641975308642003</v>
      </c>
      <c r="Q201" s="42">
        <v>146</v>
      </c>
      <c r="R201" s="38">
        <v>4.0555555555555598</v>
      </c>
    </row>
    <row r="202" spans="1:18" ht="15.75" customHeight="1" x14ac:dyDescent="0.2">
      <c r="A202" s="7">
        <v>199</v>
      </c>
      <c r="B202" s="7" t="s">
        <v>136</v>
      </c>
      <c r="C202" s="7" t="s">
        <v>148</v>
      </c>
      <c r="D202" s="7" t="s">
        <v>621</v>
      </c>
      <c r="E202" s="7" t="s">
        <v>622</v>
      </c>
      <c r="F202" s="8">
        <v>181</v>
      </c>
      <c r="G202" s="9">
        <v>0.16590284142988099</v>
      </c>
      <c r="H202" s="8">
        <v>74</v>
      </c>
      <c r="I202" s="8">
        <v>74</v>
      </c>
      <c r="J202" s="38">
        <v>7.7348066298342497E-2</v>
      </c>
      <c r="K202" s="38">
        <v>0.20270270270270299</v>
      </c>
      <c r="L202" s="38">
        <v>-9.45945945945946E-2</v>
      </c>
      <c r="M202" s="38">
        <v>0.29729729729729698</v>
      </c>
      <c r="N202" s="9">
        <v>0.24861878453038699</v>
      </c>
      <c r="O202" s="9">
        <v>0.45967741935483902</v>
      </c>
      <c r="P202" s="9">
        <v>0.68</v>
      </c>
      <c r="Q202" s="42">
        <v>131</v>
      </c>
      <c r="R202" s="38">
        <v>2.62</v>
      </c>
    </row>
    <row r="203" spans="1:18" ht="15.75" customHeight="1" x14ac:dyDescent="0.2">
      <c r="A203" s="7">
        <v>200</v>
      </c>
      <c r="B203" s="7" t="s">
        <v>136</v>
      </c>
      <c r="C203" s="7" t="s">
        <v>137</v>
      </c>
      <c r="D203" s="7" t="s">
        <v>623</v>
      </c>
      <c r="E203" s="7" t="s">
        <v>624</v>
      </c>
      <c r="F203" s="8">
        <v>180</v>
      </c>
      <c r="G203" s="9">
        <v>0.13921113689095099</v>
      </c>
      <c r="H203" s="8">
        <v>70</v>
      </c>
      <c r="I203" s="8">
        <v>68</v>
      </c>
      <c r="J203" s="38">
        <v>0.266666666666667</v>
      </c>
      <c r="K203" s="38">
        <v>0.51428571428571401</v>
      </c>
      <c r="L203" s="38">
        <v>5.8823529411764698E-2</v>
      </c>
      <c r="M203" s="38">
        <v>0.45546218487395002</v>
      </c>
      <c r="N203" s="9">
        <v>0.25555555555555598</v>
      </c>
      <c r="O203" s="9">
        <v>0.32500000000000001</v>
      </c>
      <c r="P203" s="9">
        <v>0.6</v>
      </c>
      <c r="Q203" s="42">
        <v>124</v>
      </c>
      <c r="R203" s="38">
        <v>2.21428571428571</v>
      </c>
    </row>
    <row r="204" spans="1:18" ht="15.75" customHeight="1" x14ac:dyDescent="0.2">
      <c r="A204" s="7">
        <v>201</v>
      </c>
      <c r="B204" s="7" t="s">
        <v>136</v>
      </c>
      <c r="C204" s="7" t="s">
        <v>137</v>
      </c>
      <c r="D204" s="7" t="s">
        <v>625</v>
      </c>
      <c r="E204" s="7" t="s">
        <v>626</v>
      </c>
      <c r="F204" s="8">
        <v>178</v>
      </c>
      <c r="G204" s="9">
        <v>9.1563786008230494E-2</v>
      </c>
      <c r="H204" s="8">
        <v>66</v>
      </c>
      <c r="I204" s="8">
        <v>72</v>
      </c>
      <c r="J204" s="38">
        <v>0.16853932584269701</v>
      </c>
      <c r="K204" s="38">
        <v>0.39393939393939398</v>
      </c>
      <c r="L204" s="38">
        <v>-1.38888888888889E-2</v>
      </c>
      <c r="M204" s="38">
        <v>0.40782828282828298</v>
      </c>
      <c r="N204" s="9">
        <v>0.235955056179775</v>
      </c>
      <c r="O204" s="9">
        <v>0.46153846153846201</v>
      </c>
      <c r="P204" s="9">
        <v>0.63742690058479501</v>
      </c>
      <c r="Q204" s="42">
        <v>123</v>
      </c>
      <c r="R204" s="38">
        <v>2.2363636363636399</v>
      </c>
    </row>
    <row r="205" spans="1:18" ht="15.75" customHeight="1" x14ac:dyDescent="0.2">
      <c r="A205" s="7">
        <v>202</v>
      </c>
      <c r="B205" s="7" t="s">
        <v>136</v>
      </c>
      <c r="C205" s="7" t="s">
        <v>141</v>
      </c>
      <c r="D205" s="7" t="s">
        <v>627</v>
      </c>
      <c r="E205" s="7" t="s">
        <v>628</v>
      </c>
      <c r="F205" s="8">
        <v>177</v>
      </c>
      <c r="G205" s="9">
        <v>0.15761353517364199</v>
      </c>
      <c r="H205" s="8">
        <v>59</v>
      </c>
      <c r="I205" s="8">
        <v>68</v>
      </c>
      <c r="J205" s="38">
        <v>0.31073446327683601</v>
      </c>
      <c r="K205" s="38">
        <v>0.47457627118644102</v>
      </c>
      <c r="L205" s="38">
        <v>0.191176470588235</v>
      </c>
      <c r="M205" s="38">
        <v>0.28339980059820502</v>
      </c>
      <c r="N205" s="9">
        <v>0.225988700564972</v>
      </c>
      <c r="O205" s="9">
        <v>0.37962962962962998</v>
      </c>
      <c r="P205" s="9">
        <v>0.70121951219512202</v>
      </c>
      <c r="Q205" s="42">
        <v>149</v>
      </c>
      <c r="R205" s="38">
        <v>5.3214285714285703</v>
      </c>
    </row>
    <row r="206" spans="1:18" ht="15.75" customHeight="1" x14ac:dyDescent="0.2">
      <c r="A206" s="7">
        <v>203</v>
      </c>
      <c r="B206" s="7" t="s">
        <v>134</v>
      </c>
      <c r="C206" s="7" t="s">
        <v>135</v>
      </c>
      <c r="D206" s="7" t="s">
        <v>629</v>
      </c>
      <c r="E206" s="7" t="s">
        <v>630</v>
      </c>
      <c r="F206" s="8">
        <v>176</v>
      </c>
      <c r="G206" s="9">
        <v>0.18506834910620401</v>
      </c>
      <c r="H206" s="8">
        <v>66</v>
      </c>
      <c r="I206" s="8">
        <v>47</v>
      </c>
      <c r="J206" s="38">
        <v>0.40340909090909099</v>
      </c>
      <c r="K206" s="38">
        <v>0.51515151515151503</v>
      </c>
      <c r="L206" s="38">
        <v>0.25531914893617003</v>
      </c>
      <c r="M206" s="38">
        <v>0.259832366215345</v>
      </c>
      <c r="N206" s="9">
        <v>0.40340909090909099</v>
      </c>
      <c r="O206" s="9">
        <v>0.162790697674419</v>
      </c>
      <c r="P206" s="9">
        <v>0.411392405063291</v>
      </c>
      <c r="Q206" s="42">
        <v>148</v>
      </c>
      <c r="R206" s="38">
        <v>5.28571428571429</v>
      </c>
    </row>
    <row r="207" spans="1:18" ht="15.75" customHeight="1" x14ac:dyDescent="0.2">
      <c r="A207" s="7">
        <v>204</v>
      </c>
      <c r="B207" s="7" t="s">
        <v>134</v>
      </c>
      <c r="C207" s="7" t="s">
        <v>135</v>
      </c>
      <c r="D207" s="7" t="s">
        <v>631</v>
      </c>
      <c r="E207" s="7" t="s">
        <v>632</v>
      </c>
      <c r="F207" s="8">
        <v>174</v>
      </c>
      <c r="G207" s="9">
        <v>0.16081330868761601</v>
      </c>
      <c r="H207" s="8">
        <v>76</v>
      </c>
      <c r="I207" s="8">
        <v>54</v>
      </c>
      <c r="J207" s="38">
        <v>0.36206896551724099</v>
      </c>
      <c r="K207" s="38">
        <v>0.61842105263157898</v>
      </c>
      <c r="L207" s="38">
        <v>7.4074074074074098E-2</v>
      </c>
      <c r="M207" s="38">
        <v>0.54434697855750502</v>
      </c>
      <c r="N207" s="9">
        <v>0.28160919540229901</v>
      </c>
      <c r="O207" s="9">
        <v>0.211111111111111</v>
      </c>
      <c r="P207" s="9">
        <v>0.481012658227848</v>
      </c>
      <c r="Q207" s="42">
        <v>132</v>
      </c>
      <c r="R207" s="38">
        <v>3.1428571428571401</v>
      </c>
    </row>
    <row r="208" spans="1:18" ht="15.75" customHeight="1" x14ac:dyDescent="0.2">
      <c r="A208" s="7">
        <v>205</v>
      </c>
      <c r="B208" s="7" t="s">
        <v>134</v>
      </c>
      <c r="C208" s="7" t="s">
        <v>135</v>
      </c>
      <c r="D208" s="7" t="s">
        <v>633</v>
      </c>
      <c r="E208" s="7" t="s">
        <v>634</v>
      </c>
      <c r="F208" s="8">
        <v>174</v>
      </c>
      <c r="G208" s="9">
        <v>0.128413284132841</v>
      </c>
      <c r="H208" s="8">
        <v>61</v>
      </c>
      <c r="I208" s="8">
        <v>66</v>
      </c>
      <c r="J208" s="38">
        <v>0.17241379310344801</v>
      </c>
      <c r="K208" s="38">
        <v>0.34426229508196698</v>
      </c>
      <c r="L208" s="38">
        <v>9.0909090909090898E-2</v>
      </c>
      <c r="M208" s="38">
        <v>0.25335320417287599</v>
      </c>
      <c r="N208" s="9">
        <v>0.37931034482758602</v>
      </c>
      <c r="O208" s="9">
        <v>0.28999999999999998</v>
      </c>
      <c r="P208" s="9">
        <v>0.56578947368421095</v>
      </c>
      <c r="Q208" s="42">
        <v>123</v>
      </c>
      <c r="R208" s="38">
        <v>2.4117647058823501</v>
      </c>
    </row>
    <row r="209" spans="1:18" ht="15.75" customHeight="1" x14ac:dyDescent="0.2">
      <c r="A209" s="7">
        <v>206</v>
      </c>
      <c r="B209" s="7" t="s">
        <v>136</v>
      </c>
      <c r="C209" s="7" t="s">
        <v>141</v>
      </c>
      <c r="D209" s="7" t="s">
        <v>635</v>
      </c>
      <c r="E209" s="7" t="s">
        <v>636</v>
      </c>
      <c r="F209" s="8">
        <v>174</v>
      </c>
      <c r="G209" s="9">
        <v>0.131519274376417</v>
      </c>
      <c r="H209" s="8">
        <v>64</v>
      </c>
      <c r="I209" s="8">
        <v>62</v>
      </c>
      <c r="J209" s="38">
        <v>-1.1494252873563199E-2</v>
      </c>
      <c r="K209" s="38">
        <v>0.25</v>
      </c>
      <c r="L209" s="38">
        <v>-0.225806451612903</v>
      </c>
      <c r="M209" s="38">
        <v>0.47580645161290303</v>
      </c>
      <c r="N209" s="9">
        <v>0.28735632183908</v>
      </c>
      <c r="O209" s="9">
        <v>0.37614678899082599</v>
      </c>
      <c r="P209" s="9">
        <v>0.74838709677419402</v>
      </c>
      <c r="Q209" s="42">
        <v>139</v>
      </c>
      <c r="R209" s="38">
        <v>3.9714285714285702</v>
      </c>
    </row>
    <row r="210" spans="1:18" ht="15.75" customHeight="1" x14ac:dyDescent="0.2">
      <c r="A210" s="7">
        <v>207</v>
      </c>
      <c r="B210" s="7" t="s">
        <v>136</v>
      </c>
      <c r="C210" s="7" t="s">
        <v>141</v>
      </c>
      <c r="D210" s="7" t="s">
        <v>637</v>
      </c>
      <c r="E210" s="7" t="s">
        <v>638</v>
      </c>
      <c r="F210" s="8">
        <v>173</v>
      </c>
      <c r="G210" s="9">
        <v>0.152021089630932</v>
      </c>
      <c r="H210" s="8">
        <v>54</v>
      </c>
      <c r="I210" s="8">
        <v>70</v>
      </c>
      <c r="J210" s="38">
        <v>0.23699421965317899</v>
      </c>
      <c r="K210" s="38">
        <v>0.37037037037037002</v>
      </c>
      <c r="L210" s="38">
        <v>0.14285714285714299</v>
      </c>
      <c r="M210" s="38">
        <v>0.227513227513228</v>
      </c>
      <c r="N210" s="9">
        <v>0.26589595375722502</v>
      </c>
      <c r="O210" s="9">
        <v>0.32110091743119301</v>
      </c>
      <c r="P210" s="9">
        <v>0.66242038216560495</v>
      </c>
      <c r="Q210" s="42">
        <v>136</v>
      </c>
      <c r="R210" s="38">
        <v>3.6756756756756799</v>
      </c>
    </row>
    <row r="211" spans="1:18" ht="15.75" customHeight="1" x14ac:dyDescent="0.2">
      <c r="A211" s="7">
        <v>208</v>
      </c>
      <c r="B211" s="7" t="s">
        <v>136</v>
      </c>
      <c r="C211" s="7" t="s">
        <v>166</v>
      </c>
      <c r="D211" s="7" t="s">
        <v>639</v>
      </c>
      <c r="E211" s="7" t="s">
        <v>640</v>
      </c>
      <c r="F211" s="8">
        <v>173</v>
      </c>
      <c r="G211" s="9">
        <v>0.118737131091284</v>
      </c>
      <c r="H211" s="8">
        <v>75</v>
      </c>
      <c r="I211" s="8">
        <v>67</v>
      </c>
      <c r="J211" s="38">
        <v>-0.20809248554913301</v>
      </c>
      <c r="K211" s="38">
        <v>0.08</v>
      </c>
      <c r="L211" s="38">
        <v>-0.43283582089552203</v>
      </c>
      <c r="M211" s="38">
        <v>0.51283582089552204</v>
      </c>
      <c r="N211" s="9">
        <v>0.28323699421965298</v>
      </c>
      <c r="O211" s="9">
        <v>0.45454545454545497</v>
      </c>
      <c r="P211" s="9">
        <v>0.754601226993865</v>
      </c>
      <c r="Q211" s="42">
        <v>135</v>
      </c>
      <c r="R211" s="38">
        <v>3.5526315789473699</v>
      </c>
    </row>
    <row r="212" spans="1:18" ht="15.75" customHeight="1" x14ac:dyDescent="0.2">
      <c r="A212" s="7">
        <v>209</v>
      </c>
      <c r="B212" s="7" t="s">
        <v>152</v>
      </c>
      <c r="C212" s="7" t="s">
        <v>172</v>
      </c>
      <c r="D212" s="7" t="s">
        <v>641</v>
      </c>
      <c r="E212" s="7" t="s">
        <v>642</v>
      </c>
      <c r="F212" s="8">
        <v>172</v>
      </c>
      <c r="G212" s="9">
        <v>0.15779816513761499</v>
      </c>
      <c r="H212" s="8">
        <v>75</v>
      </c>
      <c r="I212" s="8">
        <v>69</v>
      </c>
      <c r="J212" s="38">
        <v>-0.20348837209302301</v>
      </c>
      <c r="K212" s="38">
        <v>-0.12</v>
      </c>
      <c r="L212" s="38">
        <v>-0.434782608695652</v>
      </c>
      <c r="M212" s="38">
        <v>0.314782608695652</v>
      </c>
      <c r="N212" s="9">
        <v>0.21511627906976699</v>
      </c>
      <c r="O212" s="9">
        <v>0.26262626262626299</v>
      </c>
      <c r="P212" s="9">
        <v>0.658227848101266</v>
      </c>
      <c r="Q212" s="42">
        <v>140</v>
      </c>
      <c r="R212" s="38">
        <v>4.375</v>
      </c>
    </row>
    <row r="213" spans="1:18" ht="15.75" customHeight="1" x14ac:dyDescent="0.2">
      <c r="A213" s="7">
        <v>210</v>
      </c>
      <c r="B213" s="7" t="s">
        <v>134</v>
      </c>
      <c r="C213" s="7" t="s">
        <v>135</v>
      </c>
      <c r="D213" s="7" t="s">
        <v>643</v>
      </c>
      <c r="E213" s="7" t="s">
        <v>644</v>
      </c>
      <c r="F213" s="8">
        <v>172</v>
      </c>
      <c r="G213" s="9">
        <v>0.14075286415711999</v>
      </c>
      <c r="H213" s="8">
        <v>70</v>
      </c>
      <c r="I213" s="8">
        <v>52</v>
      </c>
      <c r="J213" s="38">
        <v>0.38372093023255799</v>
      </c>
      <c r="K213" s="38">
        <v>0.57142857142857095</v>
      </c>
      <c r="L213" s="38">
        <v>0.19230769230769201</v>
      </c>
      <c r="M213" s="38">
        <v>0.379120879120879</v>
      </c>
      <c r="N213" s="9">
        <v>0.34883720930232598</v>
      </c>
      <c r="O213" s="9">
        <v>0.15053763440860199</v>
      </c>
      <c r="P213" s="9">
        <v>0.353333333333333</v>
      </c>
      <c r="Q213" s="42">
        <v>146</v>
      </c>
      <c r="R213" s="38">
        <v>5.6153846153846203</v>
      </c>
    </row>
    <row r="214" spans="1:18" ht="15.75" customHeight="1" x14ac:dyDescent="0.2">
      <c r="A214" s="7">
        <v>211</v>
      </c>
      <c r="B214" s="7" t="s">
        <v>152</v>
      </c>
      <c r="C214" s="7" t="s">
        <v>153</v>
      </c>
      <c r="D214" s="7" t="s">
        <v>645</v>
      </c>
      <c r="E214" s="7" t="s">
        <v>646</v>
      </c>
      <c r="F214" s="8">
        <v>171</v>
      </c>
      <c r="G214" s="9">
        <v>0.12490869247626001</v>
      </c>
      <c r="H214" s="8">
        <v>64</v>
      </c>
      <c r="I214" s="8">
        <v>49</v>
      </c>
      <c r="J214" s="38">
        <v>-0.198830409356725</v>
      </c>
      <c r="K214" s="38">
        <v>3.125E-2</v>
      </c>
      <c r="L214" s="38">
        <v>-0.51020408163265296</v>
      </c>
      <c r="M214" s="38">
        <v>0.54145408163265296</v>
      </c>
      <c r="N214" s="9">
        <v>0.251461988304094</v>
      </c>
      <c r="O214" s="9">
        <v>0.32352941176470601</v>
      </c>
      <c r="P214" s="9">
        <v>0.594936708860759</v>
      </c>
      <c r="Q214" s="42">
        <v>139</v>
      </c>
      <c r="R214" s="38">
        <v>4.34375</v>
      </c>
    </row>
    <row r="215" spans="1:18" ht="15.75" customHeight="1" x14ac:dyDescent="0.2">
      <c r="A215" s="7">
        <v>212</v>
      </c>
      <c r="B215" s="7" t="s">
        <v>136</v>
      </c>
      <c r="C215" s="7" t="s">
        <v>149</v>
      </c>
      <c r="D215" s="7" t="s">
        <v>647</v>
      </c>
      <c r="E215" s="7" t="s">
        <v>648</v>
      </c>
      <c r="F215" s="8">
        <v>171</v>
      </c>
      <c r="G215" s="9">
        <v>0.145531914893617</v>
      </c>
      <c r="H215" s="8">
        <v>72</v>
      </c>
      <c r="I215" s="8">
        <v>64</v>
      </c>
      <c r="J215" s="38">
        <v>2.3391812865497099E-2</v>
      </c>
      <c r="K215" s="38">
        <v>0.20833333333333301</v>
      </c>
      <c r="L215" s="38">
        <v>-6.25E-2</v>
      </c>
      <c r="M215" s="38">
        <v>0.27083333333333298</v>
      </c>
      <c r="N215" s="9">
        <v>0.22807017543859701</v>
      </c>
      <c r="O215" s="9">
        <v>0.35643564356435598</v>
      </c>
      <c r="P215" s="9">
        <v>0.69032258064516105</v>
      </c>
      <c r="Q215" s="42">
        <v>136</v>
      </c>
      <c r="R215" s="38">
        <v>3.8857142857142901</v>
      </c>
    </row>
    <row r="216" spans="1:18" ht="15.75" customHeight="1" x14ac:dyDescent="0.2">
      <c r="A216" s="7">
        <v>213</v>
      </c>
      <c r="B216" s="7" t="s">
        <v>134</v>
      </c>
      <c r="C216" s="7" t="s">
        <v>135</v>
      </c>
      <c r="D216" s="7" t="s">
        <v>649</v>
      </c>
      <c r="E216" s="7" t="s">
        <v>650</v>
      </c>
      <c r="F216" s="8">
        <v>170</v>
      </c>
      <c r="G216" s="9">
        <v>0.162835249042146</v>
      </c>
      <c r="H216" s="8">
        <v>70</v>
      </c>
      <c r="I216" s="8">
        <v>51</v>
      </c>
      <c r="J216" s="38">
        <v>0.35882352941176499</v>
      </c>
      <c r="K216" s="38">
        <v>0.38571428571428601</v>
      </c>
      <c r="L216" s="38">
        <v>0.45098039215686297</v>
      </c>
      <c r="M216" s="38">
        <v>-6.5266106442576993E-2</v>
      </c>
      <c r="N216" s="9">
        <v>0.40588235294117703</v>
      </c>
      <c r="O216" s="9">
        <v>9.41176470588235E-2</v>
      </c>
      <c r="P216" s="9">
        <v>0.37012987012986998</v>
      </c>
      <c r="Q216" s="42">
        <v>143</v>
      </c>
      <c r="R216" s="38">
        <v>5.2962962962963003</v>
      </c>
    </row>
    <row r="217" spans="1:18" ht="15.75" customHeight="1" x14ac:dyDescent="0.2">
      <c r="A217" s="7">
        <v>214</v>
      </c>
      <c r="B217" s="7" t="s">
        <v>136</v>
      </c>
      <c r="C217" s="7" t="s">
        <v>163</v>
      </c>
      <c r="D217" s="7" t="s">
        <v>651</v>
      </c>
      <c r="E217" s="7" t="s">
        <v>652</v>
      </c>
      <c r="F217" s="8">
        <v>168</v>
      </c>
      <c r="G217" s="9">
        <v>0.14201183431952699</v>
      </c>
      <c r="H217" s="8">
        <v>70</v>
      </c>
      <c r="I217" s="8">
        <v>67</v>
      </c>
      <c r="J217" s="38">
        <v>0.119047619047619</v>
      </c>
      <c r="K217" s="38">
        <v>0.32857142857142901</v>
      </c>
      <c r="L217" s="38">
        <v>1.49253731343284E-2</v>
      </c>
      <c r="M217" s="38">
        <v>0.3136460554371</v>
      </c>
      <c r="N217" s="9">
        <v>0.30952380952380998</v>
      </c>
      <c r="O217" s="9">
        <v>0.359649122807018</v>
      </c>
      <c r="P217" s="9">
        <v>0.64968152866242002</v>
      </c>
      <c r="Q217" s="42">
        <v>119</v>
      </c>
      <c r="R217" s="38">
        <v>2.4285714285714302</v>
      </c>
    </row>
    <row r="218" spans="1:18" ht="15.75" customHeight="1" x14ac:dyDescent="0.2">
      <c r="A218" s="7">
        <v>215</v>
      </c>
      <c r="B218" s="7" t="s">
        <v>136</v>
      </c>
      <c r="C218" s="7" t="s">
        <v>156</v>
      </c>
      <c r="D218" s="7" t="s">
        <v>653</v>
      </c>
      <c r="E218" s="7" t="s">
        <v>654</v>
      </c>
      <c r="F218" s="8">
        <v>167</v>
      </c>
      <c r="G218" s="9">
        <v>0.119713261648746</v>
      </c>
      <c r="H218" s="8">
        <v>70</v>
      </c>
      <c r="I218" s="8">
        <v>65</v>
      </c>
      <c r="J218" s="38">
        <v>-0.209580838323353</v>
      </c>
      <c r="K218" s="38">
        <v>-0.17142857142857101</v>
      </c>
      <c r="L218" s="38">
        <v>-0.41538461538461502</v>
      </c>
      <c r="M218" s="38">
        <v>0.24395604395604401</v>
      </c>
      <c r="N218" s="9">
        <v>0.22754491017964101</v>
      </c>
      <c r="O218" s="9">
        <v>0.45454545454545497</v>
      </c>
      <c r="P218" s="9">
        <v>0.69178082191780799</v>
      </c>
      <c r="Q218" s="42">
        <v>138</v>
      </c>
      <c r="R218" s="38">
        <v>4.7586206896551699</v>
      </c>
    </row>
    <row r="219" spans="1:18" ht="15.75" customHeight="1" x14ac:dyDescent="0.2">
      <c r="A219" s="7">
        <v>216</v>
      </c>
      <c r="B219" s="7" t="s">
        <v>134</v>
      </c>
      <c r="C219" s="7" t="s">
        <v>169</v>
      </c>
      <c r="D219" s="7" t="s">
        <v>655</v>
      </c>
      <c r="E219" s="7" t="s">
        <v>656</v>
      </c>
      <c r="F219" s="8">
        <v>167</v>
      </c>
      <c r="G219" s="9">
        <v>0.12622826908541199</v>
      </c>
      <c r="H219" s="8">
        <v>66</v>
      </c>
      <c r="I219" s="8">
        <v>56</v>
      </c>
      <c r="J219" s="38">
        <v>5.9880239520958096E-3</v>
      </c>
      <c r="K219" s="38">
        <v>0.19696969696969699</v>
      </c>
      <c r="L219" s="38">
        <v>-0.14285714285714299</v>
      </c>
      <c r="M219" s="38">
        <v>0.33982683982683998</v>
      </c>
      <c r="N219" s="9">
        <v>0.31137724550898199</v>
      </c>
      <c r="O219" s="9">
        <v>0.32432432432432401</v>
      </c>
      <c r="P219" s="9">
        <v>0.59868421052631604</v>
      </c>
      <c r="Q219" s="42">
        <v>121</v>
      </c>
      <c r="R219" s="38">
        <v>2.6304347826086998</v>
      </c>
    </row>
    <row r="220" spans="1:18" ht="15.75" customHeight="1" x14ac:dyDescent="0.2">
      <c r="A220" s="7">
        <v>217</v>
      </c>
      <c r="B220" s="7" t="s">
        <v>136</v>
      </c>
      <c r="C220" s="7" t="s">
        <v>149</v>
      </c>
      <c r="D220" s="7" t="s">
        <v>657</v>
      </c>
      <c r="E220" s="7" t="s">
        <v>658</v>
      </c>
      <c r="F220" s="8">
        <v>167</v>
      </c>
      <c r="G220" s="9">
        <v>0.121454545454546</v>
      </c>
      <c r="H220" s="8">
        <v>69</v>
      </c>
      <c r="I220" s="8">
        <v>66</v>
      </c>
      <c r="J220" s="38">
        <v>0.18562874251497</v>
      </c>
      <c r="K220" s="38">
        <v>0.26086956521739102</v>
      </c>
      <c r="L220" s="38">
        <v>1.5151515151515201E-2</v>
      </c>
      <c r="M220" s="38">
        <v>0.24571805006587599</v>
      </c>
      <c r="N220" s="9">
        <v>0.20359281437125801</v>
      </c>
      <c r="O220" s="9">
        <v>0.32727272727272699</v>
      </c>
      <c r="P220" s="9">
        <v>0.66225165562913901</v>
      </c>
      <c r="Q220" s="42">
        <v>130</v>
      </c>
      <c r="R220" s="38">
        <v>3.51351351351351</v>
      </c>
    </row>
    <row r="221" spans="1:18" ht="15.75" customHeight="1" x14ac:dyDescent="0.2">
      <c r="A221" s="7">
        <v>218</v>
      </c>
      <c r="B221" s="7" t="s">
        <v>136</v>
      </c>
      <c r="C221" s="7" t="s">
        <v>146</v>
      </c>
      <c r="D221" s="7" t="s">
        <v>659</v>
      </c>
      <c r="E221" s="7" t="s">
        <v>660</v>
      </c>
      <c r="F221" s="8">
        <v>167</v>
      </c>
      <c r="G221" s="9">
        <v>9.9463966646813604E-2</v>
      </c>
      <c r="H221" s="8">
        <v>66</v>
      </c>
      <c r="I221" s="8">
        <v>55</v>
      </c>
      <c r="J221" s="38">
        <v>0.13772455089820401</v>
      </c>
      <c r="K221" s="38">
        <v>0.34848484848484901</v>
      </c>
      <c r="L221" s="38">
        <v>-0.109090909090909</v>
      </c>
      <c r="M221" s="38">
        <v>0.45757575757575802</v>
      </c>
      <c r="N221" s="9">
        <v>0.20359281437125801</v>
      </c>
      <c r="O221" s="9">
        <v>0.469387755102041</v>
      </c>
      <c r="P221" s="9">
        <v>0.69281045751633996</v>
      </c>
      <c r="Q221" s="42">
        <v>146</v>
      </c>
      <c r="R221" s="38">
        <v>6.9523809523809499</v>
      </c>
    </row>
    <row r="222" spans="1:18" ht="15.75" customHeight="1" x14ac:dyDescent="0.2">
      <c r="A222" s="7">
        <v>219</v>
      </c>
      <c r="B222" s="7" t="s">
        <v>134</v>
      </c>
      <c r="C222" s="7" t="s">
        <v>135</v>
      </c>
      <c r="D222" s="7" t="s">
        <v>661</v>
      </c>
      <c r="E222" s="7" t="s">
        <v>662</v>
      </c>
      <c r="F222" s="8">
        <v>167</v>
      </c>
      <c r="G222" s="9">
        <v>0.17341640706126699</v>
      </c>
      <c r="H222" s="8">
        <v>63</v>
      </c>
      <c r="I222" s="8">
        <v>55</v>
      </c>
      <c r="J222" s="38">
        <v>0.35329341317365298</v>
      </c>
      <c r="K222" s="38">
        <v>0.44444444444444398</v>
      </c>
      <c r="L222" s="38">
        <v>0.30909090909090903</v>
      </c>
      <c r="M222" s="38">
        <v>0.135353535353535</v>
      </c>
      <c r="N222" s="9">
        <v>0.40718562874251502</v>
      </c>
      <c r="O222" s="9">
        <v>0.19780219780219799</v>
      </c>
      <c r="P222" s="9">
        <v>0.41447368421052599</v>
      </c>
      <c r="Q222" s="42">
        <v>138</v>
      </c>
      <c r="R222" s="38">
        <v>4.7586206896551699</v>
      </c>
    </row>
    <row r="223" spans="1:18" ht="15.75" customHeight="1" x14ac:dyDescent="0.2">
      <c r="A223" s="7">
        <v>220</v>
      </c>
      <c r="B223" s="7" t="s">
        <v>136</v>
      </c>
      <c r="C223" s="7" t="s">
        <v>141</v>
      </c>
      <c r="D223" s="7" t="s">
        <v>663</v>
      </c>
      <c r="E223" s="7" t="s">
        <v>664</v>
      </c>
      <c r="F223" s="8">
        <v>166</v>
      </c>
      <c r="G223" s="9">
        <v>0.130605822187254</v>
      </c>
      <c r="H223" s="8">
        <v>74</v>
      </c>
      <c r="I223" s="8">
        <v>52</v>
      </c>
      <c r="J223" s="38">
        <v>0.240963855421687</v>
      </c>
      <c r="K223" s="38">
        <v>0.32432432432432401</v>
      </c>
      <c r="L223" s="38">
        <v>0.21153846153846201</v>
      </c>
      <c r="M223" s="38">
        <v>0.112785862785863</v>
      </c>
      <c r="N223" s="9">
        <v>0.30120481927710901</v>
      </c>
      <c r="O223" s="9">
        <v>0.42592592592592599</v>
      </c>
      <c r="P223" s="9">
        <v>0.69078947368421095</v>
      </c>
      <c r="Q223" s="42">
        <v>129</v>
      </c>
      <c r="R223" s="38">
        <v>3.48648648648649</v>
      </c>
    </row>
    <row r="224" spans="1:18" ht="15.75" customHeight="1" x14ac:dyDescent="0.2">
      <c r="A224" s="7">
        <v>221</v>
      </c>
      <c r="B224" s="7" t="s">
        <v>136</v>
      </c>
      <c r="C224" s="7" t="s">
        <v>194</v>
      </c>
      <c r="D224" s="7" t="s">
        <v>665</v>
      </c>
      <c r="E224" s="7" t="s">
        <v>666</v>
      </c>
      <c r="F224" s="8">
        <v>166</v>
      </c>
      <c r="G224" s="9">
        <v>0.119424460431655</v>
      </c>
      <c r="H224" s="8">
        <v>58</v>
      </c>
      <c r="I224" s="8">
        <v>65</v>
      </c>
      <c r="J224" s="38">
        <v>-0.40963855421686801</v>
      </c>
      <c r="K224" s="38">
        <v>-0.27586206896551702</v>
      </c>
      <c r="L224" s="38">
        <v>-0.43076923076923102</v>
      </c>
      <c r="M224" s="38">
        <v>0.154907161803714</v>
      </c>
      <c r="N224" s="9">
        <v>0.20481927710843401</v>
      </c>
      <c r="O224" s="9">
        <v>0.29787234042553201</v>
      </c>
      <c r="P224" s="9">
        <v>0.70394736842105299</v>
      </c>
      <c r="Q224" s="42">
        <v>132</v>
      </c>
      <c r="R224" s="38">
        <v>3.8823529411764701</v>
      </c>
    </row>
    <row r="225" spans="1:18" ht="15.75" customHeight="1" x14ac:dyDescent="0.2">
      <c r="A225" s="7">
        <v>222</v>
      </c>
      <c r="B225" s="7" t="s">
        <v>134</v>
      </c>
      <c r="C225" s="7" t="s">
        <v>135</v>
      </c>
      <c r="D225" s="7" t="s">
        <v>667</v>
      </c>
      <c r="E225" s="7" t="s">
        <v>668</v>
      </c>
      <c r="F225" s="8">
        <v>166</v>
      </c>
      <c r="G225" s="9">
        <v>0.20418204182041799</v>
      </c>
      <c r="H225" s="8">
        <v>61</v>
      </c>
      <c r="I225" s="8">
        <v>45</v>
      </c>
      <c r="J225" s="38">
        <v>0.33132530120481901</v>
      </c>
      <c r="K225" s="38">
        <v>0.44262295081967201</v>
      </c>
      <c r="L225" s="38">
        <v>0.24444444444444399</v>
      </c>
      <c r="M225" s="38">
        <v>0.19817850637522799</v>
      </c>
      <c r="N225" s="9">
        <v>0.391566265060241</v>
      </c>
      <c r="O225" s="9">
        <v>0.125</v>
      </c>
      <c r="P225" s="9">
        <v>0.27142857142857102</v>
      </c>
      <c r="Q225" s="42">
        <v>137</v>
      </c>
      <c r="R225" s="38">
        <v>4.7241379310344804</v>
      </c>
    </row>
    <row r="226" spans="1:18" ht="15.75" customHeight="1" x14ac:dyDescent="0.2">
      <c r="A226" s="7">
        <v>223</v>
      </c>
      <c r="B226" s="7" t="s">
        <v>134</v>
      </c>
      <c r="C226" s="7" t="s">
        <v>137</v>
      </c>
      <c r="D226" s="7" t="s">
        <v>669</v>
      </c>
      <c r="E226" s="7" t="s">
        <v>670</v>
      </c>
      <c r="F226" s="8">
        <v>166</v>
      </c>
      <c r="G226" s="9">
        <v>0.19036697247706399</v>
      </c>
      <c r="H226" s="8">
        <v>69</v>
      </c>
      <c r="I226" s="8">
        <v>59</v>
      </c>
      <c r="J226" s="38">
        <v>0.240963855421687</v>
      </c>
      <c r="K226" s="38">
        <v>0.405797101449275</v>
      </c>
      <c r="L226" s="38">
        <v>5.0847457627118703E-2</v>
      </c>
      <c r="M226" s="38">
        <v>0.35494964382215699</v>
      </c>
      <c r="N226" s="9">
        <v>0.313253012048193</v>
      </c>
      <c r="O226" s="9">
        <v>0.320754716981132</v>
      </c>
      <c r="P226" s="9">
        <v>0.556291390728477</v>
      </c>
      <c r="Q226" s="42">
        <v>111</v>
      </c>
      <c r="R226" s="38">
        <v>2.0181818181818199</v>
      </c>
    </row>
    <row r="227" spans="1:18" ht="15.75" customHeight="1" x14ac:dyDescent="0.2">
      <c r="A227" s="7">
        <v>224</v>
      </c>
      <c r="B227" s="7" t="s">
        <v>136</v>
      </c>
      <c r="C227" s="7" t="s">
        <v>166</v>
      </c>
      <c r="D227" s="7" t="s">
        <v>671</v>
      </c>
      <c r="E227" s="7" t="s">
        <v>672</v>
      </c>
      <c r="F227" s="8">
        <v>165</v>
      </c>
      <c r="G227" s="9">
        <v>0.13842281879194601</v>
      </c>
      <c r="H227" s="8">
        <v>73</v>
      </c>
      <c r="I227" s="8">
        <v>59</v>
      </c>
      <c r="J227" s="38">
        <v>-9.6969696969696997E-2</v>
      </c>
      <c r="K227" s="38">
        <v>2.7397260273972601E-2</v>
      </c>
      <c r="L227" s="38">
        <v>-0.28813559322033899</v>
      </c>
      <c r="M227" s="38">
        <v>0.31553285349431198</v>
      </c>
      <c r="N227" s="9">
        <v>0.22424242424242399</v>
      </c>
      <c r="O227" s="9">
        <v>0.38709677419354799</v>
      </c>
      <c r="P227" s="9">
        <v>0.67096774193548403</v>
      </c>
      <c r="Q227" s="42">
        <v>133</v>
      </c>
      <c r="R227" s="38">
        <v>4.15625</v>
      </c>
    </row>
    <row r="228" spans="1:18" ht="15.75" customHeight="1" x14ac:dyDescent="0.2">
      <c r="A228" s="7">
        <v>225</v>
      </c>
      <c r="B228" s="7" t="s">
        <v>134</v>
      </c>
      <c r="C228" s="7" t="s">
        <v>137</v>
      </c>
      <c r="D228" s="7" t="s">
        <v>673</v>
      </c>
      <c r="E228" s="7" t="s">
        <v>674</v>
      </c>
      <c r="F228" s="8">
        <v>164</v>
      </c>
      <c r="G228" s="9">
        <v>0.19025522041763299</v>
      </c>
      <c r="H228" s="8">
        <v>49</v>
      </c>
      <c r="I228" s="8">
        <v>74</v>
      </c>
      <c r="J228" s="38">
        <v>0.35975609756097598</v>
      </c>
      <c r="K228" s="38">
        <v>0.469387755102041</v>
      </c>
      <c r="L228" s="38">
        <v>0.24324324324324301</v>
      </c>
      <c r="M228" s="38">
        <v>0.226144511858798</v>
      </c>
      <c r="N228" s="9">
        <v>0.35975609756097598</v>
      </c>
      <c r="O228" s="9">
        <v>0.39805825242718501</v>
      </c>
      <c r="P228" s="9">
        <v>0.51677852348993303</v>
      </c>
      <c r="Q228" s="42">
        <v>117</v>
      </c>
      <c r="R228" s="38">
        <v>2.4893617021276602</v>
      </c>
    </row>
    <row r="229" spans="1:18" ht="15.75" customHeight="1" x14ac:dyDescent="0.2">
      <c r="A229" s="7">
        <v>226</v>
      </c>
      <c r="B229" s="7" t="s">
        <v>134</v>
      </c>
      <c r="C229" s="7" t="s">
        <v>145</v>
      </c>
      <c r="D229" s="7" t="s">
        <v>675</v>
      </c>
      <c r="E229" s="7" t="s">
        <v>676</v>
      </c>
      <c r="F229" s="8">
        <v>163</v>
      </c>
      <c r="G229" s="9">
        <v>0.139554794520548</v>
      </c>
      <c r="H229" s="8">
        <v>60</v>
      </c>
      <c r="I229" s="8">
        <v>63</v>
      </c>
      <c r="J229" s="38">
        <v>0.11656441717791401</v>
      </c>
      <c r="K229" s="38">
        <v>0.28333333333333299</v>
      </c>
      <c r="L229" s="38">
        <v>-0.158730158730159</v>
      </c>
      <c r="M229" s="38">
        <v>0.44206349206349199</v>
      </c>
      <c r="N229" s="9">
        <v>0.29447852760736198</v>
      </c>
      <c r="O229" s="9">
        <v>0.319148936170213</v>
      </c>
      <c r="P229" s="9">
        <v>0.608108108108108</v>
      </c>
      <c r="Q229" s="42">
        <v>130</v>
      </c>
      <c r="R229" s="38">
        <v>3.9393939393939399</v>
      </c>
    </row>
    <row r="230" spans="1:18" ht="15.75" customHeight="1" x14ac:dyDescent="0.2">
      <c r="A230" s="7">
        <v>227</v>
      </c>
      <c r="B230" s="7" t="s">
        <v>136</v>
      </c>
      <c r="C230" s="7" t="s">
        <v>141</v>
      </c>
      <c r="D230" s="7" t="s">
        <v>677</v>
      </c>
      <c r="E230" s="7" t="s">
        <v>678</v>
      </c>
      <c r="F230" s="8">
        <v>162</v>
      </c>
      <c r="G230" s="9">
        <v>0.17685589519650699</v>
      </c>
      <c r="H230" s="8">
        <v>77</v>
      </c>
      <c r="I230" s="8">
        <v>64</v>
      </c>
      <c r="J230" s="38">
        <v>0.19753086419753099</v>
      </c>
      <c r="K230" s="38">
        <v>0.37662337662337703</v>
      </c>
      <c r="L230" s="38">
        <v>7.8125E-2</v>
      </c>
      <c r="M230" s="38">
        <v>0.29849837662337703</v>
      </c>
      <c r="N230" s="9">
        <v>0.27160493827160498</v>
      </c>
      <c r="O230" s="9">
        <v>0.32</v>
      </c>
      <c r="P230" s="9">
        <v>0.52980132450331097</v>
      </c>
      <c r="Q230" s="42">
        <v>129</v>
      </c>
      <c r="R230" s="38">
        <v>3.9090909090909101</v>
      </c>
    </row>
    <row r="231" spans="1:18" ht="15.75" customHeight="1" x14ac:dyDescent="0.2">
      <c r="A231" s="7">
        <v>228</v>
      </c>
      <c r="B231" s="7" t="s">
        <v>134</v>
      </c>
      <c r="C231" s="7" t="s">
        <v>135</v>
      </c>
      <c r="D231" s="7" t="s">
        <v>679</v>
      </c>
      <c r="E231" s="7" t="s">
        <v>680</v>
      </c>
      <c r="F231" s="8">
        <v>162</v>
      </c>
      <c r="G231" s="9">
        <v>0.16804979253112001</v>
      </c>
      <c r="H231" s="8">
        <v>56</v>
      </c>
      <c r="I231" s="8">
        <v>50</v>
      </c>
      <c r="J231" s="38">
        <v>0.36419753086419798</v>
      </c>
      <c r="K231" s="38">
        <v>0.51785714285714302</v>
      </c>
      <c r="L231" s="38">
        <v>0.22</v>
      </c>
      <c r="M231" s="38">
        <v>0.29785714285714299</v>
      </c>
      <c r="N231" s="9">
        <v>0.35185185185185203</v>
      </c>
      <c r="O231" s="9">
        <v>9.6385542168674704E-2</v>
      </c>
      <c r="P231" s="9">
        <v>0.338028169014085</v>
      </c>
      <c r="Q231" s="42">
        <v>140</v>
      </c>
      <c r="R231" s="38">
        <v>6.3636363636363598</v>
      </c>
    </row>
    <row r="232" spans="1:18" ht="15.75" customHeight="1" x14ac:dyDescent="0.2">
      <c r="A232" s="7">
        <v>229</v>
      </c>
      <c r="B232" s="7" t="s">
        <v>136</v>
      </c>
      <c r="C232" s="7" t="s">
        <v>204</v>
      </c>
      <c r="D232" s="7" t="s">
        <v>681</v>
      </c>
      <c r="E232" s="7" t="s">
        <v>682</v>
      </c>
      <c r="F232" s="8">
        <v>162</v>
      </c>
      <c r="G232" s="9">
        <v>0.13728813559322001</v>
      </c>
      <c r="H232" s="8">
        <v>57</v>
      </c>
      <c r="I232" s="8">
        <v>69</v>
      </c>
      <c r="J232" s="38">
        <v>-0.17283950617284</v>
      </c>
      <c r="K232" s="38">
        <v>3.5087719298245598E-2</v>
      </c>
      <c r="L232" s="38">
        <v>-0.33333333333333298</v>
      </c>
      <c r="M232" s="38">
        <v>0.36842105263157898</v>
      </c>
      <c r="N232" s="9">
        <v>0.296296296296296</v>
      </c>
      <c r="O232" s="9">
        <v>0.38938053097345099</v>
      </c>
      <c r="P232" s="9">
        <v>0.67123287671232901</v>
      </c>
      <c r="Q232" s="42">
        <v>125</v>
      </c>
      <c r="R232" s="38">
        <v>3.3783783783783798</v>
      </c>
    </row>
    <row r="233" spans="1:18" ht="15.75" customHeight="1" x14ac:dyDescent="0.2">
      <c r="A233" s="7">
        <v>230</v>
      </c>
      <c r="B233" s="7" t="s">
        <v>152</v>
      </c>
      <c r="C233" s="7" t="s">
        <v>172</v>
      </c>
      <c r="D233" s="7" t="s">
        <v>683</v>
      </c>
      <c r="E233" s="7" t="s">
        <v>684</v>
      </c>
      <c r="F233" s="8">
        <v>162</v>
      </c>
      <c r="G233" s="9">
        <v>0.15326395458845801</v>
      </c>
      <c r="H233" s="8">
        <v>59</v>
      </c>
      <c r="I233" s="8">
        <v>74</v>
      </c>
      <c r="J233" s="38">
        <v>-0.16049382716049401</v>
      </c>
      <c r="K233" s="38">
        <v>-3.3898305084745797E-2</v>
      </c>
      <c r="L233" s="38">
        <v>-0.31081081081081102</v>
      </c>
      <c r="M233" s="38">
        <v>0.27691250572606502</v>
      </c>
      <c r="N233" s="9">
        <v>0.234567901234568</v>
      </c>
      <c r="O233" s="9">
        <v>0.233009708737864</v>
      </c>
      <c r="P233" s="9">
        <v>0.50694444444444398</v>
      </c>
      <c r="Q233" s="42">
        <v>122</v>
      </c>
      <c r="R233" s="38">
        <v>3.05</v>
      </c>
    </row>
    <row r="234" spans="1:18" ht="15.75" customHeight="1" x14ac:dyDescent="0.2">
      <c r="A234" s="7">
        <v>231</v>
      </c>
      <c r="B234" s="7" t="s">
        <v>152</v>
      </c>
      <c r="C234" s="7" t="s">
        <v>178</v>
      </c>
      <c r="D234" s="7" t="s">
        <v>685</v>
      </c>
      <c r="E234" s="7" t="s">
        <v>686</v>
      </c>
      <c r="F234" s="8">
        <v>162</v>
      </c>
      <c r="G234" s="9">
        <v>0.13682432432432401</v>
      </c>
      <c r="H234" s="8">
        <v>56</v>
      </c>
      <c r="I234" s="8">
        <v>56</v>
      </c>
      <c r="J234" s="38">
        <v>-0.32098765432098803</v>
      </c>
      <c r="K234" s="38">
        <v>-0.107142857142857</v>
      </c>
      <c r="L234" s="38">
        <v>-0.51785714285714302</v>
      </c>
      <c r="M234" s="38">
        <v>0.41071428571428598</v>
      </c>
      <c r="N234" s="9">
        <v>0.19753086419753099</v>
      </c>
      <c r="O234" s="9">
        <v>0.39215686274509798</v>
      </c>
      <c r="P234" s="9">
        <v>0.65540540540540504</v>
      </c>
      <c r="Q234" s="42">
        <v>125</v>
      </c>
      <c r="R234" s="38">
        <v>3.3783783783783798</v>
      </c>
    </row>
    <row r="235" spans="1:18" ht="15.75" customHeight="1" x14ac:dyDescent="0.2">
      <c r="A235" s="7">
        <v>232</v>
      </c>
      <c r="B235" s="7" t="s">
        <v>152</v>
      </c>
      <c r="C235" s="7" t="s">
        <v>172</v>
      </c>
      <c r="D235" s="7" t="s">
        <v>687</v>
      </c>
      <c r="E235" s="7" t="s">
        <v>688</v>
      </c>
      <c r="F235" s="8">
        <v>161</v>
      </c>
      <c r="G235" s="9">
        <v>0.14073426573426601</v>
      </c>
      <c r="H235" s="8">
        <v>68</v>
      </c>
      <c r="I235" s="8">
        <v>56</v>
      </c>
      <c r="J235" s="38">
        <v>-9.9378881987577605E-2</v>
      </c>
      <c r="K235" s="38">
        <v>0.13235294117647101</v>
      </c>
      <c r="L235" s="38">
        <v>-0.23214285714285701</v>
      </c>
      <c r="M235" s="38">
        <v>0.36449579831932799</v>
      </c>
      <c r="N235" s="9">
        <v>0.27950310559006197</v>
      </c>
      <c r="O235" s="9">
        <v>0.28431372549019601</v>
      </c>
      <c r="P235" s="9">
        <v>0.58783783783783805</v>
      </c>
      <c r="Q235" s="42">
        <v>111</v>
      </c>
      <c r="R235" s="38">
        <v>2.2200000000000002</v>
      </c>
    </row>
    <row r="236" spans="1:18" ht="15.75" customHeight="1" x14ac:dyDescent="0.2">
      <c r="A236" s="7">
        <v>233</v>
      </c>
      <c r="B236" s="7" t="s">
        <v>134</v>
      </c>
      <c r="C236" s="7" t="s">
        <v>150</v>
      </c>
      <c r="D236" s="7" t="s">
        <v>689</v>
      </c>
      <c r="E236" s="7" t="s">
        <v>690</v>
      </c>
      <c r="F236" s="8">
        <v>161</v>
      </c>
      <c r="G236" s="9">
        <v>0.117690058479532</v>
      </c>
      <c r="H236" s="8">
        <v>58</v>
      </c>
      <c r="I236" s="8">
        <v>66</v>
      </c>
      <c r="J236" s="38">
        <v>0.25465838509316802</v>
      </c>
      <c r="K236" s="38">
        <v>0.48275862068965503</v>
      </c>
      <c r="L236" s="38">
        <v>4.5454545454545497E-2</v>
      </c>
      <c r="M236" s="38">
        <v>0.43730407523511</v>
      </c>
      <c r="N236" s="9">
        <v>0.19875776397515499</v>
      </c>
      <c r="O236" s="9">
        <v>0.44</v>
      </c>
      <c r="P236" s="9">
        <v>0.71812080536912803</v>
      </c>
      <c r="Q236" s="42">
        <v>127</v>
      </c>
      <c r="R236" s="38">
        <v>3.7352941176470602</v>
      </c>
    </row>
    <row r="237" spans="1:18" ht="15.75" customHeight="1" x14ac:dyDescent="0.2">
      <c r="A237" s="7">
        <v>234</v>
      </c>
      <c r="B237" s="7" t="s">
        <v>134</v>
      </c>
      <c r="C237" s="7" t="s">
        <v>148</v>
      </c>
      <c r="D237" s="7" t="s">
        <v>691</v>
      </c>
      <c r="E237" s="7" t="s">
        <v>692</v>
      </c>
      <c r="F237" s="8">
        <v>161</v>
      </c>
      <c r="G237" s="9">
        <v>0.157998037291462</v>
      </c>
      <c r="H237" s="8">
        <v>71</v>
      </c>
      <c r="I237" s="8">
        <v>65</v>
      </c>
      <c r="J237" s="38">
        <v>0.217391304347826</v>
      </c>
      <c r="K237" s="38">
        <v>0.26760563380281699</v>
      </c>
      <c r="L237" s="38">
        <v>9.2307692307692299E-2</v>
      </c>
      <c r="M237" s="38">
        <v>0.17529794149512501</v>
      </c>
      <c r="N237" s="9">
        <v>0.34782608695652201</v>
      </c>
      <c r="O237" s="9">
        <v>0.23711340206185599</v>
      </c>
      <c r="P237" s="9">
        <v>0.445945945945946</v>
      </c>
      <c r="Q237" s="42">
        <v>120</v>
      </c>
      <c r="R237" s="38">
        <v>2.9268292682926802</v>
      </c>
    </row>
    <row r="238" spans="1:18" ht="15.75" customHeight="1" x14ac:dyDescent="0.2">
      <c r="A238" s="7">
        <v>235</v>
      </c>
      <c r="B238" s="7" t="s">
        <v>136</v>
      </c>
      <c r="C238" s="7" t="s">
        <v>149</v>
      </c>
      <c r="D238" s="7" t="s">
        <v>693</v>
      </c>
      <c r="E238" s="7" t="s">
        <v>694</v>
      </c>
      <c r="F238" s="8">
        <v>161</v>
      </c>
      <c r="G238" s="9">
        <v>0.143238434163701</v>
      </c>
      <c r="H238" s="8">
        <v>59</v>
      </c>
      <c r="I238" s="8">
        <v>65</v>
      </c>
      <c r="J238" s="38">
        <v>0.105590062111801</v>
      </c>
      <c r="K238" s="38">
        <v>0.44067796610169502</v>
      </c>
      <c r="L238" s="38">
        <v>-0.246153846153846</v>
      </c>
      <c r="M238" s="38">
        <v>0.68683181225554102</v>
      </c>
      <c r="N238" s="9">
        <v>0.24844720496894401</v>
      </c>
      <c r="O238" s="9">
        <v>0.41747572815534001</v>
      </c>
      <c r="P238" s="9">
        <v>0.65359477124182996</v>
      </c>
      <c r="Q238" s="42">
        <v>125</v>
      </c>
      <c r="R238" s="38">
        <v>3.4722222222222201</v>
      </c>
    </row>
    <row r="239" spans="1:18" ht="15.75" customHeight="1" x14ac:dyDescent="0.2">
      <c r="A239" s="7">
        <v>236</v>
      </c>
      <c r="B239" s="7" t="s">
        <v>134</v>
      </c>
      <c r="C239" s="7" t="s">
        <v>135</v>
      </c>
      <c r="D239" s="7" t="s">
        <v>695</v>
      </c>
      <c r="E239" s="7" t="s">
        <v>696</v>
      </c>
      <c r="F239" s="8">
        <v>161</v>
      </c>
      <c r="G239" s="9">
        <v>0.17711771177117699</v>
      </c>
      <c r="H239" s="8">
        <v>57</v>
      </c>
      <c r="I239" s="8">
        <v>60</v>
      </c>
      <c r="J239" s="38">
        <v>0.19875776397515499</v>
      </c>
      <c r="K239" s="38">
        <v>0.28070175438596501</v>
      </c>
      <c r="L239" s="38">
        <v>6.6666666666666693E-2</v>
      </c>
      <c r="M239" s="38">
        <v>0.214035087719298</v>
      </c>
      <c r="N239" s="9">
        <v>0.341614906832298</v>
      </c>
      <c r="O239" s="9">
        <v>0.16666666666666699</v>
      </c>
      <c r="P239" s="9">
        <v>0.43356643356643398</v>
      </c>
      <c r="Q239" s="42">
        <v>136</v>
      </c>
      <c r="R239" s="38">
        <v>5.44</v>
      </c>
    </row>
    <row r="240" spans="1:18" ht="15.75" customHeight="1" x14ac:dyDescent="0.2">
      <c r="A240" s="7">
        <v>237</v>
      </c>
      <c r="B240" s="7" t="s">
        <v>136</v>
      </c>
      <c r="C240" s="7" t="s">
        <v>138</v>
      </c>
      <c r="D240" s="7" t="s">
        <v>697</v>
      </c>
      <c r="E240" s="7" t="s">
        <v>698</v>
      </c>
      <c r="F240" s="8">
        <v>160</v>
      </c>
      <c r="G240" s="9">
        <v>0.132560066280033</v>
      </c>
      <c r="H240" s="8">
        <v>69</v>
      </c>
      <c r="I240" s="8">
        <v>53</v>
      </c>
      <c r="J240" s="38">
        <v>0.44374999999999998</v>
      </c>
      <c r="K240" s="38">
        <v>0.76811594202898603</v>
      </c>
      <c r="L240" s="38">
        <v>0.18867924528301899</v>
      </c>
      <c r="M240" s="38">
        <v>0.57943669674596698</v>
      </c>
      <c r="N240" s="9">
        <v>0.21875</v>
      </c>
      <c r="O240" s="9">
        <v>0.44</v>
      </c>
      <c r="P240" s="9">
        <v>0.68055555555555602</v>
      </c>
      <c r="Q240" s="42">
        <v>128</v>
      </c>
      <c r="R240" s="38">
        <v>4</v>
      </c>
    </row>
    <row r="241" spans="1:18" ht="15.75" customHeight="1" x14ac:dyDescent="0.2">
      <c r="A241" s="7">
        <v>238</v>
      </c>
      <c r="B241" s="7" t="s">
        <v>152</v>
      </c>
      <c r="C241" s="7" t="s">
        <v>193</v>
      </c>
      <c r="D241" s="7" t="s">
        <v>699</v>
      </c>
      <c r="E241" s="7" t="s">
        <v>700</v>
      </c>
      <c r="F241" s="8">
        <v>160</v>
      </c>
      <c r="G241" s="9">
        <v>0.14349775784753399</v>
      </c>
      <c r="H241" s="8">
        <v>63</v>
      </c>
      <c r="I241" s="8">
        <v>56</v>
      </c>
      <c r="J241" s="38">
        <v>-6.8750000000000006E-2</v>
      </c>
      <c r="K241" s="38">
        <v>0.11111111111111099</v>
      </c>
      <c r="L241" s="38">
        <v>-0.19642857142857101</v>
      </c>
      <c r="M241" s="38">
        <v>0.307539682539683</v>
      </c>
      <c r="N241" s="9">
        <v>0.24374999999999999</v>
      </c>
      <c r="O241" s="9">
        <v>0.24489795918367399</v>
      </c>
      <c r="P241" s="9">
        <v>0.57046979865771796</v>
      </c>
      <c r="Q241" s="42">
        <v>126</v>
      </c>
      <c r="R241" s="38">
        <v>3.7058823529411802</v>
      </c>
    </row>
    <row r="242" spans="1:18" ht="15.75" customHeight="1" x14ac:dyDescent="0.2">
      <c r="A242" s="7">
        <v>239</v>
      </c>
      <c r="B242" s="7" t="s">
        <v>152</v>
      </c>
      <c r="C242" s="7" t="s">
        <v>195</v>
      </c>
      <c r="D242" s="7" t="s">
        <v>701</v>
      </c>
      <c r="E242" s="7" t="s">
        <v>702</v>
      </c>
      <c r="F242" s="8">
        <v>159</v>
      </c>
      <c r="G242" s="9">
        <v>0.122779922779923</v>
      </c>
      <c r="H242" s="8">
        <v>52</v>
      </c>
      <c r="I242" s="8">
        <v>65</v>
      </c>
      <c r="J242" s="38">
        <v>-0.35849056603773599</v>
      </c>
      <c r="K242" s="38">
        <v>-5.7692307692307702E-2</v>
      </c>
      <c r="L242" s="38">
        <v>-0.6</v>
      </c>
      <c r="M242" s="38">
        <v>0.54230769230769205</v>
      </c>
      <c r="N242" s="9">
        <v>0.138364779874214</v>
      </c>
      <c r="O242" s="9">
        <v>0.40659340659340698</v>
      </c>
      <c r="P242" s="9">
        <v>0.63448275862069003</v>
      </c>
      <c r="Q242" s="42">
        <v>125</v>
      </c>
      <c r="R242" s="38">
        <v>3.6764705882352899</v>
      </c>
    </row>
    <row r="243" spans="1:18" ht="15.75" customHeight="1" x14ac:dyDescent="0.2">
      <c r="A243" s="7">
        <v>240</v>
      </c>
      <c r="B243" s="7" t="s">
        <v>136</v>
      </c>
      <c r="C243" s="7" t="s">
        <v>164</v>
      </c>
      <c r="D243" s="7" t="s">
        <v>703</v>
      </c>
      <c r="E243" s="7" t="s">
        <v>704</v>
      </c>
      <c r="F243" s="8">
        <v>158</v>
      </c>
      <c r="G243" s="9">
        <v>0.131120331950208</v>
      </c>
      <c r="H243" s="8">
        <v>61</v>
      </c>
      <c r="I243" s="8">
        <v>59</v>
      </c>
      <c r="J243" s="38">
        <v>-4.4303797468354403E-2</v>
      </c>
      <c r="K243" s="38">
        <v>8.1967213114754106E-2</v>
      </c>
      <c r="L243" s="38">
        <v>-0.20338983050847501</v>
      </c>
      <c r="M243" s="38">
        <v>0.285357043623229</v>
      </c>
      <c r="N243" s="9">
        <v>0.221518987341772</v>
      </c>
      <c r="O243" s="9">
        <v>0.473118279569893</v>
      </c>
      <c r="P243" s="9">
        <v>0.67375886524822703</v>
      </c>
      <c r="Q243" s="42">
        <v>134</v>
      </c>
      <c r="R243" s="38">
        <v>5.5833333333333304</v>
      </c>
    </row>
    <row r="244" spans="1:18" ht="15.75" customHeight="1" x14ac:dyDescent="0.2">
      <c r="A244" s="7">
        <v>241</v>
      </c>
      <c r="B244" s="7" t="s">
        <v>152</v>
      </c>
      <c r="C244" s="7" t="s">
        <v>170</v>
      </c>
      <c r="D244" s="7" t="s">
        <v>705</v>
      </c>
      <c r="E244" s="7" t="s">
        <v>706</v>
      </c>
      <c r="F244" s="8">
        <v>158</v>
      </c>
      <c r="G244" s="9">
        <v>0.13775065387968599</v>
      </c>
      <c r="H244" s="8">
        <v>57</v>
      </c>
      <c r="I244" s="8">
        <v>58</v>
      </c>
      <c r="J244" s="38">
        <v>-0.19620253164557</v>
      </c>
      <c r="K244" s="38">
        <v>-7.0175438596491196E-2</v>
      </c>
      <c r="L244" s="38">
        <v>-0.37931034482758602</v>
      </c>
      <c r="M244" s="38">
        <v>0.30913490623109502</v>
      </c>
      <c r="N244" s="9">
        <v>0.183544303797468</v>
      </c>
      <c r="O244" s="9">
        <v>0.27551020408163301</v>
      </c>
      <c r="P244" s="9">
        <v>0.641891891891892</v>
      </c>
      <c r="Q244" s="42">
        <v>118</v>
      </c>
      <c r="R244" s="38">
        <v>2.95</v>
      </c>
    </row>
    <row r="245" spans="1:18" ht="15.75" customHeight="1" x14ac:dyDescent="0.2">
      <c r="A245" s="7">
        <v>242</v>
      </c>
      <c r="B245" s="7" t="s">
        <v>152</v>
      </c>
      <c r="C245" s="7" t="s">
        <v>183</v>
      </c>
      <c r="D245" s="7" t="s">
        <v>707</v>
      </c>
      <c r="E245" s="7" t="s">
        <v>708</v>
      </c>
      <c r="F245" s="8">
        <v>158</v>
      </c>
      <c r="G245" s="9">
        <v>0.14589104339796899</v>
      </c>
      <c r="H245" s="8">
        <v>54</v>
      </c>
      <c r="I245" s="8">
        <v>56</v>
      </c>
      <c r="J245" s="38">
        <v>1.8987341772151899E-2</v>
      </c>
      <c r="K245" s="38">
        <v>9.2592592592592601E-2</v>
      </c>
      <c r="L245" s="38">
        <v>-0.160714285714286</v>
      </c>
      <c r="M245" s="38">
        <v>0.25330687830687798</v>
      </c>
      <c r="N245" s="9">
        <v>0.39873417721519</v>
      </c>
      <c r="O245" s="9">
        <v>0.28409090909090901</v>
      </c>
      <c r="P245" s="9">
        <v>0.40875912408759102</v>
      </c>
      <c r="Q245" s="42">
        <v>123</v>
      </c>
      <c r="R245" s="38">
        <v>3.5142857142857098</v>
      </c>
    </row>
    <row r="246" spans="1:18" ht="15.75" customHeight="1" x14ac:dyDescent="0.2">
      <c r="A246" s="7">
        <v>243</v>
      </c>
      <c r="B246" s="7" t="s">
        <v>134</v>
      </c>
      <c r="C246" s="7" t="s">
        <v>147</v>
      </c>
      <c r="D246" s="7" t="s">
        <v>709</v>
      </c>
      <c r="E246" s="7" t="s">
        <v>710</v>
      </c>
      <c r="F246" s="8">
        <v>158</v>
      </c>
      <c r="G246" s="9">
        <v>0.11583577712610001</v>
      </c>
      <c r="H246" s="8">
        <v>48</v>
      </c>
      <c r="I246" s="8">
        <v>70</v>
      </c>
      <c r="J246" s="38">
        <v>-6.3291139240506306E-2</v>
      </c>
      <c r="K246" s="38">
        <v>0.22916666666666699</v>
      </c>
      <c r="L246" s="38">
        <v>-0.22857142857142901</v>
      </c>
      <c r="M246" s="38">
        <v>0.457738095238095</v>
      </c>
      <c r="N246" s="9">
        <v>0.30379746835443</v>
      </c>
      <c r="O246" s="9">
        <v>0.35087719298245601</v>
      </c>
      <c r="P246" s="9">
        <v>0.65306122448979598</v>
      </c>
      <c r="Q246" s="42">
        <v>119</v>
      </c>
      <c r="R246" s="38">
        <v>3.0512820512820502</v>
      </c>
    </row>
    <row r="247" spans="1:18" ht="15.75" customHeight="1" x14ac:dyDescent="0.2">
      <c r="A247" s="7">
        <v>244</v>
      </c>
      <c r="B247" s="7" t="s">
        <v>134</v>
      </c>
      <c r="C247" s="7" t="s">
        <v>192</v>
      </c>
      <c r="D247" s="7" t="s">
        <v>711</v>
      </c>
      <c r="E247" s="7" t="s">
        <v>712</v>
      </c>
      <c r="F247" s="8">
        <v>157</v>
      </c>
      <c r="G247" s="9">
        <v>0.11984732824427501</v>
      </c>
      <c r="H247" s="8">
        <v>74</v>
      </c>
      <c r="I247" s="8">
        <v>46</v>
      </c>
      <c r="J247" s="38">
        <v>0.184713375796178</v>
      </c>
      <c r="K247" s="38">
        <v>0.337837837837838</v>
      </c>
      <c r="L247" s="38">
        <v>0</v>
      </c>
      <c r="M247" s="38">
        <v>0.337837837837838</v>
      </c>
      <c r="N247" s="9">
        <v>0.25477707006369399</v>
      </c>
      <c r="O247" s="9">
        <v>0.38144329896907198</v>
      </c>
      <c r="P247" s="9">
        <v>0.67586206896551704</v>
      </c>
      <c r="Q247" s="42">
        <v>123</v>
      </c>
      <c r="R247" s="38">
        <v>3.6176470588235299</v>
      </c>
    </row>
    <row r="248" spans="1:18" ht="15.75" customHeight="1" x14ac:dyDescent="0.2">
      <c r="A248" s="7">
        <v>245</v>
      </c>
      <c r="B248" s="7" t="s">
        <v>136</v>
      </c>
      <c r="C248" s="7" t="s">
        <v>141</v>
      </c>
      <c r="D248" s="7" t="s">
        <v>713</v>
      </c>
      <c r="E248" s="7" t="s">
        <v>714</v>
      </c>
      <c r="F248" s="8">
        <v>157</v>
      </c>
      <c r="G248" s="9">
        <v>0.13464837049742701</v>
      </c>
      <c r="H248" s="8">
        <v>62</v>
      </c>
      <c r="I248" s="8">
        <v>66</v>
      </c>
      <c r="J248" s="38">
        <v>0.12738853503184699</v>
      </c>
      <c r="K248" s="38">
        <v>0.32258064516128998</v>
      </c>
      <c r="L248" s="38">
        <v>-4.5454545454545497E-2</v>
      </c>
      <c r="M248" s="38">
        <v>0.36803519061583601</v>
      </c>
      <c r="N248" s="9">
        <v>0.31210191082802602</v>
      </c>
      <c r="O248" s="9">
        <v>0.35922330097087402</v>
      </c>
      <c r="P248" s="9">
        <v>0.70138888888888895</v>
      </c>
      <c r="Q248" s="42">
        <v>117</v>
      </c>
      <c r="R248" s="38">
        <v>2.9249999999999998</v>
      </c>
    </row>
    <row r="249" spans="1:18" ht="15.75" customHeight="1" x14ac:dyDescent="0.2">
      <c r="A249" s="7">
        <v>246</v>
      </c>
      <c r="B249" s="7" t="s">
        <v>136</v>
      </c>
      <c r="C249" s="7" t="s">
        <v>141</v>
      </c>
      <c r="D249" s="7" t="s">
        <v>715</v>
      </c>
      <c r="E249" s="7" t="s">
        <v>716</v>
      </c>
      <c r="F249" s="8">
        <v>156</v>
      </c>
      <c r="G249" s="9">
        <v>0.121495327102804</v>
      </c>
      <c r="H249" s="8">
        <v>60</v>
      </c>
      <c r="I249" s="8">
        <v>60</v>
      </c>
      <c r="J249" s="38">
        <v>3.8461538461538498E-2</v>
      </c>
      <c r="K249" s="38">
        <v>0.28333333333333299</v>
      </c>
      <c r="L249" s="38">
        <v>-0.233333333333333</v>
      </c>
      <c r="M249" s="38">
        <v>0.51666666666666705</v>
      </c>
      <c r="N249" s="9">
        <v>0.269230769230769</v>
      </c>
      <c r="O249" s="9">
        <v>0.41346153846153799</v>
      </c>
      <c r="P249" s="9">
        <v>0.70547945205479501</v>
      </c>
      <c r="Q249" s="42">
        <v>113</v>
      </c>
      <c r="R249" s="38">
        <v>2.6279069767441898</v>
      </c>
    </row>
    <row r="250" spans="1:18" ht="15.75" customHeight="1" x14ac:dyDescent="0.2">
      <c r="A250" s="7">
        <v>247</v>
      </c>
      <c r="B250" s="7" t="s">
        <v>134</v>
      </c>
      <c r="C250" s="7" t="s">
        <v>184</v>
      </c>
      <c r="D250" s="7" t="s">
        <v>717</v>
      </c>
      <c r="E250" s="7" t="s">
        <v>718</v>
      </c>
      <c r="F250" s="8">
        <v>156</v>
      </c>
      <c r="G250" s="9">
        <v>0.13588850174216</v>
      </c>
      <c r="H250" s="8">
        <v>62</v>
      </c>
      <c r="I250" s="8">
        <v>57</v>
      </c>
      <c r="J250" s="38">
        <v>-1.9230769230769201E-2</v>
      </c>
      <c r="K250" s="38">
        <v>0.32258064516128998</v>
      </c>
      <c r="L250" s="38">
        <v>-0.38596491228070201</v>
      </c>
      <c r="M250" s="38">
        <v>0.70854555744199199</v>
      </c>
      <c r="N250" s="9">
        <v>0.27564102564102599</v>
      </c>
      <c r="O250" s="9">
        <v>0.33707865168539303</v>
      </c>
      <c r="P250" s="9">
        <v>0.60431654676258995</v>
      </c>
      <c r="Q250" s="42">
        <v>121</v>
      </c>
      <c r="R250" s="38">
        <v>3.45714285714286</v>
      </c>
    </row>
    <row r="251" spans="1:18" ht="15.75" customHeight="1" x14ac:dyDescent="0.2">
      <c r="A251" s="7">
        <v>248</v>
      </c>
      <c r="B251" s="7" t="s">
        <v>134</v>
      </c>
      <c r="C251" s="7" t="s">
        <v>151</v>
      </c>
      <c r="D251" s="7" t="s">
        <v>719</v>
      </c>
      <c r="E251" s="7" t="s">
        <v>720</v>
      </c>
      <c r="F251" s="8">
        <v>156</v>
      </c>
      <c r="G251" s="9">
        <v>0.124203821656051</v>
      </c>
      <c r="H251" s="8">
        <v>58</v>
      </c>
      <c r="I251" s="8">
        <v>55</v>
      </c>
      <c r="J251" s="38">
        <v>-3.8461538461538498E-2</v>
      </c>
      <c r="K251" s="38">
        <v>0.20689655172413801</v>
      </c>
      <c r="L251" s="38">
        <v>-0.381818181818182</v>
      </c>
      <c r="M251" s="38">
        <v>0.58871473354231996</v>
      </c>
      <c r="N251" s="9">
        <v>0.230769230769231</v>
      </c>
      <c r="O251" s="9">
        <v>0.47</v>
      </c>
      <c r="P251" s="9">
        <v>0.680851063829787</v>
      </c>
      <c r="Q251" s="42">
        <v>124</v>
      </c>
      <c r="R251" s="38">
        <v>3.875</v>
      </c>
    </row>
    <row r="252" spans="1:18" ht="15.75" customHeight="1" x14ac:dyDescent="0.2">
      <c r="A252" s="7">
        <v>249</v>
      </c>
      <c r="B252" s="7" t="s">
        <v>134</v>
      </c>
      <c r="C252" s="7" t="s">
        <v>137</v>
      </c>
      <c r="D252" s="7" t="s">
        <v>721</v>
      </c>
      <c r="E252" s="7" t="s">
        <v>722</v>
      </c>
      <c r="F252" s="8">
        <v>156</v>
      </c>
      <c r="G252" s="9">
        <v>0.147031102733271</v>
      </c>
      <c r="H252" s="8">
        <v>65</v>
      </c>
      <c r="I252" s="8">
        <v>47</v>
      </c>
      <c r="J252" s="38">
        <v>0.21153846153846201</v>
      </c>
      <c r="K252" s="38">
        <v>0.21538461538461501</v>
      </c>
      <c r="L252" s="38">
        <v>0.19148936170212799</v>
      </c>
      <c r="M252" s="38">
        <v>2.38952536824877E-2</v>
      </c>
      <c r="N252" s="9">
        <v>0.237179487179487</v>
      </c>
      <c r="O252" s="9">
        <v>0.236559139784946</v>
      </c>
      <c r="P252" s="9">
        <v>0.59859154929577496</v>
      </c>
      <c r="Q252" s="42">
        <v>112</v>
      </c>
      <c r="R252" s="38">
        <v>2.5454545454545499</v>
      </c>
    </row>
    <row r="253" spans="1:18" ht="15.75" customHeight="1" x14ac:dyDescent="0.2">
      <c r="A253" s="7">
        <v>250</v>
      </c>
      <c r="B253" s="7" t="s">
        <v>136</v>
      </c>
      <c r="C253" s="7" t="s">
        <v>165</v>
      </c>
      <c r="D253" s="7" t="s">
        <v>723</v>
      </c>
      <c r="E253" s="7" t="s">
        <v>724</v>
      </c>
      <c r="F253" s="8">
        <v>155</v>
      </c>
      <c r="G253" s="9">
        <v>0.105729877216917</v>
      </c>
      <c r="H253" s="8">
        <v>58</v>
      </c>
      <c r="I253" s="8">
        <v>66</v>
      </c>
      <c r="J253" s="38">
        <v>-5.16129032258065E-2</v>
      </c>
      <c r="K253" s="38">
        <v>6.8965517241379296E-2</v>
      </c>
      <c r="L253" s="38">
        <v>-0.13636363636363599</v>
      </c>
      <c r="M253" s="38">
        <v>0.205329153605016</v>
      </c>
      <c r="N253" s="9">
        <v>0.25161290322580598</v>
      </c>
      <c r="O253" s="9">
        <v>0.48351648351648402</v>
      </c>
      <c r="P253" s="9">
        <v>0.78102189781021902</v>
      </c>
      <c r="Q253" s="42">
        <v>115</v>
      </c>
      <c r="R253" s="38">
        <v>2.875</v>
      </c>
    </row>
    <row r="254" spans="1:18" ht="15.75" customHeight="1" x14ac:dyDescent="0.2">
      <c r="A254" s="7">
        <v>251</v>
      </c>
      <c r="B254" s="7" t="s">
        <v>134</v>
      </c>
      <c r="C254" s="7" t="s">
        <v>151</v>
      </c>
      <c r="D254" s="7" t="s">
        <v>725</v>
      </c>
      <c r="E254" s="7" t="s">
        <v>726</v>
      </c>
      <c r="F254" s="8">
        <v>154</v>
      </c>
      <c r="G254" s="9">
        <v>0.121259842519685</v>
      </c>
      <c r="H254" s="8">
        <v>60</v>
      </c>
      <c r="I254" s="8">
        <v>54</v>
      </c>
      <c r="J254" s="38">
        <v>1.9480519480519501E-2</v>
      </c>
      <c r="K254" s="38">
        <v>0.3</v>
      </c>
      <c r="L254" s="38">
        <v>-0.12962962962963001</v>
      </c>
      <c r="M254" s="38">
        <v>0.42962962962963003</v>
      </c>
      <c r="N254" s="9">
        <v>0.24025974025974001</v>
      </c>
      <c r="O254" s="9">
        <v>0.49</v>
      </c>
      <c r="P254" s="9">
        <v>0.70344827586206904</v>
      </c>
      <c r="Q254" s="42">
        <v>118</v>
      </c>
      <c r="R254" s="38">
        <v>3.2777777777777799</v>
      </c>
    </row>
    <row r="255" spans="1:18" ht="15.75" customHeight="1" x14ac:dyDescent="0.2">
      <c r="A255" s="7">
        <v>252</v>
      </c>
      <c r="B255" s="7" t="s">
        <v>136</v>
      </c>
      <c r="C255" s="7" t="s">
        <v>137</v>
      </c>
      <c r="D255" s="7" t="s">
        <v>727</v>
      </c>
      <c r="E255" s="7" t="s">
        <v>728</v>
      </c>
      <c r="F255" s="8">
        <v>154</v>
      </c>
      <c r="G255" s="9">
        <v>0.113821138211382</v>
      </c>
      <c r="H255" s="8">
        <v>63</v>
      </c>
      <c r="I255" s="8">
        <v>57</v>
      </c>
      <c r="J255" s="38">
        <v>0.214285714285714</v>
      </c>
      <c r="K255" s="38">
        <v>0.39682539682539703</v>
      </c>
      <c r="L255" s="38">
        <v>-5.2631578947368397E-2</v>
      </c>
      <c r="M255" s="38">
        <v>0.449456975772765</v>
      </c>
      <c r="N255" s="9">
        <v>0.27922077922077898</v>
      </c>
      <c r="O255" s="9">
        <v>0.60416666666666696</v>
      </c>
      <c r="P255" s="9">
        <v>0.74324324324324298</v>
      </c>
      <c r="Q255" s="42">
        <v>122</v>
      </c>
      <c r="R255" s="38">
        <v>3.8125</v>
      </c>
    </row>
    <row r="256" spans="1:18" ht="15.75" customHeight="1" x14ac:dyDescent="0.2">
      <c r="A256" s="7">
        <v>253</v>
      </c>
      <c r="B256" s="7" t="s">
        <v>136</v>
      </c>
      <c r="C256" s="7" t="s">
        <v>160</v>
      </c>
      <c r="D256" s="7" t="s">
        <v>729</v>
      </c>
      <c r="E256" s="7" t="s">
        <v>730</v>
      </c>
      <c r="F256" s="8">
        <v>151</v>
      </c>
      <c r="G256" s="9">
        <v>0.166850828729282</v>
      </c>
      <c r="H256" s="8">
        <v>62</v>
      </c>
      <c r="I256" s="8">
        <v>61</v>
      </c>
      <c r="J256" s="38">
        <v>-6.6225165562913899E-3</v>
      </c>
      <c r="K256" s="38">
        <v>0.241935483870968</v>
      </c>
      <c r="L256" s="38">
        <v>-0.18032786885245899</v>
      </c>
      <c r="M256" s="38">
        <v>0.42226335272342702</v>
      </c>
      <c r="N256" s="9">
        <v>0.23841059602649001</v>
      </c>
      <c r="O256" s="9">
        <v>0.48421052631578998</v>
      </c>
      <c r="P256" s="9">
        <v>0.71942446043165498</v>
      </c>
      <c r="Q256" s="42">
        <v>118</v>
      </c>
      <c r="R256" s="38">
        <v>3.5757575757575801</v>
      </c>
    </row>
    <row r="257" spans="1:18" ht="15.75" customHeight="1" x14ac:dyDescent="0.2">
      <c r="A257" s="7">
        <v>254</v>
      </c>
      <c r="B257" s="7" t="s">
        <v>136</v>
      </c>
      <c r="C257" s="7" t="s">
        <v>141</v>
      </c>
      <c r="D257" s="7" t="s">
        <v>731</v>
      </c>
      <c r="E257" s="7" t="s">
        <v>732</v>
      </c>
      <c r="F257" s="8">
        <v>150</v>
      </c>
      <c r="G257" s="9">
        <v>0.13940520446096699</v>
      </c>
      <c r="H257" s="8">
        <v>52</v>
      </c>
      <c r="I257" s="8">
        <v>63</v>
      </c>
      <c r="J257" s="38">
        <v>0.12666666666666701</v>
      </c>
      <c r="K257" s="38">
        <v>0.46153846153846201</v>
      </c>
      <c r="L257" s="38">
        <v>-6.3492063492063502E-2</v>
      </c>
      <c r="M257" s="38">
        <v>0.52503052503052505</v>
      </c>
      <c r="N257" s="9">
        <v>0.3</v>
      </c>
      <c r="O257" s="9">
        <v>0.28089887640449401</v>
      </c>
      <c r="P257" s="9">
        <v>0.64748201438848896</v>
      </c>
      <c r="Q257" s="42">
        <v>116</v>
      </c>
      <c r="R257" s="38">
        <v>3.4117647058823501</v>
      </c>
    </row>
    <row r="258" spans="1:18" ht="15.75" customHeight="1" x14ac:dyDescent="0.2">
      <c r="A258" s="7">
        <v>255</v>
      </c>
      <c r="B258" s="7" t="s">
        <v>134</v>
      </c>
      <c r="C258" s="7" t="s">
        <v>137</v>
      </c>
      <c r="D258" s="7" t="s">
        <v>733</v>
      </c>
      <c r="E258" s="7" t="s">
        <v>734</v>
      </c>
      <c r="F258" s="8">
        <v>150</v>
      </c>
      <c r="G258" s="9">
        <v>0.14492753623188401</v>
      </c>
      <c r="H258" s="8">
        <v>58</v>
      </c>
      <c r="I258" s="8">
        <v>59</v>
      </c>
      <c r="J258" s="38">
        <v>0.28000000000000003</v>
      </c>
      <c r="K258" s="38">
        <v>0.41379310344827602</v>
      </c>
      <c r="L258" s="38">
        <v>0.169491525423729</v>
      </c>
      <c r="M258" s="38">
        <v>0.24430157802454699</v>
      </c>
      <c r="N258" s="9">
        <v>0.28000000000000003</v>
      </c>
      <c r="O258" s="9">
        <v>0.28865979381443302</v>
      </c>
      <c r="P258" s="9">
        <v>0.56390977443609003</v>
      </c>
      <c r="Q258" s="42">
        <v>108</v>
      </c>
      <c r="R258" s="38">
        <v>2.5714285714285698</v>
      </c>
    </row>
    <row r="259" spans="1:18" ht="15.75" customHeight="1" x14ac:dyDescent="0.2">
      <c r="A259" s="7">
        <v>256</v>
      </c>
      <c r="B259" s="7" t="s">
        <v>136</v>
      </c>
      <c r="C259" s="7" t="s">
        <v>141</v>
      </c>
      <c r="D259" s="7" t="s">
        <v>735</v>
      </c>
      <c r="E259" s="7" t="s">
        <v>736</v>
      </c>
      <c r="F259" s="8">
        <v>148</v>
      </c>
      <c r="G259" s="9">
        <v>0.154006243496358</v>
      </c>
      <c r="H259" s="8">
        <v>50</v>
      </c>
      <c r="I259" s="8">
        <v>70</v>
      </c>
      <c r="J259" s="38">
        <v>7.4324324324324301E-2</v>
      </c>
      <c r="K259" s="38">
        <v>0.32</v>
      </c>
      <c r="L259" s="38">
        <v>-0.114285714285714</v>
      </c>
      <c r="M259" s="38">
        <v>0.434285714285714</v>
      </c>
      <c r="N259" s="9">
        <v>0.27702702702702697</v>
      </c>
      <c r="O259" s="9">
        <v>0.42857142857142899</v>
      </c>
      <c r="P259" s="9">
        <v>0.68888888888888899</v>
      </c>
      <c r="Q259" s="42">
        <v>111</v>
      </c>
      <c r="R259" s="38">
        <v>3</v>
      </c>
    </row>
    <row r="260" spans="1:18" ht="15.75" customHeight="1" x14ac:dyDescent="0.2">
      <c r="A260" s="7">
        <v>257</v>
      </c>
      <c r="B260" s="7" t="s">
        <v>134</v>
      </c>
      <c r="C260" s="7" t="s">
        <v>135</v>
      </c>
      <c r="D260" s="7" t="s">
        <v>737</v>
      </c>
      <c r="E260" s="7" t="s">
        <v>738</v>
      </c>
      <c r="F260" s="8">
        <v>146</v>
      </c>
      <c r="G260" s="9">
        <v>0.15869565217391299</v>
      </c>
      <c r="H260" s="8">
        <v>49</v>
      </c>
      <c r="I260" s="8">
        <v>54</v>
      </c>
      <c r="J260" s="38">
        <v>0.30821917808219201</v>
      </c>
      <c r="K260" s="38">
        <v>0.40816326530612301</v>
      </c>
      <c r="L260" s="38">
        <v>0.296296296296296</v>
      </c>
      <c r="M260" s="38">
        <v>0.111866969009826</v>
      </c>
      <c r="N260" s="9">
        <v>0.29452054794520599</v>
      </c>
      <c r="O260" s="9">
        <v>0.32530120481927699</v>
      </c>
      <c r="P260" s="9">
        <v>0.4921875</v>
      </c>
      <c r="Q260" s="42">
        <v>112</v>
      </c>
      <c r="R260" s="38">
        <v>3.2941176470588198</v>
      </c>
    </row>
    <row r="261" spans="1:18" ht="15.75" customHeight="1" x14ac:dyDescent="0.2">
      <c r="A261" s="7">
        <v>258</v>
      </c>
      <c r="B261" s="7" t="s">
        <v>136</v>
      </c>
      <c r="C261" s="7" t="s">
        <v>164</v>
      </c>
      <c r="D261" s="7" t="s">
        <v>739</v>
      </c>
      <c r="E261" s="7" t="s">
        <v>740</v>
      </c>
      <c r="F261" s="8">
        <v>144</v>
      </c>
      <c r="G261" s="9">
        <v>0.10967250571211</v>
      </c>
      <c r="H261" s="8">
        <v>51</v>
      </c>
      <c r="I261" s="8">
        <v>55</v>
      </c>
      <c r="J261" s="38">
        <v>-0.3125</v>
      </c>
      <c r="K261" s="38">
        <v>-0.11764705882352899</v>
      </c>
      <c r="L261" s="38">
        <v>-0.527272727272727</v>
      </c>
      <c r="M261" s="38">
        <v>0.40962566844919801</v>
      </c>
      <c r="N261" s="9">
        <v>0.28472222222222199</v>
      </c>
      <c r="O261" s="9">
        <v>0.35714285714285698</v>
      </c>
      <c r="P261" s="9">
        <v>0.62686567164179097</v>
      </c>
      <c r="Q261" s="42">
        <v>116</v>
      </c>
      <c r="R261" s="38">
        <v>4.1428571428571397</v>
      </c>
    </row>
    <row r="262" spans="1:18" ht="15.75" customHeight="1" x14ac:dyDescent="0.2">
      <c r="A262" s="7">
        <v>259</v>
      </c>
      <c r="B262" s="7" t="s">
        <v>136</v>
      </c>
      <c r="C262" s="7" t="s">
        <v>181</v>
      </c>
      <c r="D262" s="7" t="s">
        <v>741</v>
      </c>
      <c r="E262" s="7" t="s">
        <v>742</v>
      </c>
      <c r="F262" s="8">
        <v>144</v>
      </c>
      <c r="G262" s="9">
        <v>0.16400911161731199</v>
      </c>
      <c r="H262" s="8">
        <v>63</v>
      </c>
      <c r="I262" s="8">
        <v>48</v>
      </c>
      <c r="J262" s="38">
        <v>-0.15972222222222199</v>
      </c>
      <c r="K262" s="38">
        <v>0.126984126984127</v>
      </c>
      <c r="L262" s="38">
        <v>-0.52083333333333304</v>
      </c>
      <c r="M262" s="38">
        <v>0.64781746031746001</v>
      </c>
      <c r="N262" s="9">
        <v>0.27083333333333298</v>
      </c>
      <c r="O262" s="9">
        <v>0.45555555555555599</v>
      </c>
      <c r="P262" s="9">
        <v>0.75572519083969503</v>
      </c>
      <c r="Q262" s="42">
        <v>114</v>
      </c>
      <c r="R262" s="38">
        <v>3.8</v>
      </c>
    </row>
    <row r="263" spans="1:18" ht="15.75" customHeight="1" x14ac:dyDescent="0.2">
      <c r="A263" s="7">
        <v>260</v>
      </c>
      <c r="B263" s="7" t="s">
        <v>134</v>
      </c>
      <c r="C263" s="7" t="s">
        <v>137</v>
      </c>
      <c r="D263" s="7" t="s">
        <v>743</v>
      </c>
      <c r="E263" s="7" t="s">
        <v>744</v>
      </c>
      <c r="F263" s="8">
        <v>143</v>
      </c>
      <c r="G263" s="9">
        <v>0.108993902439024</v>
      </c>
      <c r="H263" s="8">
        <v>55</v>
      </c>
      <c r="I263" s="8">
        <v>45</v>
      </c>
      <c r="J263" s="38">
        <v>0.321678321678322</v>
      </c>
      <c r="K263" s="38">
        <v>0.58181818181818201</v>
      </c>
      <c r="L263" s="38">
        <v>8.8888888888888906E-2</v>
      </c>
      <c r="M263" s="38">
        <v>0.49292929292929299</v>
      </c>
      <c r="N263" s="9">
        <v>0.30069930069930101</v>
      </c>
      <c r="O263" s="9">
        <v>0.28749999999999998</v>
      </c>
      <c r="P263" s="9">
        <v>0.66923076923076896</v>
      </c>
      <c r="Q263" s="42">
        <v>112</v>
      </c>
      <c r="R263" s="38">
        <v>3.6129032258064502</v>
      </c>
    </row>
    <row r="264" spans="1:18" ht="15.75" customHeight="1" x14ac:dyDescent="0.2">
      <c r="A264" s="7">
        <v>261</v>
      </c>
      <c r="B264" s="7" t="s">
        <v>152</v>
      </c>
      <c r="C264" s="7" t="s">
        <v>182</v>
      </c>
      <c r="D264" s="7" t="s">
        <v>745</v>
      </c>
      <c r="E264" s="7" t="s">
        <v>746</v>
      </c>
      <c r="F264" s="8">
        <v>142</v>
      </c>
      <c r="G264" s="9">
        <v>0.13680154142581899</v>
      </c>
      <c r="H264" s="8">
        <v>62</v>
      </c>
      <c r="I264" s="8">
        <v>51</v>
      </c>
      <c r="J264" s="38">
        <v>-0.338028169014085</v>
      </c>
      <c r="K264" s="38">
        <v>-1.6129032258064498E-2</v>
      </c>
      <c r="L264" s="38">
        <v>-0.60784313725490202</v>
      </c>
      <c r="M264" s="38">
        <v>0.59171410499683696</v>
      </c>
      <c r="N264" s="9">
        <v>0.12676056338028199</v>
      </c>
      <c r="O264" s="9">
        <v>0.43678160919540199</v>
      </c>
      <c r="P264" s="9">
        <v>0.68115942028985499</v>
      </c>
      <c r="Q264" s="42">
        <v>108</v>
      </c>
      <c r="R264" s="38">
        <v>3.1764705882352899</v>
      </c>
    </row>
    <row r="265" spans="1:18" ht="15.75" customHeight="1" x14ac:dyDescent="0.2">
      <c r="A265" s="7">
        <v>262</v>
      </c>
      <c r="B265" s="7" t="s">
        <v>134</v>
      </c>
      <c r="C265" s="7" t="s">
        <v>135</v>
      </c>
      <c r="D265" s="7" t="s">
        <v>747</v>
      </c>
      <c r="E265" s="7" t="s">
        <v>748</v>
      </c>
      <c r="F265" s="8">
        <v>142</v>
      </c>
      <c r="G265" s="9">
        <v>0.21981424148606801</v>
      </c>
      <c r="H265" s="8">
        <v>58</v>
      </c>
      <c r="I265" s="8">
        <v>38</v>
      </c>
      <c r="J265" s="38">
        <v>0.40140845070422498</v>
      </c>
      <c r="K265" s="38">
        <v>0.46551724137931</v>
      </c>
      <c r="L265" s="38">
        <v>0.31578947368421101</v>
      </c>
      <c r="M265" s="38">
        <v>0.14972776769509999</v>
      </c>
      <c r="N265" s="9">
        <v>0.38732394366197198</v>
      </c>
      <c r="O265" s="9">
        <v>8.4507042253521097E-2</v>
      </c>
      <c r="P265" s="9">
        <v>0.35772357723577197</v>
      </c>
      <c r="Q265" s="42">
        <v>126</v>
      </c>
      <c r="R265" s="38">
        <v>7.875</v>
      </c>
    </row>
    <row r="266" spans="1:18" ht="15.75" customHeight="1" x14ac:dyDescent="0.2">
      <c r="A266" s="7">
        <v>263</v>
      </c>
      <c r="B266" s="7" t="s">
        <v>134</v>
      </c>
      <c r="C266" s="7" t="s">
        <v>139</v>
      </c>
      <c r="D266" s="7" t="s">
        <v>749</v>
      </c>
      <c r="E266" s="7" t="s">
        <v>750</v>
      </c>
      <c r="F266" s="8">
        <v>141</v>
      </c>
      <c r="G266" s="9">
        <v>8.8512241054613902E-2</v>
      </c>
      <c r="H266" s="8">
        <v>55</v>
      </c>
      <c r="I266" s="8">
        <v>42</v>
      </c>
      <c r="J266" s="38">
        <v>0.12765957446808501</v>
      </c>
      <c r="K266" s="38">
        <v>0.163636363636364</v>
      </c>
      <c r="L266" s="38">
        <v>0</v>
      </c>
      <c r="M266" s="38">
        <v>0.163636363636364</v>
      </c>
      <c r="N266" s="9">
        <v>0.23404255319148901</v>
      </c>
      <c r="O266" s="9">
        <v>0.5</v>
      </c>
      <c r="P266" s="9">
        <v>0.69599999999999995</v>
      </c>
      <c r="Q266" s="42">
        <v>110</v>
      </c>
      <c r="R266" s="38">
        <v>3.54838709677419</v>
      </c>
    </row>
    <row r="267" spans="1:18" ht="15.75" customHeight="1" x14ac:dyDescent="0.2">
      <c r="A267" s="7">
        <v>264</v>
      </c>
      <c r="B267" s="7" t="s">
        <v>136</v>
      </c>
      <c r="C267" s="7" t="s">
        <v>149</v>
      </c>
      <c r="D267" s="7" t="s">
        <v>751</v>
      </c>
      <c r="E267" s="7" t="s">
        <v>752</v>
      </c>
      <c r="F267" s="8">
        <v>140</v>
      </c>
      <c r="G267" s="9">
        <v>0.119250425894378</v>
      </c>
      <c r="H267" s="8">
        <v>53</v>
      </c>
      <c r="I267" s="8">
        <v>58</v>
      </c>
      <c r="J267" s="38">
        <v>-0.121428571428571</v>
      </c>
      <c r="K267" s="38">
        <v>0.113207547169811</v>
      </c>
      <c r="L267" s="38">
        <v>-0.27586206896551702</v>
      </c>
      <c r="M267" s="38">
        <v>0.38906961613532898</v>
      </c>
      <c r="N267" s="9">
        <v>0.20714285714285699</v>
      </c>
      <c r="O267" s="9">
        <v>0.5</v>
      </c>
      <c r="P267" s="9">
        <v>0.75555555555555598</v>
      </c>
      <c r="Q267" s="42">
        <v>119</v>
      </c>
      <c r="R267" s="38">
        <v>5.6666666666666696</v>
      </c>
    </row>
    <row r="268" spans="1:18" ht="15.75" customHeight="1" x14ac:dyDescent="0.2">
      <c r="A268" s="7">
        <v>265</v>
      </c>
      <c r="B268" s="7" t="s">
        <v>134</v>
      </c>
      <c r="C268" s="7" t="s">
        <v>192</v>
      </c>
      <c r="D268" s="7" t="s">
        <v>753</v>
      </c>
      <c r="E268" s="7" t="s">
        <v>754</v>
      </c>
      <c r="F268" s="8">
        <v>139</v>
      </c>
      <c r="G268" s="9">
        <v>0.14083080040526899</v>
      </c>
      <c r="H268" s="8">
        <v>50</v>
      </c>
      <c r="I268" s="8">
        <v>44</v>
      </c>
      <c r="J268" s="38">
        <v>0.18705035971223</v>
      </c>
      <c r="K268" s="38">
        <v>0.32</v>
      </c>
      <c r="L268" s="38">
        <v>-2.27272727272727E-2</v>
      </c>
      <c r="M268" s="38">
        <v>0.34272727272727299</v>
      </c>
      <c r="N268" s="9">
        <v>0.33812949640287798</v>
      </c>
      <c r="O268" s="9">
        <v>0.26744186046511598</v>
      </c>
      <c r="P268" s="9">
        <v>0.57251908396946605</v>
      </c>
      <c r="Q268" s="42">
        <v>105</v>
      </c>
      <c r="R268" s="38">
        <v>3.0882352941176499</v>
      </c>
    </row>
    <row r="269" spans="1:18" ht="15.75" customHeight="1" x14ac:dyDescent="0.2">
      <c r="A269" s="7">
        <v>266</v>
      </c>
      <c r="B269" s="7" t="s">
        <v>134</v>
      </c>
      <c r="C269" s="7" t="s">
        <v>137</v>
      </c>
      <c r="D269" s="7" t="s">
        <v>755</v>
      </c>
      <c r="E269" s="7" t="s">
        <v>756</v>
      </c>
      <c r="F269" s="8">
        <v>139</v>
      </c>
      <c r="G269" s="9">
        <v>0.106676899462778</v>
      </c>
      <c r="H269" s="8">
        <v>69</v>
      </c>
      <c r="I269" s="8">
        <v>40</v>
      </c>
      <c r="J269" s="38">
        <v>0.23741007194244601</v>
      </c>
      <c r="K269" s="38">
        <v>0.42028985507246402</v>
      </c>
      <c r="L269" s="38">
        <v>2.5000000000000001E-2</v>
      </c>
      <c r="M269" s="38">
        <v>0.395289855072464</v>
      </c>
      <c r="N269" s="9">
        <v>0.30215827338129497</v>
      </c>
      <c r="O269" s="9">
        <v>0.27083333333333298</v>
      </c>
      <c r="P269" s="9">
        <v>0.56589147286821695</v>
      </c>
      <c r="Q269" s="42">
        <v>94</v>
      </c>
      <c r="R269" s="38">
        <v>2.0888888888888899</v>
      </c>
    </row>
    <row r="270" spans="1:18" ht="15.75" customHeight="1" x14ac:dyDescent="0.2">
      <c r="A270" s="7">
        <v>267</v>
      </c>
      <c r="B270" s="7" t="s">
        <v>134</v>
      </c>
      <c r="C270" s="7" t="s">
        <v>145</v>
      </c>
      <c r="D270" s="7" t="s">
        <v>757</v>
      </c>
      <c r="E270" s="7" t="s">
        <v>758</v>
      </c>
      <c r="F270" s="8">
        <v>138</v>
      </c>
      <c r="G270" s="9">
        <v>0.12672176308540001</v>
      </c>
      <c r="H270" s="8">
        <v>58</v>
      </c>
      <c r="I270" s="8">
        <v>35</v>
      </c>
      <c r="J270" s="38">
        <v>0.24637681159420299</v>
      </c>
      <c r="K270" s="38">
        <v>0.431034482758621</v>
      </c>
      <c r="L270" s="38">
        <v>-5.7142857142857099E-2</v>
      </c>
      <c r="M270" s="38">
        <v>0.48817733990147799</v>
      </c>
      <c r="N270" s="9">
        <v>0.24637681159420299</v>
      </c>
      <c r="O270" s="9">
        <v>0.50537634408602194</v>
      </c>
      <c r="P270" s="9">
        <v>0.79844961240310097</v>
      </c>
      <c r="Q270" s="42">
        <v>99</v>
      </c>
      <c r="R270" s="38">
        <v>2.5384615384615401</v>
      </c>
    </row>
    <row r="271" spans="1:18" ht="15.75" customHeight="1" x14ac:dyDescent="0.2">
      <c r="A271" s="7">
        <v>268</v>
      </c>
      <c r="B271" s="7" t="s">
        <v>136</v>
      </c>
      <c r="C271" s="7" t="s">
        <v>134</v>
      </c>
      <c r="D271" s="7" t="s">
        <v>759</v>
      </c>
      <c r="E271" s="7" t="s">
        <v>760</v>
      </c>
      <c r="F271" s="8">
        <v>138</v>
      </c>
      <c r="G271" s="9">
        <v>0.10996015936255001</v>
      </c>
      <c r="H271" s="8">
        <v>61</v>
      </c>
      <c r="I271" s="8">
        <v>57</v>
      </c>
      <c r="J271" s="38">
        <v>-0.16666666666666699</v>
      </c>
      <c r="K271" s="38">
        <v>0.13114754098360701</v>
      </c>
      <c r="L271" s="38">
        <v>-0.47368421052631599</v>
      </c>
      <c r="M271" s="38">
        <v>0.60483175150992197</v>
      </c>
      <c r="N271" s="9">
        <v>0.23913043478260901</v>
      </c>
      <c r="O271" s="9">
        <v>0.41463414634146301</v>
      </c>
      <c r="P271" s="9">
        <v>0.752</v>
      </c>
      <c r="Q271" s="42">
        <v>106</v>
      </c>
      <c r="R271" s="38">
        <v>3.3125</v>
      </c>
    </row>
    <row r="272" spans="1:18" ht="15.75" customHeight="1" x14ac:dyDescent="0.2">
      <c r="A272" s="7">
        <v>269</v>
      </c>
      <c r="B272" s="7" t="s">
        <v>136</v>
      </c>
      <c r="C272" s="7" t="s">
        <v>148</v>
      </c>
      <c r="D272" s="7" t="s">
        <v>761</v>
      </c>
      <c r="E272" s="7" t="s">
        <v>762</v>
      </c>
      <c r="F272" s="8">
        <v>137</v>
      </c>
      <c r="G272" s="9">
        <v>0.140081799591002</v>
      </c>
      <c r="H272" s="8">
        <v>55</v>
      </c>
      <c r="I272" s="8">
        <v>60</v>
      </c>
      <c r="J272" s="38">
        <v>7.2992700729927001E-2</v>
      </c>
      <c r="K272" s="38">
        <v>0.381818181818182</v>
      </c>
      <c r="L272" s="38">
        <v>-0.16666666666666699</v>
      </c>
      <c r="M272" s="38">
        <v>0.54848484848484902</v>
      </c>
      <c r="N272" s="9">
        <v>0.240875912408759</v>
      </c>
      <c r="O272" s="9">
        <v>0.59770114942528696</v>
      </c>
      <c r="P272" s="9">
        <v>0.80314960629921295</v>
      </c>
      <c r="Q272" s="42">
        <v>111</v>
      </c>
      <c r="R272" s="38">
        <v>4.2692307692307701</v>
      </c>
    </row>
    <row r="273" spans="1:18" ht="15.75" customHeight="1" x14ac:dyDescent="0.2">
      <c r="A273" s="7">
        <v>270</v>
      </c>
      <c r="B273" s="7" t="s">
        <v>152</v>
      </c>
      <c r="C273" s="7" t="s">
        <v>182</v>
      </c>
      <c r="D273" s="7" t="s">
        <v>763</v>
      </c>
      <c r="E273" s="7" t="s">
        <v>764</v>
      </c>
      <c r="F273" s="8">
        <v>136</v>
      </c>
      <c r="G273" s="9">
        <v>0.10836653386454199</v>
      </c>
      <c r="H273" s="8">
        <v>60</v>
      </c>
      <c r="I273" s="8">
        <v>45</v>
      </c>
      <c r="J273" s="38">
        <v>-0.316176470588235</v>
      </c>
      <c r="K273" s="38">
        <v>-0.18333333333333299</v>
      </c>
      <c r="L273" s="38">
        <v>-0.46666666666666701</v>
      </c>
      <c r="M273" s="38">
        <v>0.28333333333333299</v>
      </c>
      <c r="N273" s="9">
        <v>0.213235294117647</v>
      </c>
      <c r="O273" s="9">
        <v>0.4</v>
      </c>
      <c r="P273" s="9">
        <v>0.69918699186991895</v>
      </c>
      <c r="Q273" s="42">
        <v>107</v>
      </c>
      <c r="R273" s="38">
        <v>3.68965517241379</v>
      </c>
    </row>
    <row r="274" spans="1:18" ht="15.75" customHeight="1" x14ac:dyDescent="0.2">
      <c r="A274" s="7">
        <v>271</v>
      </c>
      <c r="B274" s="7" t="s">
        <v>134</v>
      </c>
      <c r="C274" s="7" t="s">
        <v>135</v>
      </c>
      <c r="D274" s="7" t="s">
        <v>765</v>
      </c>
      <c r="E274" s="7" t="s">
        <v>766</v>
      </c>
      <c r="F274" s="8">
        <v>136</v>
      </c>
      <c r="G274" s="9">
        <v>0.13346418056918599</v>
      </c>
      <c r="H274" s="8">
        <v>55</v>
      </c>
      <c r="I274" s="8">
        <v>45</v>
      </c>
      <c r="J274" s="38">
        <v>0.25</v>
      </c>
      <c r="K274" s="38">
        <v>0.41818181818181799</v>
      </c>
      <c r="L274" s="38">
        <v>8.8888888888888906E-2</v>
      </c>
      <c r="M274" s="38">
        <v>0.32929292929292903</v>
      </c>
      <c r="N274" s="9">
        <v>0.36764705882352899</v>
      </c>
      <c r="O274" s="9">
        <v>0.22972972972972999</v>
      </c>
      <c r="P274" s="9">
        <v>0.56451612903225801</v>
      </c>
      <c r="Q274" s="42">
        <v>114</v>
      </c>
      <c r="R274" s="38">
        <v>5.1818181818181799</v>
      </c>
    </row>
    <row r="275" spans="1:18" ht="15.75" customHeight="1" x14ac:dyDescent="0.2">
      <c r="A275" s="7">
        <v>272</v>
      </c>
      <c r="B275" s="7" t="s">
        <v>134</v>
      </c>
      <c r="C275" s="7" t="s">
        <v>135</v>
      </c>
      <c r="D275" s="7" t="s">
        <v>767</v>
      </c>
      <c r="E275" s="7" t="s">
        <v>768</v>
      </c>
      <c r="F275" s="8">
        <v>135</v>
      </c>
      <c r="G275" s="9">
        <v>0.158636897767333</v>
      </c>
      <c r="H275" s="8">
        <v>51</v>
      </c>
      <c r="I275" s="8">
        <v>39</v>
      </c>
      <c r="J275" s="38">
        <v>0.32592592592592601</v>
      </c>
      <c r="K275" s="38">
        <v>0.41176470588235298</v>
      </c>
      <c r="L275" s="38">
        <v>0.256410256410256</v>
      </c>
      <c r="M275" s="38">
        <v>0.15535444947209701</v>
      </c>
      <c r="N275" s="9">
        <v>0.437037037037037</v>
      </c>
      <c r="O275" s="9">
        <v>0.21621621621621601</v>
      </c>
      <c r="P275" s="9">
        <v>0.54098360655737698</v>
      </c>
      <c r="Q275" s="42">
        <v>112</v>
      </c>
      <c r="R275" s="38">
        <v>4.86956521739131</v>
      </c>
    </row>
    <row r="276" spans="1:18" ht="15.75" customHeight="1" x14ac:dyDescent="0.2">
      <c r="A276" s="7">
        <v>273</v>
      </c>
      <c r="B276" s="7" t="s">
        <v>136</v>
      </c>
      <c r="C276" s="7" t="s">
        <v>141</v>
      </c>
      <c r="D276" s="7" t="s">
        <v>769</v>
      </c>
      <c r="E276" s="7" t="s">
        <v>770</v>
      </c>
      <c r="F276" s="8">
        <v>133</v>
      </c>
      <c r="G276" s="9">
        <v>0.11367521367521401</v>
      </c>
      <c r="H276" s="8">
        <v>41</v>
      </c>
      <c r="I276" s="8">
        <v>50</v>
      </c>
      <c r="J276" s="38">
        <v>-3.00751879699248E-2</v>
      </c>
      <c r="K276" s="38">
        <v>-7.3170731707317097E-2</v>
      </c>
      <c r="L276" s="38">
        <v>0</v>
      </c>
      <c r="M276" s="38">
        <v>-7.3170731707317097E-2</v>
      </c>
      <c r="N276" s="9">
        <v>0.203007518796993</v>
      </c>
      <c r="O276" s="9">
        <v>0.50602409638554202</v>
      </c>
      <c r="P276" s="9">
        <v>0.69047619047619102</v>
      </c>
      <c r="Q276" s="42">
        <v>103</v>
      </c>
      <c r="R276" s="38">
        <v>3.43333333333333</v>
      </c>
    </row>
    <row r="277" spans="1:18" ht="15.75" customHeight="1" x14ac:dyDescent="0.2">
      <c r="A277" s="7">
        <v>274</v>
      </c>
      <c r="B277" s="7" t="s">
        <v>136</v>
      </c>
      <c r="C277" s="7" t="s">
        <v>141</v>
      </c>
      <c r="D277" s="7" t="s">
        <v>771</v>
      </c>
      <c r="E277" s="7" t="s">
        <v>772</v>
      </c>
      <c r="F277" s="8">
        <v>132</v>
      </c>
      <c r="G277" s="9">
        <v>0.123827392120075</v>
      </c>
      <c r="H277" s="8">
        <v>49</v>
      </c>
      <c r="I277" s="8">
        <v>51</v>
      </c>
      <c r="J277" s="38">
        <v>0.25</v>
      </c>
      <c r="K277" s="38">
        <v>0.469387755102041</v>
      </c>
      <c r="L277" s="38">
        <v>9.8039215686274495E-2</v>
      </c>
      <c r="M277" s="38">
        <v>0.37134853941576601</v>
      </c>
      <c r="N277" s="9">
        <v>0.204545454545455</v>
      </c>
      <c r="O277" s="9">
        <v>0.417721518987342</v>
      </c>
      <c r="P277" s="9">
        <v>0.77586206896551702</v>
      </c>
      <c r="Q277" s="42">
        <v>103</v>
      </c>
      <c r="R277" s="38">
        <v>3.55172413793104</v>
      </c>
    </row>
    <row r="278" spans="1:18" ht="15.75" customHeight="1" x14ac:dyDescent="0.2">
      <c r="A278" s="7">
        <v>275</v>
      </c>
      <c r="B278" s="7" t="s">
        <v>152</v>
      </c>
      <c r="C278" s="7" t="s">
        <v>178</v>
      </c>
      <c r="D278" s="7" t="s">
        <v>773</v>
      </c>
      <c r="E278" s="7" t="s">
        <v>774</v>
      </c>
      <c r="F278" s="8">
        <v>131</v>
      </c>
      <c r="G278" s="9">
        <v>0.11026936026936</v>
      </c>
      <c r="H278" s="8">
        <v>52</v>
      </c>
      <c r="I278" s="8">
        <v>42</v>
      </c>
      <c r="J278" s="38">
        <v>-0.206106870229008</v>
      </c>
      <c r="K278" s="38">
        <v>-1.9230769230769201E-2</v>
      </c>
      <c r="L278" s="38">
        <v>-0.40476190476190499</v>
      </c>
      <c r="M278" s="38">
        <v>0.38553113553113599</v>
      </c>
      <c r="N278" s="9">
        <v>0.16793893129771001</v>
      </c>
      <c r="O278" s="9">
        <v>0.44736842105263203</v>
      </c>
      <c r="P278" s="9">
        <v>0.683760683760684</v>
      </c>
      <c r="Q278" s="42">
        <v>105</v>
      </c>
      <c r="R278" s="38">
        <v>4.0384615384615401</v>
      </c>
    </row>
    <row r="279" spans="1:18" ht="15.75" customHeight="1" x14ac:dyDescent="0.2">
      <c r="A279" s="7">
        <v>276</v>
      </c>
      <c r="B279" s="7" t="s">
        <v>134</v>
      </c>
      <c r="C279" s="7" t="s">
        <v>151</v>
      </c>
      <c r="D279" s="7" t="s">
        <v>775</v>
      </c>
      <c r="E279" s="7" t="s">
        <v>776</v>
      </c>
      <c r="F279" s="8">
        <v>130</v>
      </c>
      <c r="G279" s="9">
        <v>0.13039117352056201</v>
      </c>
      <c r="H279" s="8">
        <v>50</v>
      </c>
      <c r="I279" s="8">
        <v>53</v>
      </c>
      <c r="J279" s="38">
        <v>0.107692307692308</v>
      </c>
      <c r="K279" s="38">
        <v>0.24</v>
      </c>
      <c r="L279" s="38">
        <v>-7.5471698113207503E-2</v>
      </c>
      <c r="M279" s="38">
        <v>0.31547169811320802</v>
      </c>
      <c r="N279" s="9">
        <v>0.27692307692307699</v>
      </c>
      <c r="O279" s="9">
        <v>0.39534883720930197</v>
      </c>
      <c r="P279" s="9">
        <v>0.68292682926829296</v>
      </c>
      <c r="Q279" s="42">
        <v>92</v>
      </c>
      <c r="R279" s="38">
        <v>2.42105263157895</v>
      </c>
    </row>
    <row r="280" spans="1:18" ht="15.75" customHeight="1" x14ac:dyDescent="0.2">
      <c r="A280" s="7">
        <v>277</v>
      </c>
      <c r="B280" s="7" t="s">
        <v>136</v>
      </c>
      <c r="C280" s="7" t="s">
        <v>137</v>
      </c>
      <c r="D280" s="7" t="s">
        <v>777</v>
      </c>
      <c r="E280" s="7" t="s">
        <v>778</v>
      </c>
      <c r="F280" s="8">
        <v>129</v>
      </c>
      <c r="G280" s="9">
        <v>0.170184696569921</v>
      </c>
      <c r="H280" s="8">
        <v>43</v>
      </c>
      <c r="I280" s="8">
        <v>49</v>
      </c>
      <c r="J280" s="38">
        <v>0.232558139534884</v>
      </c>
      <c r="K280" s="38">
        <v>0.39534883720930197</v>
      </c>
      <c r="L280" s="38">
        <v>4.08163265306122E-2</v>
      </c>
      <c r="M280" s="38">
        <v>0.35453251067869002</v>
      </c>
      <c r="N280" s="9">
        <v>0.44186046511627902</v>
      </c>
      <c r="O280" s="9">
        <v>0.185714285714286</v>
      </c>
      <c r="P280" s="9">
        <v>0.42016806722689098</v>
      </c>
      <c r="Q280" s="42">
        <v>96</v>
      </c>
      <c r="R280" s="38">
        <v>2.9090909090909101</v>
      </c>
    </row>
    <row r="281" spans="1:18" ht="15.75" customHeight="1" x14ac:dyDescent="0.2">
      <c r="A281" s="7">
        <v>278</v>
      </c>
      <c r="B281" s="7" t="s">
        <v>134</v>
      </c>
      <c r="C281" s="7" t="s">
        <v>175</v>
      </c>
      <c r="D281" s="7" t="s">
        <v>779</v>
      </c>
      <c r="E281" s="7" t="s">
        <v>780</v>
      </c>
      <c r="F281" s="8">
        <v>128</v>
      </c>
      <c r="G281" s="9">
        <v>0.13588110403397</v>
      </c>
      <c r="H281" s="8">
        <v>53</v>
      </c>
      <c r="I281" s="8">
        <v>44</v>
      </c>
      <c r="J281" s="38">
        <v>0.3046875</v>
      </c>
      <c r="K281" s="38">
        <v>0.37735849056603799</v>
      </c>
      <c r="L281" s="38">
        <v>0.204545454545455</v>
      </c>
      <c r="M281" s="38">
        <v>0.17281303602058301</v>
      </c>
      <c r="N281" s="9">
        <v>0.3046875</v>
      </c>
      <c r="O281" s="9">
        <v>0.30952380952380998</v>
      </c>
      <c r="P281" s="9">
        <v>0.644067796610169</v>
      </c>
      <c r="Q281" s="42">
        <v>96</v>
      </c>
      <c r="R281" s="38">
        <v>3</v>
      </c>
    </row>
    <row r="282" spans="1:18" ht="15.75" customHeight="1" x14ac:dyDescent="0.2">
      <c r="A282" s="7">
        <v>279</v>
      </c>
      <c r="B282" s="7" t="s">
        <v>136</v>
      </c>
      <c r="C282" s="7" t="s">
        <v>136</v>
      </c>
      <c r="D282" s="7" t="s">
        <v>781</v>
      </c>
      <c r="E282" s="7" t="s">
        <v>782</v>
      </c>
      <c r="F282" s="8">
        <v>128</v>
      </c>
      <c r="G282" s="9">
        <v>0.157441574415744</v>
      </c>
      <c r="H282" s="8">
        <v>53</v>
      </c>
      <c r="I282" s="8">
        <v>44</v>
      </c>
      <c r="J282" s="38">
        <v>7.8125E-3</v>
      </c>
      <c r="K282" s="38">
        <v>0.28301886792452802</v>
      </c>
      <c r="L282" s="38">
        <v>-0.22727272727272699</v>
      </c>
      <c r="M282" s="38">
        <v>0.51029159519725598</v>
      </c>
      <c r="N282" s="9">
        <v>0.3046875</v>
      </c>
      <c r="O282" s="9">
        <v>0.278481012658228</v>
      </c>
      <c r="P282" s="9">
        <v>0.55084745762711895</v>
      </c>
      <c r="Q282" s="42">
        <v>95</v>
      </c>
      <c r="R282" s="38">
        <v>2.8787878787878798</v>
      </c>
    </row>
    <row r="283" spans="1:18" ht="15.75" customHeight="1" x14ac:dyDescent="0.2">
      <c r="A283" s="7">
        <v>280</v>
      </c>
      <c r="B283" s="7" t="s">
        <v>152</v>
      </c>
      <c r="C283" s="7" t="s">
        <v>178</v>
      </c>
      <c r="D283" s="7" t="s">
        <v>783</v>
      </c>
      <c r="E283" s="7" t="s">
        <v>784</v>
      </c>
      <c r="F283" s="8">
        <v>128</v>
      </c>
      <c r="G283" s="9">
        <v>0.124151309408341</v>
      </c>
      <c r="H283" s="8">
        <v>34</v>
      </c>
      <c r="I283" s="8">
        <v>64</v>
      </c>
      <c r="J283" s="38">
        <v>-0.421875</v>
      </c>
      <c r="K283" s="38">
        <v>-0.11764705882352899</v>
      </c>
      <c r="L283" s="38">
        <v>-0.5625</v>
      </c>
      <c r="M283" s="38">
        <v>0.44485294117647101</v>
      </c>
      <c r="N283" s="9">
        <v>0.1875</v>
      </c>
      <c r="O283" s="9">
        <v>0.407407407407407</v>
      </c>
      <c r="P283" s="9">
        <v>0.64347826086956506</v>
      </c>
      <c r="Q283" s="42">
        <v>99</v>
      </c>
      <c r="R283" s="38">
        <v>3.4137931034482798</v>
      </c>
    </row>
    <row r="284" spans="1:18" ht="15.75" customHeight="1" x14ac:dyDescent="0.2">
      <c r="A284" s="7">
        <v>281</v>
      </c>
      <c r="B284" s="7" t="s">
        <v>134</v>
      </c>
      <c r="C284" s="7" t="s">
        <v>175</v>
      </c>
      <c r="D284" s="7" t="s">
        <v>785</v>
      </c>
      <c r="E284" s="7" t="s">
        <v>786</v>
      </c>
      <c r="F284" s="8">
        <v>127</v>
      </c>
      <c r="G284" s="9">
        <v>0.15563725490196101</v>
      </c>
      <c r="H284" s="8">
        <v>47</v>
      </c>
      <c r="I284" s="8">
        <v>47</v>
      </c>
      <c r="J284" s="38">
        <v>0.23622047244094499</v>
      </c>
      <c r="K284" s="38">
        <v>0.27659574468085102</v>
      </c>
      <c r="L284" s="38">
        <v>0.14893617021276601</v>
      </c>
      <c r="M284" s="38">
        <v>0.12765957446808501</v>
      </c>
      <c r="N284" s="9">
        <v>0.35433070866141703</v>
      </c>
      <c r="O284" s="9">
        <v>0.25925925925925902</v>
      </c>
      <c r="P284" s="9">
        <v>0.61607142857142905</v>
      </c>
      <c r="Q284" s="42">
        <v>95</v>
      </c>
      <c r="R284" s="38">
        <v>2.96875</v>
      </c>
    </row>
    <row r="285" spans="1:18" ht="15.75" customHeight="1" x14ac:dyDescent="0.2">
      <c r="A285" s="7">
        <v>282</v>
      </c>
      <c r="B285" s="7" t="s">
        <v>136</v>
      </c>
      <c r="C285" s="7" t="s">
        <v>166</v>
      </c>
      <c r="D285" s="7" t="s">
        <v>787</v>
      </c>
      <c r="E285" s="7" t="s">
        <v>788</v>
      </c>
      <c r="F285" s="8">
        <v>126</v>
      </c>
      <c r="G285" s="9">
        <v>0.11517367458866599</v>
      </c>
      <c r="H285" s="8">
        <v>52</v>
      </c>
      <c r="I285" s="8">
        <v>34</v>
      </c>
      <c r="J285" s="38">
        <v>-0.32539682539682502</v>
      </c>
      <c r="K285" s="38">
        <v>-0.134615384615385</v>
      </c>
      <c r="L285" s="38">
        <v>-0.52941176470588203</v>
      </c>
      <c r="M285" s="38">
        <v>0.394796380090498</v>
      </c>
      <c r="N285" s="9">
        <v>0.293650793650794</v>
      </c>
      <c r="O285" s="9">
        <v>0.40789473684210498</v>
      </c>
      <c r="P285" s="9">
        <v>0.72072072072072102</v>
      </c>
      <c r="Q285" s="42">
        <v>99</v>
      </c>
      <c r="R285" s="38">
        <v>3.6666666666666701</v>
      </c>
    </row>
    <row r="286" spans="1:18" ht="15.75" customHeight="1" x14ac:dyDescent="0.2">
      <c r="A286" s="7">
        <v>283</v>
      </c>
      <c r="B286" s="7" t="s">
        <v>136</v>
      </c>
      <c r="C286" s="7" t="s">
        <v>137</v>
      </c>
      <c r="D286" s="7" t="s">
        <v>789</v>
      </c>
      <c r="E286" s="7" t="s">
        <v>790</v>
      </c>
      <c r="F286" s="8">
        <v>125</v>
      </c>
      <c r="G286" s="9">
        <v>0.124626121635095</v>
      </c>
      <c r="H286" s="8">
        <v>48</v>
      </c>
      <c r="I286" s="8">
        <v>55</v>
      </c>
      <c r="J286" s="38">
        <v>0.28000000000000003</v>
      </c>
      <c r="K286" s="38">
        <v>0.54166666666666696</v>
      </c>
      <c r="L286" s="38">
        <v>7.2727272727272696E-2</v>
      </c>
      <c r="M286" s="38">
        <v>0.46893939393939399</v>
      </c>
      <c r="N286" s="9">
        <v>0.20799999999999999</v>
      </c>
      <c r="O286" s="9">
        <v>0.37662337662337703</v>
      </c>
      <c r="P286" s="9">
        <v>0.63716814159292001</v>
      </c>
      <c r="Q286" s="42">
        <v>93</v>
      </c>
      <c r="R286" s="38">
        <v>2.90625</v>
      </c>
    </row>
    <row r="287" spans="1:18" ht="15.75" customHeight="1" x14ac:dyDescent="0.2">
      <c r="A287" s="7">
        <v>284</v>
      </c>
      <c r="B287" s="7" t="s">
        <v>152</v>
      </c>
      <c r="C287" s="7" t="s">
        <v>201</v>
      </c>
      <c r="D287" s="7" t="s">
        <v>791</v>
      </c>
      <c r="E287" s="7" t="s">
        <v>792</v>
      </c>
      <c r="F287" s="8">
        <v>125</v>
      </c>
      <c r="G287" s="9">
        <v>0.117150890346767</v>
      </c>
      <c r="H287" s="8">
        <v>46</v>
      </c>
      <c r="I287" s="8">
        <v>50</v>
      </c>
      <c r="J287" s="38">
        <v>-0.48799999999999999</v>
      </c>
      <c r="K287" s="38">
        <v>-0.34782608695652201</v>
      </c>
      <c r="L287" s="38">
        <v>-0.64</v>
      </c>
      <c r="M287" s="38">
        <v>0.29217391304347801</v>
      </c>
      <c r="N287" s="9">
        <v>0.17599999999999999</v>
      </c>
      <c r="O287" s="9">
        <v>0.417721518987342</v>
      </c>
      <c r="P287" s="9">
        <v>0.66949152542372903</v>
      </c>
      <c r="Q287" s="42">
        <v>102</v>
      </c>
      <c r="R287" s="38">
        <v>4.4347826086956497</v>
      </c>
    </row>
    <row r="288" spans="1:18" ht="15.75" customHeight="1" x14ac:dyDescent="0.2">
      <c r="A288" s="7">
        <v>285</v>
      </c>
      <c r="B288" s="7" t="s">
        <v>136</v>
      </c>
      <c r="C288" s="7" t="s">
        <v>160</v>
      </c>
      <c r="D288" s="7" t="s">
        <v>793</v>
      </c>
      <c r="E288" s="7" t="s">
        <v>794</v>
      </c>
      <c r="F288" s="8">
        <v>123</v>
      </c>
      <c r="G288" s="9">
        <v>0.17877906976744201</v>
      </c>
      <c r="H288" s="8">
        <v>36</v>
      </c>
      <c r="I288" s="8">
        <v>50</v>
      </c>
      <c r="J288" s="38">
        <v>-4.8780487804878099E-2</v>
      </c>
      <c r="K288" s="38">
        <v>0.30555555555555602</v>
      </c>
      <c r="L288" s="38">
        <v>-0.3</v>
      </c>
      <c r="M288" s="38">
        <v>0.60555555555555596</v>
      </c>
      <c r="N288" s="9">
        <v>0.30081300813008099</v>
      </c>
      <c r="O288" s="9">
        <v>0.40259740259740301</v>
      </c>
      <c r="P288" s="9">
        <v>0.73873873873873896</v>
      </c>
      <c r="Q288" s="42">
        <v>100</v>
      </c>
      <c r="R288" s="38">
        <v>4.3478260869565197</v>
      </c>
    </row>
    <row r="289" spans="1:18" ht="15.75" customHeight="1" x14ac:dyDescent="0.2">
      <c r="A289" s="7">
        <v>286</v>
      </c>
      <c r="B289" s="7" t="s">
        <v>136</v>
      </c>
      <c r="C289" s="7" t="s">
        <v>166</v>
      </c>
      <c r="D289" s="7" t="s">
        <v>795</v>
      </c>
      <c r="E289" s="7" t="s">
        <v>796</v>
      </c>
      <c r="F289" s="8">
        <v>122</v>
      </c>
      <c r="G289" s="9">
        <v>0.121756487025948</v>
      </c>
      <c r="H289" s="8">
        <v>47</v>
      </c>
      <c r="I289" s="8">
        <v>52</v>
      </c>
      <c r="J289" s="38">
        <v>-0.19672131147541</v>
      </c>
      <c r="K289" s="38">
        <v>6.3829787234042604E-2</v>
      </c>
      <c r="L289" s="38">
        <v>-0.42307692307692302</v>
      </c>
      <c r="M289" s="38">
        <v>0.486906710310966</v>
      </c>
      <c r="N289" s="9">
        <v>0.31147540983606598</v>
      </c>
      <c r="O289" s="9">
        <v>0.42666666666666703</v>
      </c>
      <c r="P289" s="9">
        <v>0.71551724137931005</v>
      </c>
      <c r="Q289" s="42">
        <v>102</v>
      </c>
      <c r="R289" s="38">
        <v>5.0999999999999996</v>
      </c>
    </row>
    <row r="290" spans="1:18" ht="15.75" customHeight="1" x14ac:dyDescent="0.2">
      <c r="A290" s="7">
        <v>287</v>
      </c>
      <c r="B290" s="7" t="s">
        <v>134</v>
      </c>
      <c r="C290" s="7" t="s">
        <v>135</v>
      </c>
      <c r="D290" s="7" t="s">
        <v>797</v>
      </c>
      <c r="E290" s="7" t="s">
        <v>798</v>
      </c>
      <c r="F290" s="8">
        <v>121</v>
      </c>
      <c r="G290" s="9">
        <v>0.13166485310119699</v>
      </c>
      <c r="H290" s="8">
        <v>50</v>
      </c>
      <c r="I290" s="8">
        <v>42</v>
      </c>
      <c r="J290" s="38">
        <v>0.36363636363636398</v>
      </c>
      <c r="K290" s="38">
        <v>0.46</v>
      </c>
      <c r="L290" s="38">
        <v>0.38095238095238099</v>
      </c>
      <c r="M290" s="38">
        <v>7.9047619047619103E-2</v>
      </c>
      <c r="N290" s="9">
        <v>0.23966942148760301</v>
      </c>
      <c r="O290" s="9">
        <v>0.358024691358025</v>
      </c>
      <c r="P290" s="9">
        <v>0.570175438596491</v>
      </c>
      <c r="Q290" s="42">
        <v>96</v>
      </c>
      <c r="R290" s="38">
        <v>3.84</v>
      </c>
    </row>
    <row r="291" spans="1:18" ht="15.75" customHeight="1" x14ac:dyDescent="0.2">
      <c r="A291" s="7">
        <v>288</v>
      </c>
      <c r="B291" s="7" t="s">
        <v>136</v>
      </c>
      <c r="C291" s="7" t="s">
        <v>205</v>
      </c>
      <c r="D291" s="7" t="s">
        <v>799</v>
      </c>
      <c r="E291" s="7" t="s">
        <v>800</v>
      </c>
      <c r="F291" s="8">
        <v>121</v>
      </c>
      <c r="G291" s="9">
        <v>0.12551867219917001</v>
      </c>
      <c r="H291" s="8">
        <v>49</v>
      </c>
      <c r="I291" s="8">
        <v>45</v>
      </c>
      <c r="J291" s="38">
        <v>0</v>
      </c>
      <c r="K291" s="38">
        <v>8.1632653061224497E-2</v>
      </c>
      <c r="L291" s="38">
        <v>2.2222222222222199E-2</v>
      </c>
      <c r="M291" s="38">
        <v>5.9410430839002298E-2</v>
      </c>
      <c r="N291" s="9">
        <v>0.35537190082644599</v>
      </c>
      <c r="O291" s="9">
        <v>0.43243243243243301</v>
      </c>
      <c r="P291" s="9">
        <v>0.73394495412843996</v>
      </c>
      <c r="Q291" s="42">
        <v>101</v>
      </c>
      <c r="R291" s="38">
        <v>5.05</v>
      </c>
    </row>
    <row r="292" spans="1:18" ht="15.75" customHeight="1" x14ac:dyDescent="0.2">
      <c r="A292" s="7">
        <v>289</v>
      </c>
      <c r="B292" s="7" t="s">
        <v>134</v>
      </c>
      <c r="C292" s="7" t="s">
        <v>151</v>
      </c>
      <c r="D292" s="7" t="s">
        <v>801</v>
      </c>
      <c r="E292" s="7" t="s">
        <v>802</v>
      </c>
      <c r="F292" s="8">
        <v>120</v>
      </c>
      <c r="G292" s="9">
        <v>0.13348164627363701</v>
      </c>
      <c r="H292" s="8">
        <v>44</v>
      </c>
      <c r="I292" s="8">
        <v>48</v>
      </c>
      <c r="J292" s="38">
        <v>0.108333333333333</v>
      </c>
      <c r="K292" s="38">
        <v>0.43181818181818199</v>
      </c>
      <c r="L292" s="38">
        <v>-8.3333333333333301E-2</v>
      </c>
      <c r="M292" s="38">
        <v>0.51515151515151503</v>
      </c>
      <c r="N292" s="9">
        <v>0.25833333333333303</v>
      </c>
      <c r="O292" s="9">
        <v>0.391891891891892</v>
      </c>
      <c r="P292" s="9">
        <v>0.75438596491228105</v>
      </c>
      <c r="Q292" s="42">
        <v>85</v>
      </c>
      <c r="R292" s="38">
        <v>2.4285714285714302</v>
      </c>
    </row>
    <row r="293" spans="1:18" ht="15.75" customHeight="1" x14ac:dyDescent="0.2">
      <c r="A293" s="7">
        <v>290</v>
      </c>
      <c r="B293" s="7" t="s">
        <v>152</v>
      </c>
      <c r="C293" s="7" t="s">
        <v>153</v>
      </c>
      <c r="D293" s="7" t="s">
        <v>803</v>
      </c>
      <c r="E293" s="7" t="s">
        <v>804</v>
      </c>
      <c r="F293" s="8">
        <v>120</v>
      </c>
      <c r="G293" s="9">
        <v>9.7402597402597393E-2</v>
      </c>
      <c r="H293" s="8">
        <v>39</v>
      </c>
      <c r="I293" s="8">
        <v>47</v>
      </c>
      <c r="J293" s="38">
        <v>-0.141666666666667</v>
      </c>
      <c r="K293" s="38">
        <v>0.17948717948717999</v>
      </c>
      <c r="L293" s="38">
        <v>-0.25531914893617003</v>
      </c>
      <c r="M293" s="38">
        <v>0.43480632842334999</v>
      </c>
      <c r="N293" s="9">
        <v>0.27500000000000002</v>
      </c>
      <c r="O293" s="9">
        <v>0.253164556962025</v>
      </c>
      <c r="P293" s="9">
        <v>0.52212389380530999</v>
      </c>
      <c r="Q293" s="42">
        <v>97</v>
      </c>
      <c r="R293" s="38">
        <v>4.2173913043478297</v>
      </c>
    </row>
    <row r="294" spans="1:18" ht="15.75" customHeight="1" x14ac:dyDescent="0.2">
      <c r="A294" s="7">
        <v>291</v>
      </c>
      <c r="B294" s="7" t="s">
        <v>134</v>
      </c>
      <c r="C294" s="7" t="s">
        <v>145</v>
      </c>
      <c r="D294" s="7" t="s">
        <v>805</v>
      </c>
      <c r="E294" s="7" t="s">
        <v>806</v>
      </c>
      <c r="F294" s="8">
        <v>120</v>
      </c>
      <c r="G294" s="9">
        <v>9.3823299452697406E-2</v>
      </c>
      <c r="H294" s="8">
        <v>48</v>
      </c>
      <c r="I294" s="8">
        <v>41</v>
      </c>
      <c r="J294" s="38">
        <v>0.133333333333333</v>
      </c>
      <c r="K294" s="38">
        <v>0.41666666666666702</v>
      </c>
      <c r="L294" s="38">
        <v>-0.17073170731707299</v>
      </c>
      <c r="M294" s="38">
        <v>0.58739837398373995</v>
      </c>
      <c r="N294" s="9">
        <v>0.36666666666666697</v>
      </c>
      <c r="O294" s="9">
        <v>0.29487179487179499</v>
      </c>
      <c r="P294" s="9">
        <v>0.63716814159292001</v>
      </c>
      <c r="Q294" s="42">
        <v>93</v>
      </c>
      <c r="R294" s="38">
        <v>3.44444444444445</v>
      </c>
    </row>
    <row r="295" spans="1:18" ht="15.75" customHeight="1" x14ac:dyDescent="0.2">
      <c r="A295" s="7">
        <v>292</v>
      </c>
      <c r="B295" s="7" t="s">
        <v>134</v>
      </c>
      <c r="C295" s="7" t="s">
        <v>135</v>
      </c>
      <c r="D295" s="7" t="s">
        <v>807</v>
      </c>
      <c r="E295" s="7" t="s">
        <v>808</v>
      </c>
      <c r="F295" s="8">
        <v>116</v>
      </c>
      <c r="G295" s="9">
        <v>0.17469879518072301</v>
      </c>
      <c r="H295" s="8">
        <v>38</v>
      </c>
      <c r="I295" s="8">
        <v>35</v>
      </c>
      <c r="J295" s="38">
        <v>0.232758620689655</v>
      </c>
      <c r="K295" s="38">
        <v>0.36842105263157898</v>
      </c>
      <c r="L295" s="38">
        <v>5.7142857142857099E-2</v>
      </c>
      <c r="M295" s="38">
        <v>0.31127819548872199</v>
      </c>
      <c r="N295" s="9">
        <v>0.47413793103448298</v>
      </c>
      <c r="O295" s="9">
        <v>0.113207547169811</v>
      </c>
      <c r="P295" s="9">
        <v>0.336842105263158</v>
      </c>
      <c r="Q295" s="42">
        <v>95</v>
      </c>
      <c r="R295" s="38">
        <v>4.5238095238095202</v>
      </c>
    </row>
    <row r="296" spans="1:18" ht="15.75" customHeight="1" x14ac:dyDescent="0.2">
      <c r="A296" s="7">
        <v>293</v>
      </c>
      <c r="B296" s="7" t="s">
        <v>134</v>
      </c>
      <c r="C296" s="7" t="s">
        <v>135</v>
      </c>
      <c r="D296" s="7" t="s">
        <v>809</v>
      </c>
      <c r="E296" s="7" t="s">
        <v>810</v>
      </c>
      <c r="F296" s="8">
        <v>116</v>
      </c>
      <c r="G296" s="9">
        <v>0.124064171122995</v>
      </c>
      <c r="H296" s="8">
        <v>45</v>
      </c>
      <c r="I296" s="8">
        <v>41</v>
      </c>
      <c r="J296" s="38">
        <v>0.15517241379310401</v>
      </c>
      <c r="K296" s="38">
        <v>0.37777777777777799</v>
      </c>
      <c r="L296" s="38">
        <v>0</v>
      </c>
      <c r="M296" s="38">
        <v>0.37777777777777799</v>
      </c>
      <c r="N296" s="9">
        <v>0.27586206896551702</v>
      </c>
      <c r="O296" s="9">
        <v>0.376811594202899</v>
      </c>
      <c r="P296" s="9">
        <v>0.66355140186915895</v>
      </c>
      <c r="Q296" s="42">
        <v>95</v>
      </c>
      <c r="R296" s="38">
        <v>4.5238095238095202</v>
      </c>
    </row>
    <row r="297" spans="1:18" ht="15.75" customHeight="1" x14ac:dyDescent="0.2">
      <c r="A297" s="7">
        <v>294</v>
      </c>
      <c r="B297" s="7" t="s">
        <v>134</v>
      </c>
      <c r="C297" s="7" t="s">
        <v>135</v>
      </c>
      <c r="D297" s="7" t="s">
        <v>811</v>
      </c>
      <c r="E297" s="7" t="s">
        <v>812</v>
      </c>
      <c r="F297" s="8">
        <v>115</v>
      </c>
      <c r="G297" s="9">
        <v>0.17774343122101999</v>
      </c>
      <c r="H297" s="8">
        <v>41</v>
      </c>
      <c r="I297" s="8">
        <v>36</v>
      </c>
      <c r="J297" s="38">
        <v>0.27826086956521701</v>
      </c>
      <c r="K297" s="38">
        <v>0.146341463414634</v>
      </c>
      <c r="L297" s="38">
        <v>0.36111111111111099</v>
      </c>
      <c r="M297" s="38">
        <v>-0.214769647696477</v>
      </c>
      <c r="N297" s="9">
        <v>0.33913043478260901</v>
      </c>
      <c r="O297" s="9">
        <v>0.17307692307692299</v>
      </c>
      <c r="P297" s="9">
        <v>0.50526315789473697</v>
      </c>
      <c r="Q297" s="42">
        <v>98</v>
      </c>
      <c r="R297" s="38">
        <v>5.7647058823529402</v>
      </c>
    </row>
    <row r="298" spans="1:18" ht="15.75" customHeight="1" x14ac:dyDescent="0.2">
      <c r="A298" s="7">
        <v>295</v>
      </c>
      <c r="B298" s="7" t="s">
        <v>136</v>
      </c>
      <c r="C298" s="7" t="s">
        <v>141</v>
      </c>
      <c r="D298" s="7" t="s">
        <v>813</v>
      </c>
      <c r="E298" s="7" t="s">
        <v>814</v>
      </c>
      <c r="F298" s="8">
        <v>115</v>
      </c>
      <c r="G298" s="9">
        <v>0.14896373056994799</v>
      </c>
      <c r="H298" s="8">
        <v>58</v>
      </c>
      <c r="I298" s="8">
        <v>33</v>
      </c>
      <c r="J298" s="38">
        <v>0.29565217391304399</v>
      </c>
      <c r="K298" s="38">
        <v>0.31034482758620702</v>
      </c>
      <c r="L298" s="38">
        <v>9.0909090909090898E-2</v>
      </c>
      <c r="M298" s="38">
        <v>0.21943573667711599</v>
      </c>
      <c r="N298" s="9">
        <v>0.26956521739130401</v>
      </c>
      <c r="O298" s="9">
        <v>0.352112676056338</v>
      </c>
      <c r="P298" s="9">
        <v>0.57547169811320797</v>
      </c>
      <c r="Q298" s="42">
        <v>87</v>
      </c>
      <c r="R298" s="38">
        <v>3.1071428571428599</v>
      </c>
    </row>
    <row r="299" spans="1:18" ht="15.75" customHeight="1" x14ac:dyDescent="0.2">
      <c r="A299" s="7">
        <v>296</v>
      </c>
      <c r="B299" s="7" t="s">
        <v>152</v>
      </c>
      <c r="C299" s="7" t="s">
        <v>180</v>
      </c>
      <c r="D299" s="7" t="s">
        <v>815</v>
      </c>
      <c r="E299" s="7" t="s">
        <v>816</v>
      </c>
      <c r="F299" s="8">
        <v>114</v>
      </c>
      <c r="G299" s="9">
        <v>0.12351029252437699</v>
      </c>
      <c r="H299" s="8">
        <v>38</v>
      </c>
      <c r="I299" s="8">
        <v>41</v>
      </c>
      <c r="J299" s="38">
        <v>-0.18421052631578999</v>
      </c>
      <c r="K299" s="38">
        <v>-0.105263157894737</v>
      </c>
      <c r="L299" s="38">
        <v>-0.24390243902438999</v>
      </c>
      <c r="M299" s="38">
        <v>0.13863928112965301</v>
      </c>
      <c r="N299" s="9">
        <v>0.27192982456140402</v>
      </c>
      <c r="O299" s="9">
        <v>0.44776119402985098</v>
      </c>
      <c r="P299" s="9">
        <v>0.69724770642201805</v>
      </c>
      <c r="Q299" s="42">
        <v>85</v>
      </c>
      <c r="R299" s="38">
        <v>2.9310344827586201</v>
      </c>
    </row>
    <row r="300" spans="1:18" ht="15.75" customHeight="1" x14ac:dyDescent="0.2">
      <c r="A300" s="7">
        <v>297</v>
      </c>
      <c r="B300" s="7" t="s">
        <v>152</v>
      </c>
      <c r="C300" s="7" t="s">
        <v>203</v>
      </c>
      <c r="D300" s="7" t="s">
        <v>817</v>
      </c>
      <c r="E300" s="7" t="s">
        <v>818</v>
      </c>
      <c r="F300" s="8">
        <v>114</v>
      </c>
      <c r="G300" s="9">
        <v>0.111764705882353</v>
      </c>
      <c r="H300" s="8">
        <v>43</v>
      </c>
      <c r="I300" s="8">
        <v>34</v>
      </c>
      <c r="J300" s="38">
        <v>-0.105263157894737</v>
      </c>
      <c r="K300" s="38">
        <v>0</v>
      </c>
      <c r="L300" s="38">
        <v>-0.29411764705882398</v>
      </c>
      <c r="M300" s="38">
        <v>0.29411764705882398</v>
      </c>
      <c r="N300" s="9">
        <v>0.21052631578947401</v>
      </c>
      <c r="O300" s="9">
        <v>0.27692307692307699</v>
      </c>
      <c r="P300" s="9">
        <v>0.61764705882352899</v>
      </c>
      <c r="Q300" s="42">
        <v>94</v>
      </c>
      <c r="R300" s="38">
        <v>4.7</v>
      </c>
    </row>
    <row r="301" spans="1:18" ht="15.75" customHeight="1" x14ac:dyDescent="0.2">
      <c r="A301" s="7">
        <v>298</v>
      </c>
      <c r="B301" s="7" t="s">
        <v>152</v>
      </c>
      <c r="C301" s="7" t="s">
        <v>193</v>
      </c>
      <c r="D301" s="7" t="s">
        <v>819</v>
      </c>
      <c r="E301" s="7" t="s">
        <v>820</v>
      </c>
      <c r="F301" s="8">
        <v>113</v>
      </c>
      <c r="G301" s="9">
        <v>0.117341640706127</v>
      </c>
      <c r="H301" s="8">
        <v>44</v>
      </c>
      <c r="I301" s="8">
        <v>43</v>
      </c>
      <c r="J301" s="38">
        <v>-0.35398230088495602</v>
      </c>
      <c r="K301" s="38">
        <v>-0.27272727272727298</v>
      </c>
      <c r="L301" s="38">
        <v>-0.46511627906976699</v>
      </c>
      <c r="M301" s="38">
        <v>0.19238900634249501</v>
      </c>
      <c r="N301" s="9">
        <v>0.20353982300885001</v>
      </c>
      <c r="O301" s="9">
        <v>0.337837837837838</v>
      </c>
      <c r="P301" s="9">
        <v>0.60952380952381002</v>
      </c>
      <c r="Q301" s="42">
        <v>82</v>
      </c>
      <c r="R301" s="38">
        <v>2.6451612903225801</v>
      </c>
    </row>
    <row r="302" spans="1:18" ht="15.75" customHeight="1" x14ac:dyDescent="0.2">
      <c r="A302" s="7">
        <v>299</v>
      </c>
      <c r="B302" s="7" t="s">
        <v>134</v>
      </c>
      <c r="C302" s="7" t="s">
        <v>135</v>
      </c>
      <c r="D302" s="7" t="s">
        <v>821</v>
      </c>
      <c r="E302" s="7" t="s">
        <v>822</v>
      </c>
      <c r="F302" s="8">
        <v>113</v>
      </c>
      <c r="G302" s="9">
        <v>0.13278495887191499</v>
      </c>
      <c r="H302" s="8">
        <v>41</v>
      </c>
      <c r="I302" s="8">
        <v>37</v>
      </c>
      <c r="J302" s="38">
        <v>0.265486725663717</v>
      </c>
      <c r="K302" s="38">
        <v>0.36585365853658502</v>
      </c>
      <c r="L302" s="38">
        <v>-2.7027027027027001E-2</v>
      </c>
      <c r="M302" s="38">
        <v>0.392880685563612</v>
      </c>
      <c r="N302" s="9">
        <v>0.25663716814159299</v>
      </c>
      <c r="O302" s="9">
        <v>0.16666666666666699</v>
      </c>
      <c r="P302" s="9">
        <v>0.35238095238095202</v>
      </c>
      <c r="Q302" s="42">
        <v>85</v>
      </c>
      <c r="R302" s="38">
        <v>3.03571428571429</v>
      </c>
    </row>
    <row r="303" spans="1:18" ht="15.75" customHeight="1" x14ac:dyDescent="0.2">
      <c r="A303" s="7">
        <v>300</v>
      </c>
      <c r="B303" s="7" t="s">
        <v>134</v>
      </c>
      <c r="C303" s="7" t="s">
        <v>184</v>
      </c>
      <c r="D303" s="7" t="s">
        <v>823</v>
      </c>
      <c r="E303" s="7" t="s">
        <v>824</v>
      </c>
      <c r="F303" s="8">
        <v>113</v>
      </c>
      <c r="G303" s="9">
        <v>0.13549160671462801</v>
      </c>
      <c r="H303" s="8">
        <v>52</v>
      </c>
      <c r="I303" s="8">
        <v>44</v>
      </c>
      <c r="J303" s="38">
        <v>0.11504424778761101</v>
      </c>
      <c r="K303" s="38">
        <v>0.30769230769230799</v>
      </c>
      <c r="L303" s="38">
        <v>-4.5454545454545497E-2</v>
      </c>
      <c r="M303" s="38">
        <v>0.35314685314685301</v>
      </c>
      <c r="N303" s="9">
        <v>0.33628318584070799</v>
      </c>
      <c r="O303" s="9">
        <v>0.2</v>
      </c>
      <c r="P303" s="9">
        <v>0.48148148148148201</v>
      </c>
      <c r="Q303" s="42">
        <v>82</v>
      </c>
      <c r="R303" s="38">
        <v>2.6451612903225801</v>
      </c>
    </row>
    <row r="304" spans="1:18" ht="15.75" customHeight="1" x14ac:dyDescent="0.2">
      <c r="A304" s="7">
        <v>301</v>
      </c>
      <c r="B304" s="7" t="s">
        <v>136</v>
      </c>
      <c r="C304" s="7" t="s">
        <v>134</v>
      </c>
      <c r="D304" s="7" t="s">
        <v>825</v>
      </c>
      <c r="E304" s="7" t="s">
        <v>826</v>
      </c>
      <c r="F304" s="8">
        <v>113</v>
      </c>
      <c r="G304" s="9">
        <v>0.12682379349046</v>
      </c>
      <c r="H304" s="8">
        <v>42</v>
      </c>
      <c r="I304" s="8">
        <v>58</v>
      </c>
      <c r="J304" s="38">
        <v>-0.29203539823008901</v>
      </c>
      <c r="K304" s="38">
        <v>2.3809523809523801E-2</v>
      </c>
      <c r="L304" s="38">
        <v>-0.55172413793103503</v>
      </c>
      <c r="M304" s="38">
        <v>0.57553366174055798</v>
      </c>
      <c r="N304" s="9">
        <v>0.212389380530973</v>
      </c>
      <c r="O304" s="9">
        <v>0.36842105263157898</v>
      </c>
      <c r="P304" s="9">
        <v>0.60909090909090902</v>
      </c>
      <c r="Q304" s="42">
        <v>80</v>
      </c>
      <c r="R304" s="38">
        <v>2.4242424242424199</v>
      </c>
    </row>
    <row r="305" spans="1:18" ht="15.75" customHeight="1" x14ac:dyDescent="0.2">
      <c r="A305" s="7">
        <v>302</v>
      </c>
      <c r="B305" s="7" t="s">
        <v>136</v>
      </c>
      <c r="C305" s="7" t="s">
        <v>164</v>
      </c>
      <c r="D305" s="7" t="s">
        <v>827</v>
      </c>
      <c r="E305" s="7" t="s">
        <v>828</v>
      </c>
      <c r="F305" s="8">
        <v>112</v>
      </c>
      <c r="G305" s="9">
        <v>0.12253829321663</v>
      </c>
      <c r="H305" s="8">
        <v>35</v>
      </c>
      <c r="I305" s="8">
        <v>50</v>
      </c>
      <c r="J305" s="38">
        <v>-0.32142857142857201</v>
      </c>
      <c r="K305" s="38">
        <v>-0.371428571428571</v>
      </c>
      <c r="L305" s="38">
        <v>-0.34</v>
      </c>
      <c r="M305" s="38">
        <v>-3.1428571428571403E-2</v>
      </c>
      <c r="N305" s="9">
        <v>0.25</v>
      </c>
      <c r="O305" s="9">
        <v>0.39393939393939398</v>
      </c>
      <c r="P305" s="9">
        <v>0.73529411764705899</v>
      </c>
      <c r="Q305" s="42">
        <v>95</v>
      </c>
      <c r="R305" s="38">
        <v>5.5882352941176503</v>
      </c>
    </row>
    <row r="306" spans="1:18" ht="15.75" customHeight="1" x14ac:dyDescent="0.2">
      <c r="A306" s="7">
        <v>303</v>
      </c>
      <c r="B306" s="7" t="s">
        <v>134</v>
      </c>
      <c r="C306" s="7" t="s">
        <v>135</v>
      </c>
      <c r="D306" s="7" t="s">
        <v>829</v>
      </c>
      <c r="E306" s="7" t="s">
        <v>830</v>
      </c>
      <c r="F306" s="8">
        <v>112</v>
      </c>
      <c r="G306" s="9">
        <v>0.150740242261104</v>
      </c>
      <c r="H306" s="8">
        <v>50</v>
      </c>
      <c r="I306" s="8">
        <v>22</v>
      </c>
      <c r="J306" s="38">
        <v>0.48214285714285698</v>
      </c>
      <c r="K306" s="38">
        <v>0.64</v>
      </c>
      <c r="L306" s="38">
        <v>0.27272727272727298</v>
      </c>
      <c r="M306" s="38">
        <v>0.36727272727272697</v>
      </c>
      <c r="N306" s="9">
        <v>0.33928571428571402</v>
      </c>
      <c r="O306" s="9">
        <v>0.30357142857142899</v>
      </c>
      <c r="P306" s="9">
        <v>0.57281553398058305</v>
      </c>
      <c r="Q306" s="42">
        <v>94</v>
      </c>
      <c r="R306" s="38">
        <v>5.2222222222222197</v>
      </c>
    </row>
    <row r="307" spans="1:18" ht="15.75" customHeight="1" x14ac:dyDescent="0.2">
      <c r="A307" s="7">
        <v>304</v>
      </c>
      <c r="B307" s="7" t="s">
        <v>136</v>
      </c>
      <c r="C307" s="7" t="s">
        <v>181</v>
      </c>
      <c r="D307" s="7" t="s">
        <v>831</v>
      </c>
      <c r="E307" s="7" t="s">
        <v>832</v>
      </c>
      <c r="F307" s="8">
        <v>111</v>
      </c>
      <c r="G307" s="9">
        <v>0.17343749999999999</v>
      </c>
      <c r="H307" s="8">
        <v>47</v>
      </c>
      <c r="I307" s="8">
        <v>37</v>
      </c>
      <c r="J307" s="38">
        <v>-0.117117117117117</v>
      </c>
      <c r="K307" s="38">
        <v>2.1276595744680899E-2</v>
      </c>
      <c r="L307" s="38">
        <v>-0.27027027027027001</v>
      </c>
      <c r="M307" s="38">
        <v>0.291546866014951</v>
      </c>
      <c r="N307" s="9">
        <v>0.27027027027027001</v>
      </c>
      <c r="O307" s="9">
        <v>0.36923076923076897</v>
      </c>
      <c r="P307" s="9">
        <v>0.74</v>
      </c>
      <c r="Q307" s="42">
        <v>92</v>
      </c>
      <c r="R307" s="38">
        <v>4.8421052631579</v>
      </c>
    </row>
    <row r="308" spans="1:18" ht="15.75" customHeight="1" x14ac:dyDescent="0.2">
      <c r="A308" s="7">
        <v>305</v>
      </c>
      <c r="B308" s="7" t="s">
        <v>136</v>
      </c>
      <c r="C308" s="7" t="s">
        <v>191</v>
      </c>
      <c r="D308" s="7" t="s">
        <v>833</v>
      </c>
      <c r="E308" s="7" t="s">
        <v>834</v>
      </c>
      <c r="F308" s="8">
        <v>111</v>
      </c>
      <c r="G308" s="9">
        <v>0.157894736842105</v>
      </c>
      <c r="H308" s="8">
        <v>35</v>
      </c>
      <c r="I308" s="8">
        <v>41</v>
      </c>
      <c r="J308" s="38">
        <v>0.126126126126126</v>
      </c>
      <c r="K308" s="38">
        <v>0.45714285714285702</v>
      </c>
      <c r="L308" s="38">
        <v>-9.7560975609756101E-2</v>
      </c>
      <c r="M308" s="38">
        <v>0.55470383275261304</v>
      </c>
      <c r="N308" s="9">
        <v>0.36936936936936898</v>
      </c>
      <c r="O308" s="9">
        <v>0.26470588235294101</v>
      </c>
      <c r="P308" s="9">
        <v>0.48</v>
      </c>
      <c r="Q308" s="42">
        <v>90</v>
      </c>
      <c r="R308" s="38">
        <v>4.28571428571429</v>
      </c>
    </row>
    <row r="309" spans="1:18" ht="15.75" customHeight="1" x14ac:dyDescent="0.2">
      <c r="A309" s="7">
        <v>306</v>
      </c>
      <c r="B309" s="7" t="s">
        <v>134</v>
      </c>
      <c r="C309" s="7" t="s">
        <v>135</v>
      </c>
      <c r="D309" s="7" t="s">
        <v>835</v>
      </c>
      <c r="E309" s="7" t="s">
        <v>836</v>
      </c>
      <c r="F309" s="8">
        <v>110</v>
      </c>
      <c r="G309" s="9">
        <v>0.11133603238866401</v>
      </c>
      <c r="H309" s="8">
        <v>37</v>
      </c>
      <c r="I309" s="8">
        <v>42</v>
      </c>
      <c r="J309" s="38">
        <v>0.13636363636363599</v>
      </c>
      <c r="K309" s="38">
        <v>0.37837837837837801</v>
      </c>
      <c r="L309" s="38">
        <v>7.1428571428571397E-2</v>
      </c>
      <c r="M309" s="38">
        <v>0.306949806949807</v>
      </c>
      <c r="N309" s="9">
        <v>0.37272727272727302</v>
      </c>
      <c r="O309" s="9">
        <v>0.32352941176470601</v>
      </c>
      <c r="P309" s="9">
        <v>0.67010309278350499</v>
      </c>
      <c r="Q309" s="42">
        <v>82</v>
      </c>
      <c r="R309" s="38">
        <v>2.9285714285714302</v>
      </c>
    </row>
    <row r="310" spans="1:18" ht="15.75" customHeight="1" x14ac:dyDescent="0.2">
      <c r="A310" s="7">
        <v>307</v>
      </c>
      <c r="B310" s="7" t="s">
        <v>134</v>
      </c>
      <c r="C310" s="7" t="s">
        <v>135</v>
      </c>
      <c r="D310" s="7" t="s">
        <v>837</v>
      </c>
      <c r="E310" s="7" t="s">
        <v>838</v>
      </c>
      <c r="F310" s="8">
        <v>110</v>
      </c>
      <c r="G310" s="9">
        <v>0.13732833957553101</v>
      </c>
      <c r="H310" s="8">
        <v>41</v>
      </c>
      <c r="I310" s="8">
        <v>35</v>
      </c>
      <c r="J310" s="38">
        <v>0.25454545454545502</v>
      </c>
      <c r="K310" s="38">
        <v>0.53658536585365901</v>
      </c>
      <c r="L310" s="38">
        <v>0.14285714285714299</v>
      </c>
      <c r="M310" s="38">
        <v>0.393728222996516</v>
      </c>
      <c r="N310" s="9">
        <v>0.4</v>
      </c>
      <c r="O310" s="9">
        <v>0.28813559322033899</v>
      </c>
      <c r="P310" s="9">
        <v>0.64705882352941202</v>
      </c>
      <c r="Q310" s="42">
        <v>86</v>
      </c>
      <c r="R310" s="38">
        <v>3.5833333333333299</v>
      </c>
    </row>
    <row r="311" spans="1:18" ht="15.75" customHeight="1" x14ac:dyDescent="0.2">
      <c r="A311" s="7">
        <v>308</v>
      </c>
      <c r="B311" s="7" t="s">
        <v>134</v>
      </c>
      <c r="C311" s="7" t="s">
        <v>135</v>
      </c>
      <c r="D311" s="7" t="s">
        <v>839</v>
      </c>
      <c r="E311" s="7" t="s">
        <v>840</v>
      </c>
      <c r="F311" s="8">
        <v>109</v>
      </c>
      <c r="G311" s="9">
        <v>0.113660062565172</v>
      </c>
      <c r="H311" s="8">
        <v>43</v>
      </c>
      <c r="I311" s="8">
        <v>34</v>
      </c>
      <c r="J311" s="38">
        <v>0.33027522935779802</v>
      </c>
      <c r="K311" s="38">
        <v>0.51162790697674398</v>
      </c>
      <c r="L311" s="38">
        <v>0.29411764705882398</v>
      </c>
      <c r="M311" s="38">
        <v>0.217510259917921</v>
      </c>
      <c r="N311" s="9">
        <v>0.26605504587155998</v>
      </c>
      <c r="O311" s="9">
        <v>0.43548387096774199</v>
      </c>
      <c r="P311" s="9">
        <v>0.66315789473684195</v>
      </c>
      <c r="Q311" s="42">
        <v>81</v>
      </c>
      <c r="R311" s="38">
        <v>2.8928571428571401</v>
      </c>
    </row>
    <row r="312" spans="1:18" ht="15.75" customHeight="1" x14ac:dyDescent="0.2">
      <c r="A312" s="7">
        <v>309</v>
      </c>
      <c r="B312" s="7" t="s">
        <v>134</v>
      </c>
      <c r="C312" s="7" t="s">
        <v>167</v>
      </c>
      <c r="D312" s="7" t="s">
        <v>841</v>
      </c>
      <c r="E312" s="7" t="s">
        <v>842</v>
      </c>
      <c r="F312" s="8">
        <v>109</v>
      </c>
      <c r="G312" s="9">
        <v>0.11771058315334799</v>
      </c>
      <c r="H312" s="8">
        <v>37</v>
      </c>
      <c r="I312" s="8">
        <v>53</v>
      </c>
      <c r="J312" s="38">
        <v>-0.22935779816513799</v>
      </c>
      <c r="K312" s="38">
        <v>0.35135135135135098</v>
      </c>
      <c r="L312" s="38">
        <v>-0.56603773584905703</v>
      </c>
      <c r="M312" s="38">
        <v>0.91738908720040802</v>
      </c>
      <c r="N312" s="9">
        <v>0.22018348623853201</v>
      </c>
      <c r="O312" s="9">
        <v>0.37333333333333302</v>
      </c>
      <c r="P312" s="9">
        <v>0.69306930693069302</v>
      </c>
      <c r="Q312" s="42">
        <v>79</v>
      </c>
      <c r="R312" s="38">
        <v>2.6333333333333302</v>
      </c>
    </row>
    <row r="313" spans="1:18" ht="15.75" customHeight="1" x14ac:dyDescent="0.2">
      <c r="A313" s="7">
        <v>310</v>
      </c>
      <c r="B313" s="7" t="s">
        <v>134</v>
      </c>
      <c r="C313" s="7" t="s">
        <v>167</v>
      </c>
      <c r="D313" s="7" t="s">
        <v>843</v>
      </c>
      <c r="E313" s="7" t="s">
        <v>844</v>
      </c>
      <c r="F313" s="8">
        <v>109</v>
      </c>
      <c r="G313" s="9">
        <v>0.132281553398058</v>
      </c>
      <c r="H313" s="8">
        <v>38</v>
      </c>
      <c r="I313" s="8">
        <v>46</v>
      </c>
      <c r="J313" s="38">
        <v>-0.34862385321100903</v>
      </c>
      <c r="K313" s="38">
        <v>-0.157894736842105</v>
      </c>
      <c r="L313" s="38">
        <v>-0.5</v>
      </c>
      <c r="M313" s="38">
        <v>0.34210526315789502</v>
      </c>
      <c r="N313" s="9">
        <v>0.22935779816513799</v>
      </c>
      <c r="O313" s="9">
        <v>0.31343283582089598</v>
      </c>
      <c r="P313" s="9">
        <v>0.61855670103092797</v>
      </c>
      <c r="Q313" s="42">
        <v>88</v>
      </c>
      <c r="R313" s="38">
        <v>4.1904761904761898</v>
      </c>
    </row>
    <row r="314" spans="1:18" ht="15.75" customHeight="1" x14ac:dyDescent="0.2">
      <c r="A314" s="7">
        <v>311</v>
      </c>
      <c r="B314" s="7" t="s">
        <v>136</v>
      </c>
      <c r="C314" s="7" t="s">
        <v>206</v>
      </c>
      <c r="D314" s="7" t="s">
        <v>845</v>
      </c>
      <c r="E314" s="7" t="s">
        <v>846</v>
      </c>
      <c r="F314" s="8">
        <v>109</v>
      </c>
      <c r="G314" s="9">
        <v>0.17301587301587301</v>
      </c>
      <c r="H314" s="8">
        <v>51</v>
      </c>
      <c r="I314" s="8">
        <v>42</v>
      </c>
      <c r="J314" s="38">
        <v>-0.119266055045872</v>
      </c>
      <c r="K314" s="38">
        <v>0.13725490196078399</v>
      </c>
      <c r="L314" s="38">
        <v>-0.476190476190476</v>
      </c>
      <c r="M314" s="38">
        <v>0.61344537815126099</v>
      </c>
      <c r="N314" s="9">
        <v>0.23853211009174299</v>
      </c>
      <c r="O314" s="9">
        <v>0.4</v>
      </c>
      <c r="P314" s="9">
        <v>0.73076923076923095</v>
      </c>
      <c r="Q314" s="42">
        <v>90</v>
      </c>
      <c r="R314" s="38">
        <v>4.7368421052631602</v>
      </c>
    </row>
    <row r="315" spans="1:18" ht="15.75" customHeight="1" x14ac:dyDescent="0.2">
      <c r="A315" s="7">
        <v>312</v>
      </c>
      <c r="B315" s="7" t="s">
        <v>136</v>
      </c>
      <c r="C315" s="7" t="s">
        <v>141</v>
      </c>
      <c r="D315" s="7" t="s">
        <v>847</v>
      </c>
      <c r="E315" s="7" t="s">
        <v>848</v>
      </c>
      <c r="F315" s="8">
        <v>109</v>
      </c>
      <c r="G315" s="9">
        <v>0.138324873096447</v>
      </c>
      <c r="H315" s="8">
        <v>48</v>
      </c>
      <c r="I315" s="8">
        <v>34</v>
      </c>
      <c r="J315" s="38">
        <v>9.1743119266055106E-2</v>
      </c>
      <c r="K315" s="38">
        <v>0.25</v>
      </c>
      <c r="L315" s="38">
        <v>-0.11764705882352899</v>
      </c>
      <c r="M315" s="38">
        <v>0.36764705882352899</v>
      </c>
      <c r="N315" s="9">
        <v>0.247706422018349</v>
      </c>
      <c r="O315" s="9">
        <v>0.44444444444444398</v>
      </c>
      <c r="P315" s="9">
        <v>0.70212765957446799</v>
      </c>
      <c r="Q315" s="42">
        <v>92</v>
      </c>
      <c r="R315" s="38">
        <v>5.4117647058823497</v>
      </c>
    </row>
    <row r="316" spans="1:18" ht="15.75" customHeight="1" x14ac:dyDescent="0.2">
      <c r="A316" s="7">
        <v>313</v>
      </c>
      <c r="B316" s="7" t="s">
        <v>136</v>
      </c>
      <c r="C316" s="7" t="s">
        <v>141</v>
      </c>
      <c r="D316" s="7" t="s">
        <v>849</v>
      </c>
      <c r="E316" s="7" t="s">
        <v>850</v>
      </c>
      <c r="F316" s="8">
        <v>108</v>
      </c>
      <c r="G316" s="9">
        <v>0.13935483870967699</v>
      </c>
      <c r="H316" s="8">
        <v>46</v>
      </c>
      <c r="I316" s="8">
        <v>40</v>
      </c>
      <c r="J316" s="38">
        <v>0.13888888888888901</v>
      </c>
      <c r="K316" s="38">
        <v>0.41304347826087001</v>
      </c>
      <c r="L316" s="38">
        <v>-0.17499999999999999</v>
      </c>
      <c r="M316" s="38">
        <v>0.58804347826087</v>
      </c>
      <c r="N316" s="9">
        <v>0.28703703703703698</v>
      </c>
      <c r="O316" s="9">
        <v>0.50724637681159401</v>
      </c>
      <c r="P316" s="9">
        <v>0.73</v>
      </c>
      <c r="Q316" s="42">
        <v>80</v>
      </c>
      <c r="R316" s="38">
        <v>2.8571428571428599</v>
      </c>
    </row>
    <row r="317" spans="1:18" ht="15.75" customHeight="1" x14ac:dyDescent="0.2">
      <c r="A317" s="7">
        <v>314</v>
      </c>
      <c r="B317" s="7" t="s">
        <v>136</v>
      </c>
      <c r="C317" s="7" t="s">
        <v>207</v>
      </c>
      <c r="D317" s="7" t="s">
        <v>851</v>
      </c>
      <c r="E317" s="7" t="s">
        <v>852</v>
      </c>
      <c r="F317" s="8">
        <v>107</v>
      </c>
      <c r="G317" s="9">
        <v>0.12829736211031201</v>
      </c>
      <c r="H317" s="8">
        <v>39</v>
      </c>
      <c r="I317" s="8">
        <v>41</v>
      </c>
      <c r="J317" s="38">
        <v>-0.10280373831775701</v>
      </c>
      <c r="K317" s="38">
        <v>-5.1282051282051301E-2</v>
      </c>
      <c r="L317" s="38">
        <v>-0.292682926829268</v>
      </c>
      <c r="M317" s="38">
        <v>0.24140087554721701</v>
      </c>
      <c r="N317" s="9">
        <v>0.31775700934579398</v>
      </c>
      <c r="O317" s="9">
        <v>0.39622641509433998</v>
      </c>
      <c r="P317" s="9">
        <v>0.56701030927835105</v>
      </c>
      <c r="Q317" s="42">
        <v>90</v>
      </c>
      <c r="R317" s="38">
        <v>5.2941176470588198</v>
      </c>
    </row>
    <row r="318" spans="1:18" ht="15.75" customHeight="1" x14ac:dyDescent="0.2">
      <c r="A318" s="7">
        <v>315</v>
      </c>
      <c r="B318" s="7" t="s">
        <v>134</v>
      </c>
      <c r="C318" s="7" t="s">
        <v>137</v>
      </c>
      <c r="D318" s="7" t="s">
        <v>853</v>
      </c>
      <c r="E318" s="7" t="s">
        <v>854</v>
      </c>
      <c r="F318" s="8">
        <v>106</v>
      </c>
      <c r="G318" s="9">
        <v>0.130061349693252</v>
      </c>
      <c r="H318" s="8">
        <v>41</v>
      </c>
      <c r="I318" s="8">
        <v>31</v>
      </c>
      <c r="J318" s="38">
        <v>0.39622641509433998</v>
      </c>
      <c r="K318" s="38">
        <v>0.53658536585365901</v>
      </c>
      <c r="L318" s="38">
        <v>0.32258064516128998</v>
      </c>
      <c r="M318" s="38">
        <v>0.21400472069236801</v>
      </c>
      <c r="N318" s="9">
        <v>0.30188679245283001</v>
      </c>
      <c r="O318" s="9">
        <v>0.484375</v>
      </c>
      <c r="P318" s="9">
        <v>0.69473684210526299</v>
      </c>
      <c r="Q318" s="42">
        <v>80</v>
      </c>
      <c r="R318" s="38">
        <v>3.0769230769230802</v>
      </c>
    </row>
    <row r="319" spans="1:18" ht="15.75" customHeight="1" x14ac:dyDescent="0.2">
      <c r="A319" s="7">
        <v>316</v>
      </c>
      <c r="B319" s="7" t="s">
        <v>136</v>
      </c>
      <c r="C319" s="7" t="s">
        <v>208</v>
      </c>
      <c r="D319" s="7" t="s">
        <v>855</v>
      </c>
      <c r="E319" s="7" t="s">
        <v>856</v>
      </c>
      <c r="F319" s="8">
        <v>106</v>
      </c>
      <c r="G319" s="9">
        <v>0.15229885057471301</v>
      </c>
      <c r="H319" s="8">
        <v>34</v>
      </c>
      <c r="I319" s="8">
        <v>39</v>
      </c>
      <c r="J319" s="38">
        <v>-0.26415094339622602</v>
      </c>
      <c r="K319" s="38">
        <v>-0.17647058823529399</v>
      </c>
      <c r="L319" s="38">
        <v>-0.512820512820513</v>
      </c>
      <c r="M319" s="38">
        <v>0.33634992458521901</v>
      </c>
      <c r="N319" s="9">
        <v>0.26415094339622602</v>
      </c>
      <c r="O319" s="9">
        <v>0.26785714285714302</v>
      </c>
      <c r="P319" s="9">
        <v>0.63043478260869601</v>
      </c>
      <c r="Q319" s="42">
        <v>94</v>
      </c>
      <c r="R319" s="38">
        <v>7.8333333333333304</v>
      </c>
    </row>
    <row r="320" spans="1:18" ht="15.75" customHeight="1" x14ac:dyDescent="0.2">
      <c r="A320" s="7">
        <v>317</v>
      </c>
      <c r="B320" s="7" t="s">
        <v>136</v>
      </c>
      <c r="C320" s="7" t="s">
        <v>162</v>
      </c>
      <c r="D320" s="7" t="s">
        <v>857</v>
      </c>
      <c r="E320" s="7" t="s">
        <v>858</v>
      </c>
      <c r="F320" s="8">
        <v>105</v>
      </c>
      <c r="G320" s="9">
        <v>0.13092269326683301</v>
      </c>
      <c r="H320" s="8">
        <v>43</v>
      </c>
      <c r="I320" s="8">
        <v>41</v>
      </c>
      <c r="J320" s="38">
        <v>-0.133333333333333</v>
      </c>
      <c r="K320" s="38">
        <v>-6.9767441860465101E-2</v>
      </c>
      <c r="L320" s="38">
        <v>-0.26829268292682901</v>
      </c>
      <c r="M320" s="38">
        <v>0.19852524106636399</v>
      </c>
      <c r="N320" s="9">
        <v>0.33333333333333298</v>
      </c>
      <c r="O320" s="9">
        <v>0.55714285714285705</v>
      </c>
      <c r="P320" s="9">
        <v>0.73469387755102</v>
      </c>
      <c r="Q320" s="42">
        <v>83</v>
      </c>
      <c r="R320" s="38">
        <v>3.7727272727272698</v>
      </c>
    </row>
    <row r="321" spans="1:18" ht="15.75" customHeight="1" x14ac:dyDescent="0.2">
      <c r="A321" s="7">
        <v>318</v>
      </c>
      <c r="B321" s="7" t="s">
        <v>152</v>
      </c>
      <c r="C321" s="7" t="s">
        <v>183</v>
      </c>
      <c r="D321" s="7" t="s">
        <v>859</v>
      </c>
      <c r="E321" s="7" t="s">
        <v>860</v>
      </c>
      <c r="F321" s="8">
        <v>105</v>
      </c>
      <c r="G321" s="9">
        <v>0.166931637519873</v>
      </c>
      <c r="H321" s="8">
        <v>44</v>
      </c>
      <c r="I321" s="8">
        <v>37</v>
      </c>
      <c r="J321" s="38">
        <v>-9.5238095238095299E-3</v>
      </c>
      <c r="K321" s="38">
        <v>0.18181818181818199</v>
      </c>
      <c r="L321" s="38">
        <v>-0.29729729729729698</v>
      </c>
      <c r="M321" s="38">
        <v>0.47911547911547903</v>
      </c>
      <c r="N321" s="9">
        <v>0.30476190476190501</v>
      </c>
      <c r="O321" s="9">
        <v>0.26229508196721302</v>
      </c>
      <c r="P321" s="9">
        <v>0.53191489361702105</v>
      </c>
      <c r="Q321" s="42">
        <v>84</v>
      </c>
      <c r="R321" s="38">
        <v>4</v>
      </c>
    </row>
    <row r="322" spans="1:18" ht="15.75" customHeight="1" x14ac:dyDescent="0.2">
      <c r="A322" s="7">
        <v>319</v>
      </c>
      <c r="B322" s="7" t="s">
        <v>134</v>
      </c>
      <c r="C322" s="7" t="s">
        <v>137</v>
      </c>
      <c r="D322" s="7" t="s">
        <v>861</v>
      </c>
      <c r="E322" s="7" t="s">
        <v>862</v>
      </c>
      <c r="F322" s="8">
        <v>104</v>
      </c>
      <c r="G322" s="9">
        <v>0.11607142857142901</v>
      </c>
      <c r="H322" s="8">
        <v>47</v>
      </c>
      <c r="I322" s="8">
        <v>35</v>
      </c>
      <c r="J322" s="38">
        <v>0.15384615384615399</v>
      </c>
      <c r="K322" s="38">
        <v>0.44680851063829802</v>
      </c>
      <c r="L322" s="38">
        <v>0</v>
      </c>
      <c r="M322" s="38">
        <v>0.44680851063829802</v>
      </c>
      <c r="N322" s="9">
        <v>0.25</v>
      </c>
      <c r="O322" s="9">
        <v>0.38333333333333303</v>
      </c>
      <c r="P322" s="9">
        <v>0.68817204301075297</v>
      </c>
      <c r="Q322" s="42">
        <v>76</v>
      </c>
      <c r="R322" s="38">
        <v>2.71428571428571</v>
      </c>
    </row>
    <row r="323" spans="1:18" ht="15.75" customHeight="1" x14ac:dyDescent="0.2">
      <c r="A323" s="7">
        <v>320</v>
      </c>
      <c r="B323" s="7" t="s">
        <v>134</v>
      </c>
      <c r="C323" s="7" t="s">
        <v>177</v>
      </c>
      <c r="D323" s="7" t="s">
        <v>863</v>
      </c>
      <c r="E323" s="7" t="s">
        <v>864</v>
      </c>
      <c r="F323" s="8">
        <v>104</v>
      </c>
      <c r="G323" s="9">
        <v>0.13684210526315799</v>
      </c>
      <c r="H323" s="8">
        <v>27</v>
      </c>
      <c r="I323" s="8">
        <v>49</v>
      </c>
      <c r="J323" s="38">
        <v>-0.480769230769231</v>
      </c>
      <c r="K323" s="38">
        <v>-0.44444444444444398</v>
      </c>
      <c r="L323" s="38">
        <v>-0.48979591836734698</v>
      </c>
      <c r="M323" s="38">
        <v>4.5351473922902501E-2</v>
      </c>
      <c r="N323" s="9">
        <v>0.17307692307692299</v>
      </c>
      <c r="O323" s="9">
        <v>0.434782608695652</v>
      </c>
      <c r="P323" s="9">
        <v>0.68041237113402098</v>
      </c>
      <c r="Q323" s="42">
        <v>79</v>
      </c>
      <c r="R323" s="38">
        <v>3.16</v>
      </c>
    </row>
    <row r="324" spans="1:18" ht="15.75" customHeight="1" x14ac:dyDescent="0.2">
      <c r="A324" s="7">
        <v>321</v>
      </c>
      <c r="B324" s="7" t="s">
        <v>152</v>
      </c>
      <c r="C324" s="7" t="s">
        <v>183</v>
      </c>
      <c r="D324" s="7" t="s">
        <v>865</v>
      </c>
      <c r="E324" s="7" t="s">
        <v>866</v>
      </c>
      <c r="F324" s="8">
        <v>103</v>
      </c>
      <c r="G324" s="9">
        <v>0.15606060606060601</v>
      </c>
      <c r="H324" s="8">
        <v>34</v>
      </c>
      <c r="I324" s="8">
        <v>38</v>
      </c>
      <c r="J324" s="38">
        <v>4.8543689320388397E-2</v>
      </c>
      <c r="K324" s="38">
        <v>0.17647058823529399</v>
      </c>
      <c r="L324" s="38">
        <v>-0.157894736842105</v>
      </c>
      <c r="M324" s="38">
        <v>0.33436532507739902</v>
      </c>
      <c r="N324" s="9">
        <v>0.29126213592233002</v>
      </c>
      <c r="O324" s="9">
        <v>0.134615384615385</v>
      </c>
      <c r="P324" s="9">
        <v>0.375</v>
      </c>
      <c r="Q324" s="42">
        <v>88</v>
      </c>
      <c r="R324" s="38">
        <v>5.8666666666666698</v>
      </c>
    </row>
    <row r="325" spans="1:18" ht="15.75" customHeight="1" x14ac:dyDescent="0.2">
      <c r="A325" s="7">
        <v>322</v>
      </c>
      <c r="B325" s="7" t="s">
        <v>152</v>
      </c>
      <c r="C325" s="7" t="s">
        <v>179</v>
      </c>
      <c r="D325" s="7" t="s">
        <v>867</v>
      </c>
      <c r="E325" s="7" t="s">
        <v>868</v>
      </c>
      <c r="F325" s="8">
        <v>103</v>
      </c>
      <c r="G325" s="9">
        <v>0.147353361945637</v>
      </c>
      <c r="H325" s="8">
        <v>40</v>
      </c>
      <c r="I325" s="8">
        <v>45</v>
      </c>
      <c r="J325" s="38">
        <v>-0.37864077669902901</v>
      </c>
      <c r="K325" s="38">
        <v>-0.15</v>
      </c>
      <c r="L325" s="38">
        <v>-0.53333333333333299</v>
      </c>
      <c r="M325" s="38">
        <v>0.38333333333333303</v>
      </c>
      <c r="N325" s="9">
        <v>0.19417475728155301</v>
      </c>
      <c r="O325" s="9">
        <v>0.309859154929577</v>
      </c>
      <c r="P325" s="9">
        <v>0.70526315789473704</v>
      </c>
      <c r="Q325" s="42">
        <v>72</v>
      </c>
      <c r="R325" s="38">
        <v>2.32258064516129</v>
      </c>
    </row>
    <row r="326" spans="1:18" ht="15.75" customHeight="1" x14ac:dyDescent="0.2">
      <c r="A326" s="7">
        <v>323</v>
      </c>
      <c r="B326" s="7" t="s">
        <v>152</v>
      </c>
      <c r="C326" s="7" t="s">
        <v>188</v>
      </c>
      <c r="D326" s="7" t="s">
        <v>869</v>
      </c>
      <c r="E326" s="7" t="s">
        <v>870</v>
      </c>
      <c r="F326" s="8">
        <v>103</v>
      </c>
      <c r="G326" s="9">
        <v>0.148629148629149</v>
      </c>
      <c r="H326" s="8">
        <v>47</v>
      </c>
      <c r="I326" s="8">
        <v>32</v>
      </c>
      <c r="J326" s="38">
        <v>-0.106796116504854</v>
      </c>
      <c r="K326" s="38">
        <v>0.14893617021276601</v>
      </c>
      <c r="L326" s="38">
        <v>-0.46875</v>
      </c>
      <c r="M326" s="38">
        <v>0.61768617021276595</v>
      </c>
      <c r="N326" s="9">
        <v>0.233009708737864</v>
      </c>
      <c r="O326" s="9">
        <v>0.37931034482758602</v>
      </c>
      <c r="P326" s="9">
        <v>0.557894736842105</v>
      </c>
      <c r="Q326" s="42">
        <v>81</v>
      </c>
      <c r="R326" s="38">
        <v>3.6818181818181799</v>
      </c>
    </row>
    <row r="327" spans="1:18" ht="15.75" customHeight="1" x14ac:dyDescent="0.2">
      <c r="A327" s="7">
        <v>324</v>
      </c>
      <c r="B327" s="7" t="s">
        <v>152</v>
      </c>
      <c r="C327" s="7" t="s">
        <v>170</v>
      </c>
      <c r="D327" s="7" t="s">
        <v>871</v>
      </c>
      <c r="E327" s="7" t="s">
        <v>872</v>
      </c>
      <c r="F327" s="8">
        <v>102</v>
      </c>
      <c r="G327" s="9">
        <v>0.16612377850162899</v>
      </c>
      <c r="H327" s="8">
        <v>39</v>
      </c>
      <c r="I327" s="8">
        <v>41</v>
      </c>
      <c r="J327" s="38">
        <v>-0.19607843137254899</v>
      </c>
      <c r="K327" s="38">
        <v>-0.15384615384615399</v>
      </c>
      <c r="L327" s="38">
        <v>-0.34146341463414598</v>
      </c>
      <c r="M327" s="38">
        <v>0.18761726078799301</v>
      </c>
      <c r="N327" s="9">
        <v>0.25490196078431399</v>
      </c>
      <c r="O327" s="9">
        <v>0.35714285714285698</v>
      </c>
      <c r="P327" s="9">
        <v>0.48275862068965503</v>
      </c>
      <c r="Q327" s="42">
        <v>80</v>
      </c>
      <c r="R327" s="38">
        <v>3.6363636363636398</v>
      </c>
    </row>
    <row r="328" spans="1:18" ht="15.75" customHeight="1" x14ac:dyDescent="0.2">
      <c r="A328" s="7">
        <v>325</v>
      </c>
      <c r="B328" s="7" t="s">
        <v>152</v>
      </c>
      <c r="C328" s="7" t="s">
        <v>201</v>
      </c>
      <c r="D328" s="7" t="s">
        <v>873</v>
      </c>
      <c r="E328" s="7" t="s">
        <v>874</v>
      </c>
      <c r="F328" s="8">
        <v>101</v>
      </c>
      <c r="G328" s="9">
        <v>0.10264227642276399</v>
      </c>
      <c r="H328" s="8">
        <v>42</v>
      </c>
      <c r="I328" s="8">
        <v>34</v>
      </c>
      <c r="J328" s="38">
        <v>-0.30693069306930698</v>
      </c>
      <c r="K328" s="38">
        <v>-0.19047619047619099</v>
      </c>
      <c r="L328" s="38">
        <v>-0.41176470588235298</v>
      </c>
      <c r="M328" s="38">
        <v>0.22128851540616301</v>
      </c>
      <c r="N328" s="9">
        <v>0.158415841584158</v>
      </c>
      <c r="O328" s="9">
        <v>0.29032258064516098</v>
      </c>
      <c r="P328" s="9">
        <v>0.61290322580645196</v>
      </c>
      <c r="Q328" s="42">
        <v>78</v>
      </c>
      <c r="R328" s="38">
        <v>3.39130434782609</v>
      </c>
    </row>
    <row r="329" spans="1:18" ht="15.75" customHeight="1" x14ac:dyDescent="0.2">
      <c r="A329" s="7">
        <v>326</v>
      </c>
      <c r="B329" s="7" t="s">
        <v>134</v>
      </c>
      <c r="C329" s="7" t="s">
        <v>135</v>
      </c>
      <c r="D329" s="7" t="s">
        <v>875</v>
      </c>
      <c r="E329" s="7" t="s">
        <v>876</v>
      </c>
      <c r="F329" s="8">
        <v>100</v>
      </c>
      <c r="G329" s="9">
        <v>0.107642626480086</v>
      </c>
      <c r="H329" s="8">
        <v>41</v>
      </c>
      <c r="I329" s="8">
        <v>40</v>
      </c>
      <c r="J329" s="38">
        <v>0.21</v>
      </c>
      <c r="K329" s="38">
        <v>0.39024390243902402</v>
      </c>
      <c r="L329" s="38">
        <v>2.5000000000000001E-2</v>
      </c>
      <c r="M329" s="38">
        <v>0.36524390243902399</v>
      </c>
      <c r="N329" s="9">
        <v>0.19</v>
      </c>
      <c r="O329" s="9">
        <v>0.44776119402985098</v>
      </c>
      <c r="P329" s="9">
        <v>0.71428571428571397</v>
      </c>
      <c r="Q329" s="42">
        <v>73</v>
      </c>
      <c r="R329" s="38">
        <v>2.7037037037037002</v>
      </c>
    </row>
    <row r="330" spans="1:18" ht="15.75" customHeight="1" x14ac:dyDescent="0.2">
      <c r="A330" s="7">
        <v>327</v>
      </c>
      <c r="B330" s="7" t="s">
        <v>136</v>
      </c>
      <c r="C330" s="7" t="s">
        <v>164</v>
      </c>
      <c r="D330" s="7" t="s">
        <v>877</v>
      </c>
      <c r="E330" s="7" t="s">
        <v>878</v>
      </c>
      <c r="F330" s="8">
        <v>100</v>
      </c>
      <c r="G330" s="9">
        <v>0.13404825737265399</v>
      </c>
      <c r="H330" s="8">
        <v>40</v>
      </c>
      <c r="I330" s="8">
        <v>36</v>
      </c>
      <c r="J330" s="38">
        <v>-0.44</v>
      </c>
      <c r="K330" s="38">
        <v>-0.47499999999999998</v>
      </c>
      <c r="L330" s="38">
        <v>-0.61111111111111105</v>
      </c>
      <c r="M330" s="38">
        <v>0.13611111111111099</v>
      </c>
      <c r="N330" s="9">
        <v>0.24</v>
      </c>
      <c r="O330" s="9">
        <v>0.41379310344827602</v>
      </c>
      <c r="P330" s="9">
        <v>0.67741935483870996</v>
      </c>
      <c r="Q330" s="42">
        <v>80</v>
      </c>
      <c r="R330" s="38">
        <v>4</v>
      </c>
    </row>
    <row r="331" spans="1:18" ht="15.75" customHeight="1" x14ac:dyDescent="0.2">
      <c r="A331" s="7">
        <v>328</v>
      </c>
      <c r="B331" s="7" t="s">
        <v>152</v>
      </c>
      <c r="C331" s="7" t="s">
        <v>195</v>
      </c>
      <c r="D331" s="7" t="s">
        <v>879</v>
      </c>
      <c r="E331" s="7" t="s">
        <v>880</v>
      </c>
      <c r="F331" s="8">
        <v>99</v>
      </c>
      <c r="G331" s="9">
        <v>0.107258938244854</v>
      </c>
      <c r="H331" s="8">
        <v>39</v>
      </c>
      <c r="I331" s="8">
        <v>36</v>
      </c>
      <c r="J331" s="38">
        <v>-0.51515151515151503</v>
      </c>
      <c r="K331" s="38">
        <v>-0.38461538461538503</v>
      </c>
      <c r="L331" s="38">
        <v>-0.66666666666666696</v>
      </c>
      <c r="M331" s="38">
        <v>0.28205128205128199</v>
      </c>
      <c r="N331" s="9">
        <v>0.20202020202020199</v>
      </c>
      <c r="O331" s="9">
        <v>0.25</v>
      </c>
      <c r="P331" s="9">
        <v>0.76595744680851097</v>
      </c>
      <c r="Q331" s="42">
        <v>69</v>
      </c>
      <c r="R331" s="38">
        <v>2.2999999999999998</v>
      </c>
    </row>
    <row r="332" spans="1:18" ht="15.75" customHeight="1" x14ac:dyDescent="0.2">
      <c r="A332" s="7">
        <v>329</v>
      </c>
      <c r="B332" s="7" t="s">
        <v>136</v>
      </c>
      <c r="C332" s="7" t="s">
        <v>156</v>
      </c>
      <c r="D332" s="7" t="s">
        <v>881</v>
      </c>
      <c r="E332" s="7" t="s">
        <v>882</v>
      </c>
      <c r="F332" s="8">
        <v>98</v>
      </c>
      <c r="G332" s="9">
        <v>0.10840707964601801</v>
      </c>
      <c r="H332" s="8">
        <v>33</v>
      </c>
      <c r="I332" s="8">
        <v>39</v>
      </c>
      <c r="J332" s="38">
        <v>-0.214285714285714</v>
      </c>
      <c r="K332" s="38">
        <v>-0.12121212121212099</v>
      </c>
      <c r="L332" s="38">
        <v>-0.35897435897435898</v>
      </c>
      <c r="M332" s="38">
        <v>0.23776223776223801</v>
      </c>
      <c r="N332" s="9">
        <v>0.214285714285714</v>
      </c>
      <c r="O332" s="9">
        <v>0.59677419354838701</v>
      </c>
      <c r="P332" s="9">
        <v>0.77777777777777801</v>
      </c>
      <c r="Q332" s="42">
        <v>79</v>
      </c>
      <c r="R332" s="38">
        <v>4.1578947368421098</v>
      </c>
    </row>
    <row r="333" spans="1:18" ht="15.75" customHeight="1" x14ac:dyDescent="0.2">
      <c r="A333" s="7">
        <v>330</v>
      </c>
      <c r="B333" s="7" t="s">
        <v>134</v>
      </c>
      <c r="C333" s="7" t="s">
        <v>142</v>
      </c>
      <c r="D333" s="7" t="s">
        <v>883</v>
      </c>
      <c r="E333" s="7" t="s">
        <v>884</v>
      </c>
      <c r="F333" s="8">
        <v>98</v>
      </c>
      <c r="G333" s="9">
        <v>0.12810457516339899</v>
      </c>
      <c r="H333" s="8">
        <v>43</v>
      </c>
      <c r="I333" s="8">
        <v>28</v>
      </c>
      <c r="J333" s="38">
        <v>0.183673469387755</v>
      </c>
      <c r="K333" s="38">
        <v>0.418604651162791</v>
      </c>
      <c r="L333" s="38">
        <v>-7.1428571428571397E-2</v>
      </c>
      <c r="M333" s="38">
        <v>0.49003322259136201</v>
      </c>
      <c r="N333" s="9">
        <v>0.26530612244898</v>
      </c>
      <c r="O333" s="9">
        <v>0.39622641509433998</v>
      </c>
      <c r="P333" s="9">
        <v>0.62637362637362604</v>
      </c>
      <c r="Q333" s="42">
        <v>79</v>
      </c>
      <c r="R333" s="38">
        <v>4.1578947368421098</v>
      </c>
    </row>
    <row r="334" spans="1:18" ht="15.75" customHeight="1" x14ac:dyDescent="0.2">
      <c r="A334" s="7">
        <v>331</v>
      </c>
      <c r="B334" s="7" t="s">
        <v>136</v>
      </c>
      <c r="C334" s="7" t="s">
        <v>161</v>
      </c>
      <c r="D334" s="7" t="s">
        <v>885</v>
      </c>
      <c r="E334" s="7" t="s">
        <v>886</v>
      </c>
      <c r="F334" s="8">
        <v>97</v>
      </c>
      <c r="G334" s="9">
        <v>0.138176638176638</v>
      </c>
      <c r="H334" s="8">
        <v>36</v>
      </c>
      <c r="I334" s="8">
        <v>45</v>
      </c>
      <c r="J334" s="38">
        <v>-8.2474226804123696E-2</v>
      </c>
      <c r="K334" s="38">
        <v>0.194444444444444</v>
      </c>
      <c r="L334" s="38">
        <v>-0.28888888888888897</v>
      </c>
      <c r="M334" s="38">
        <v>0.483333333333333</v>
      </c>
      <c r="N334" s="9">
        <v>0.17525773195876301</v>
      </c>
      <c r="O334" s="9">
        <v>0.42424242424242398</v>
      </c>
      <c r="P334" s="9">
        <v>0.67777777777777803</v>
      </c>
      <c r="Q334" s="42">
        <v>73</v>
      </c>
      <c r="R334" s="38">
        <v>3.0416666666666701</v>
      </c>
    </row>
    <row r="335" spans="1:18" ht="15.75" customHeight="1" x14ac:dyDescent="0.2">
      <c r="A335" s="7">
        <v>332</v>
      </c>
      <c r="B335" s="7" t="s">
        <v>136</v>
      </c>
      <c r="C335" s="7" t="s">
        <v>164</v>
      </c>
      <c r="D335" s="7" t="s">
        <v>887</v>
      </c>
      <c r="E335" s="7" t="s">
        <v>888</v>
      </c>
      <c r="F335" s="8">
        <v>96</v>
      </c>
      <c r="G335" s="9">
        <v>0.123393316195373</v>
      </c>
      <c r="H335" s="8">
        <v>34</v>
      </c>
      <c r="I335" s="8">
        <v>36</v>
      </c>
      <c r="J335" s="38">
        <v>-0.44791666666666702</v>
      </c>
      <c r="K335" s="38">
        <v>-0.52941176470588203</v>
      </c>
      <c r="L335" s="38">
        <v>-0.52777777777777801</v>
      </c>
      <c r="M335" s="38">
        <v>-1.63398692810457E-3</v>
      </c>
      <c r="N335" s="9">
        <v>0.19791666666666699</v>
      </c>
      <c r="O335" s="9">
        <v>0.44067796610169502</v>
      </c>
      <c r="P335" s="9">
        <v>0.66292134831460703</v>
      </c>
      <c r="Q335" s="42">
        <v>82</v>
      </c>
      <c r="R335" s="38">
        <v>5.8571428571428603</v>
      </c>
    </row>
    <row r="336" spans="1:18" ht="15.75" customHeight="1" x14ac:dyDescent="0.2">
      <c r="A336" s="7">
        <v>333</v>
      </c>
      <c r="B336" s="7" t="s">
        <v>136</v>
      </c>
      <c r="C336" s="7" t="s">
        <v>137</v>
      </c>
      <c r="D336" s="7" t="s">
        <v>889</v>
      </c>
      <c r="E336" s="7" t="s">
        <v>890</v>
      </c>
      <c r="F336" s="8">
        <v>96</v>
      </c>
      <c r="G336" s="9">
        <v>0.128170894526035</v>
      </c>
      <c r="H336" s="8">
        <v>47</v>
      </c>
      <c r="I336" s="8">
        <v>33</v>
      </c>
      <c r="J336" s="38">
        <v>0.36458333333333298</v>
      </c>
      <c r="K336" s="38">
        <v>0.61702127659574502</v>
      </c>
      <c r="L336" s="38">
        <v>6.0606060606060601E-2</v>
      </c>
      <c r="M336" s="38">
        <v>0.55641521598968402</v>
      </c>
      <c r="N336" s="9">
        <v>0.23958333333333301</v>
      </c>
      <c r="O336" s="9">
        <v>0.34848484848484901</v>
      </c>
      <c r="P336" s="9">
        <v>0.60439560439560402</v>
      </c>
      <c r="Q336" s="42">
        <v>66</v>
      </c>
      <c r="R336" s="38">
        <v>2.2000000000000002</v>
      </c>
    </row>
    <row r="337" spans="1:18" ht="15.75" customHeight="1" x14ac:dyDescent="0.2">
      <c r="A337" s="7">
        <v>334</v>
      </c>
      <c r="B337" s="7" t="s">
        <v>152</v>
      </c>
      <c r="C337" s="7" t="s">
        <v>210</v>
      </c>
      <c r="D337" s="7" t="s">
        <v>891</v>
      </c>
      <c r="E337" s="7" t="s">
        <v>892</v>
      </c>
      <c r="F337" s="8">
        <v>95</v>
      </c>
      <c r="G337" s="9">
        <v>0.129251700680272</v>
      </c>
      <c r="H337" s="8">
        <v>38</v>
      </c>
      <c r="I337" s="8">
        <v>31</v>
      </c>
      <c r="J337" s="38">
        <v>-0.442105263157895</v>
      </c>
      <c r="K337" s="38">
        <v>-0.18421052631578999</v>
      </c>
      <c r="L337" s="38">
        <v>-0.77419354838709697</v>
      </c>
      <c r="M337" s="38">
        <v>0.58998302207130704</v>
      </c>
      <c r="N337" s="9">
        <v>0.13684210526315799</v>
      </c>
      <c r="O337" s="9">
        <v>0.60655737704918</v>
      </c>
      <c r="P337" s="9">
        <v>0.76744186046511598</v>
      </c>
      <c r="Q337" s="42">
        <v>76</v>
      </c>
      <c r="R337" s="38">
        <v>4</v>
      </c>
    </row>
    <row r="338" spans="1:18" ht="15.75" customHeight="1" x14ac:dyDescent="0.2">
      <c r="A338" s="7">
        <v>335</v>
      </c>
      <c r="B338" s="7" t="s">
        <v>134</v>
      </c>
      <c r="C338" s="7" t="s">
        <v>151</v>
      </c>
      <c r="D338" s="7" t="s">
        <v>893</v>
      </c>
      <c r="E338" s="7" t="s">
        <v>894</v>
      </c>
      <c r="F338" s="8">
        <v>95</v>
      </c>
      <c r="G338" s="9">
        <v>0.12273901808785501</v>
      </c>
      <c r="H338" s="8">
        <v>33</v>
      </c>
      <c r="I338" s="8">
        <v>37</v>
      </c>
      <c r="J338" s="38">
        <v>1.05263157894737E-2</v>
      </c>
      <c r="K338" s="38">
        <v>0.33333333333333298</v>
      </c>
      <c r="L338" s="38">
        <v>-0.40540540540540498</v>
      </c>
      <c r="M338" s="38">
        <v>0.73873873873873896</v>
      </c>
      <c r="N338" s="9">
        <v>0.231578947368421</v>
      </c>
      <c r="O338" s="9">
        <v>0.58928571428571397</v>
      </c>
      <c r="P338" s="9">
        <v>0.75268817204301097</v>
      </c>
      <c r="Q338" s="42">
        <v>76</v>
      </c>
      <c r="R338" s="38">
        <v>4</v>
      </c>
    </row>
    <row r="339" spans="1:18" ht="15.75" customHeight="1" x14ac:dyDescent="0.2">
      <c r="A339" s="7">
        <v>336</v>
      </c>
      <c r="B339" s="7" t="s">
        <v>136</v>
      </c>
      <c r="C339" s="7" t="s">
        <v>194</v>
      </c>
      <c r="D339" s="7" t="s">
        <v>895</v>
      </c>
      <c r="E339" s="7" t="s">
        <v>896</v>
      </c>
      <c r="F339" s="8">
        <v>93</v>
      </c>
      <c r="G339" s="9">
        <v>0.10677382319173399</v>
      </c>
      <c r="H339" s="8">
        <v>31</v>
      </c>
      <c r="I339" s="8">
        <v>39</v>
      </c>
      <c r="J339" s="38">
        <v>-0.204301075268817</v>
      </c>
      <c r="K339" s="38">
        <v>-0.12903225806451599</v>
      </c>
      <c r="L339" s="38">
        <v>-0.28205128205128199</v>
      </c>
      <c r="M339" s="38">
        <v>0.15301902398676601</v>
      </c>
      <c r="N339" s="9">
        <v>0.236559139784946</v>
      </c>
      <c r="O339" s="9">
        <v>0.35087719298245601</v>
      </c>
      <c r="P339" s="9">
        <v>0.61176470588235299</v>
      </c>
      <c r="Q339" s="42">
        <v>73</v>
      </c>
      <c r="R339" s="38">
        <v>3.65</v>
      </c>
    </row>
    <row r="340" spans="1:18" ht="15.75" customHeight="1" x14ac:dyDescent="0.2">
      <c r="A340" s="7">
        <v>337</v>
      </c>
      <c r="B340" s="7" t="s">
        <v>152</v>
      </c>
      <c r="C340" s="7" t="s">
        <v>182</v>
      </c>
      <c r="D340" s="7" t="s">
        <v>897</v>
      </c>
      <c r="E340" s="7" t="s">
        <v>898</v>
      </c>
      <c r="F340" s="8">
        <v>93</v>
      </c>
      <c r="G340" s="9">
        <v>0.117128463476071</v>
      </c>
      <c r="H340" s="8">
        <v>44</v>
      </c>
      <c r="I340" s="8">
        <v>34</v>
      </c>
      <c r="J340" s="38">
        <v>-0.10752688172043</v>
      </c>
      <c r="K340" s="38">
        <v>-9.0909090909090898E-2</v>
      </c>
      <c r="L340" s="38">
        <v>-0.23529411764705899</v>
      </c>
      <c r="M340" s="38">
        <v>0.14438502673796799</v>
      </c>
      <c r="N340" s="9">
        <v>0.29032258064516098</v>
      </c>
      <c r="O340" s="9">
        <v>0.29411764705882398</v>
      </c>
      <c r="P340" s="9">
        <v>0.54117647058823504</v>
      </c>
      <c r="Q340" s="42">
        <v>71</v>
      </c>
      <c r="R340" s="38">
        <v>3.2272727272727302</v>
      </c>
    </row>
    <row r="341" spans="1:18" ht="15.75" customHeight="1" x14ac:dyDescent="0.2">
      <c r="A341" s="7">
        <v>338</v>
      </c>
      <c r="B341" s="7" t="s">
        <v>152</v>
      </c>
      <c r="C341" s="7" t="s">
        <v>188</v>
      </c>
      <c r="D341" s="7" t="s">
        <v>899</v>
      </c>
      <c r="E341" s="7" t="s">
        <v>900</v>
      </c>
      <c r="F341" s="8">
        <v>91</v>
      </c>
      <c r="G341" s="9">
        <v>0.16977611940298501</v>
      </c>
      <c r="H341" s="8">
        <v>37</v>
      </c>
      <c r="I341" s="8">
        <v>28</v>
      </c>
      <c r="J341" s="38">
        <v>-2.1978021978022001E-2</v>
      </c>
      <c r="K341" s="38">
        <v>8.1081081081081099E-2</v>
      </c>
      <c r="L341" s="38">
        <v>-0.107142857142857</v>
      </c>
      <c r="M341" s="38">
        <v>0.18822393822393799</v>
      </c>
      <c r="N341" s="9">
        <v>0.40659340659340698</v>
      </c>
      <c r="O341" s="9">
        <v>0.236363636363636</v>
      </c>
      <c r="P341" s="9">
        <v>0.51249999999999996</v>
      </c>
      <c r="Q341" s="42">
        <v>72</v>
      </c>
      <c r="R341" s="38">
        <v>3.7894736842105301</v>
      </c>
    </row>
    <row r="342" spans="1:18" ht="15.75" customHeight="1" x14ac:dyDescent="0.2">
      <c r="A342" s="7">
        <v>339</v>
      </c>
      <c r="B342" s="7" t="s">
        <v>134</v>
      </c>
      <c r="C342" s="7" t="s">
        <v>142</v>
      </c>
      <c r="D342" s="7" t="s">
        <v>901</v>
      </c>
      <c r="E342" s="7" t="s">
        <v>902</v>
      </c>
      <c r="F342" s="8">
        <v>91</v>
      </c>
      <c r="G342" s="9">
        <v>0.114754098360656</v>
      </c>
      <c r="H342" s="8">
        <v>32</v>
      </c>
      <c r="I342" s="8">
        <v>33</v>
      </c>
      <c r="J342" s="38">
        <v>-9.8901098901098897E-2</v>
      </c>
      <c r="K342" s="38">
        <v>0.21875</v>
      </c>
      <c r="L342" s="38">
        <v>-0.27272727272727298</v>
      </c>
      <c r="M342" s="38">
        <v>0.49147727272727298</v>
      </c>
      <c r="N342" s="9">
        <v>0.21978021978022</v>
      </c>
      <c r="O342" s="9">
        <v>0.36363636363636398</v>
      </c>
      <c r="P342" s="9">
        <v>0.708860759493671</v>
      </c>
      <c r="Q342" s="42">
        <v>74</v>
      </c>
      <c r="R342" s="38">
        <v>4.3529411764705896</v>
      </c>
    </row>
    <row r="343" spans="1:18" ht="15.75" customHeight="1" x14ac:dyDescent="0.2">
      <c r="A343" s="7">
        <v>340</v>
      </c>
      <c r="B343" s="7" t="s">
        <v>134</v>
      </c>
      <c r="C343" s="7" t="s">
        <v>150</v>
      </c>
      <c r="D343" s="7" t="s">
        <v>903</v>
      </c>
      <c r="E343" s="7" t="s">
        <v>904</v>
      </c>
      <c r="F343" s="8">
        <v>91</v>
      </c>
      <c r="G343" s="9">
        <v>0.118489583333333</v>
      </c>
      <c r="H343" s="8">
        <v>39</v>
      </c>
      <c r="I343" s="8">
        <v>37</v>
      </c>
      <c r="J343" s="38">
        <v>7.69230769230769E-2</v>
      </c>
      <c r="K343" s="38">
        <v>0.43589743589743601</v>
      </c>
      <c r="L343" s="38">
        <v>-0.37837837837837801</v>
      </c>
      <c r="M343" s="38">
        <v>0.81427581427581397</v>
      </c>
      <c r="N343" s="9">
        <v>0.175824175824176</v>
      </c>
      <c r="O343" s="9">
        <v>0.55555555555555602</v>
      </c>
      <c r="P343" s="9">
        <v>0.70588235294117696</v>
      </c>
      <c r="Q343" s="42">
        <v>74</v>
      </c>
      <c r="R343" s="38">
        <v>4.3529411764705896</v>
      </c>
    </row>
    <row r="344" spans="1:18" ht="15.75" customHeight="1" x14ac:dyDescent="0.2">
      <c r="A344" s="7">
        <v>341</v>
      </c>
      <c r="B344" s="7" t="s">
        <v>152</v>
      </c>
      <c r="C344" s="7" t="s">
        <v>180</v>
      </c>
      <c r="D344" s="7" t="s">
        <v>905</v>
      </c>
      <c r="E344" s="7" t="s">
        <v>906</v>
      </c>
      <c r="F344" s="8">
        <v>90</v>
      </c>
      <c r="G344" s="9">
        <v>0.112079701120797</v>
      </c>
      <c r="H344" s="8">
        <v>26</v>
      </c>
      <c r="I344" s="8">
        <v>38</v>
      </c>
      <c r="J344" s="38">
        <v>-0.11111111111111099</v>
      </c>
      <c r="K344" s="38">
        <v>3.8461538461538498E-2</v>
      </c>
      <c r="L344" s="38">
        <v>-0.157894736842105</v>
      </c>
      <c r="M344" s="38">
        <v>0.196356275303644</v>
      </c>
      <c r="N344" s="9">
        <v>0.22222222222222199</v>
      </c>
      <c r="O344" s="9">
        <v>0.28070175438596501</v>
      </c>
      <c r="P344" s="9">
        <v>0.556962025316456</v>
      </c>
      <c r="Q344" s="42">
        <v>70</v>
      </c>
      <c r="R344" s="38">
        <v>3.5</v>
      </c>
    </row>
    <row r="345" spans="1:18" ht="15.75" customHeight="1" x14ac:dyDescent="0.2">
      <c r="A345" s="7">
        <v>342</v>
      </c>
      <c r="B345" s="7" t="s">
        <v>152</v>
      </c>
      <c r="C345" s="7" t="s">
        <v>211</v>
      </c>
      <c r="D345" s="7" t="s">
        <v>907</v>
      </c>
      <c r="E345" s="7" t="s">
        <v>908</v>
      </c>
      <c r="F345" s="8">
        <v>90</v>
      </c>
      <c r="G345" s="9">
        <v>0.149501661129568</v>
      </c>
      <c r="H345" s="8">
        <v>27</v>
      </c>
      <c r="I345" s="8">
        <v>37</v>
      </c>
      <c r="J345" s="38">
        <v>-0.25555555555555598</v>
      </c>
      <c r="K345" s="38">
        <v>0</v>
      </c>
      <c r="L345" s="38">
        <v>-0.48648648648648701</v>
      </c>
      <c r="M345" s="38">
        <v>0.48648648648648701</v>
      </c>
      <c r="N345" s="9">
        <v>0.3</v>
      </c>
      <c r="O345" s="9">
        <v>0.36734693877551</v>
      </c>
      <c r="P345" s="9">
        <v>0.469879518072289</v>
      </c>
      <c r="Q345" s="42">
        <v>74</v>
      </c>
      <c r="R345" s="38">
        <v>4.625</v>
      </c>
    </row>
    <row r="346" spans="1:18" ht="15.75" customHeight="1" x14ac:dyDescent="0.2">
      <c r="A346" s="7">
        <v>343</v>
      </c>
      <c r="B346" s="7" t="s">
        <v>152</v>
      </c>
      <c r="C346" s="7" t="s">
        <v>180</v>
      </c>
      <c r="D346" s="7" t="s">
        <v>909</v>
      </c>
      <c r="E346" s="7" t="s">
        <v>910</v>
      </c>
      <c r="F346" s="8">
        <v>89</v>
      </c>
      <c r="G346" s="9">
        <v>0.13011695906432799</v>
      </c>
      <c r="H346" s="8">
        <v>31</v>
      </c>
      <c r="I346" s="8">
        <v>29</v>
      </c>
      <c r="J346" s="38">
        <v>0.202247191011236</v>
      </c>
      <c r="K346" s="38">
        <v>0.25806451612903197</v>
      </c>
      <c r="L346" s="38">
        <v>-6.8965517241379296E-2</v>
      </c>
      <c r="M346" s="38">
        <v>0.32703003337041198</v>
      </c>
      <c r="N346" s="9">
        <v>0.30337078651685401</v>
      </c>
      <c r="O346" s="9">
        <v>0.36363636363636398</v>
      </c>
      <c r="P346" s="9">
        <v>0.620253164556962</v>
      </c>
      <c r="Q346" s="42">
        <v>75</v>
      </c>
      <c r="R346" s="38">
        <v>5.3571428571428603</v>
      </c>
    </row>
    <row r="347" spans="1:18" ht="15.75" customHeight="1" x14ac:dyDescent="0.2">
      <c r="A347" s="7">
        <v>344</v>
      </c>
      <c r="B347" s="7" t="s">
        <v>134</v>
      </c>
      <c r="C347" s="7" t="s">
        <v>184</v>
      </c>
      <c r="D347" s="7" t="s">
        <v>911</v>
      </c>
      <c r="E347" s="7" t="s">
        <v>912</v>
      </c>
      <c r="F347" s="8">
        <v>89</v>
      </c>
      <c r="G347" s="9">
        <v>0.14471544715447199</v>
      </c>
      <c r="H347" s="8">
        <v>41</v>
      </c>
      <c r="I347" s="8">
        <v>32</v>
      </c>
      <c r="J347" s="38">
        <v>-5.6179775280898903E-2</v>
      </c>
      <c r="K347" s="38">
        <v>4.8780487804878099E-2</v>
      </c>
      <c r="L347" s="38">
        <v>-0.125</v>
      </c>
      <c r="M347" s="38">
        <v>0.17378048780487801</v>
      </c>
      <c r="N347" s="9">
        <v>0.35955056179775302</v>
      </c>
      <c r="O347" s="9">
        <v>0.22641509433962301</v>
      </c>
      <c r="P347" s="9">
        <v>0.51249999999999996</v>
      </c>
      <c r="Q347" s="42">
        <v>73</v>
      </c>
      <c r="R347" s="38">
        <v>4.5625</v>
      </c>
    </row>
    <row r="348" spans="1:18" ht="15.75" customHeight="1" x14ac:dyDescent="0.2">
      <c r="A348" s="7">
        <v>345</v>
      </c>
      <c r="B348" s="7" t="s">
        <v>152</v>
      </c>
      <c r="C348" s="7" t="s">
        <v>209</v>
      </c>
      <c r="D348" s="7" t="s">
        <v>913</v>
      </c>
      <c r="E348" s="7" t="s">
        <v>914</v>
      </c>
      <c r="F348" s="8">
        <v>86</v>
      </c>
      <c r="G348" s="9">
        <v>8.5657370517928294E-2</v>
      </c>
      <c r="H348" s="8">
        <v>30</v>
      </c>
      <c r="I348" s="8">
        <v>30</v>
      </c>
      <c r="J348" s="38">
        <v>-0.22093023255814001</v>
      </c>
      <c r="K348" s="38">
        <v>-6.6666666666666693E-2</v>
      </c>
      <c r="L348" s="38">
        <v>-0.4</v>
      </c>
      <c r="M348" s="38">
        <v>0.33333333333333298</v>
      </c>
      <c r="N348" s="9">
        <v>0.36046511627907002</v>
      </c>
      <c r="O348" s="9">
        <v>0.340425531914894</v>
      </c>
      <c r="P348" s="9">
        <v>0.556962025316456</v>
      </c>
      <c r="Q348" s="42">
        <v>71</v>
      </c>
      <c r="R348" s="38">
        <v>4.7333333333333298</v>
      </c>
    </row>
    <row r="349" spans="1:18" ht="15.75" customHeight="1" x14ac:dyDescent="0.2">
      <c r="A349" s="7">
        <v>346</v>
      </c>
      <c r="B349" s="7" t="s">
        <v>134</v>
      </c>
      <c r="C349" s="7" t="s">
        <v>151</v>
      </c>
      <c r="D349" s="7" t="s">
        <v>915</v>
      </c>
      <c r="E349" s="7" t="s">
        <v>916</v>
      </c>
      <c r="F349" s="8">
        <v>81</v>
      </c>
      <c r="G349" s="9">
        <v>9.9508599508599499E-2</v>
      </c>
      <c r="H349" s="8">
        <v>31</v>
      </c>
      <c r="I349" s="8">
        <v>26</v>
      </c>
      <c r="J349" s="38">
        <v>-8.6419753086419804E-2</v>
      </c>
      <c r="K349" s="38">
        <v>0.19354838709677399</v>
      </c>
      <c r="L349" s="38">
        <v>-0.38461538461538503</v>
      </c>
      <c r="M349" s="38">
        <v>0.57816377171215905</v>
      </c>
      <c r="N349" s="9">
        <v>0.24691358024691401</v>
      </c>
      <c r="O349" s="9">
        <v>0.42</v>
      </c>
      <c r="P349" s="9">
        <v>0.69014084507042295</v>
      </c>
      <c r="Q349" s="42">
        <v>61</v>
      </c>
      <c r="R349" s="38">
        <v>3.05</v>
      </c>
    </row>
    <row r="350" spans="1:18" ht="15.75" customHeight="1" x14ac:dyDescent="0.2">
      <c r="A350" s="7">
        <v>347</v>
      </c>
      <c r="B350" s="7" t="s">
        <v>136</v>
      </c>
      <c r="C350" s="7" t="s">
        <v>181</v>
      </c>
      <c r="D350" s="7" t="s">
        <v>917</v>
      </c>
      <c r="E350" s="7" t="s">
        <v>918</v>
      </c>
      <c r="F350" s="8">
        <v>79</v>
      </c>
      <c r="G350" s="9">
        <v>0.16880341880341901</v>
      </c>
      <c r="H350" s="8">
        <v>33</v>
      </c>
      <c r="I350" s="8">
        <v>28</v>
      </c>
      <c r="J350" s="38">
        <v>-2.53164556962025E-2</v>
      </c>
      <c r="K350" s="38">
        <v>0.24242424242424199</v>
      </c>
      <c r="L350" s="38">
        <v>-0.35714285714285698</v>
      </c>
      <c r="M350" s="38">
        <v>0.59956709956709997</v>
      </c>
      <c r="N350" s="9">
        <v>0.240506329113924</v>
      </c>
      <c r="O350" s="9">
        <v>0.33333333333333298</v>
      </c>
      <c r="P350" s="9">
        <v>0.57142857142857095</v>
      </c>
      <c r="Q350" s="42">
        <v>61</v>
      </c>
      <c r="R350" s="38">
        <v>3.3888888888888902</v>
      </c>
    </row>
    <row r="351" spans="1:18" ht="15.75" customHeight="1" x14ac:dyDescent="0.2">
      <c r="A351" s="7">
        <v>348</v>
      </c>
      <c r="B351" s="7" t="s">
        <v>152</v>
      </c>
      <c r="C351" s="7" t="s">
        <v>188</v>
      </c>
      <c r="D351" s="7" t="s">
        <v>919</v>
      </c>
      <c r="E351" s="7" t="s">
        <v>920</v>
      </c>
      <c r="F351" s="8">
        <v>73</v>
      </c>
      <c r="G351" s="9">
        <v>0.14119922630560899</v>
      </c>
      <c r="H351" s="8">
        <v>23</v>
      </c>
      <c r="I351" s="8">
        <v>28</v>
      </c>
      <c r="J351" s="38">
        <v>-0.232876712328767</v>
      </c>
      <c r="K351" s="38">
        <v>-8.6956521739130405E-2</v>
      </c>
      <c r="L351" s="38">
        <v>-0.46428571428571402</v>
      </c>
      <c r="M351" s="38">
        <v>0.37732919254658398</v>
      </c>
      <c r="N351" s="9">
        <v>0.27397260273972601</v>
      </c>
      <c r="O351" s="9">
        <v>0.22727272727272699</v>
      </c>
      <c r="P351" s="9">
        <v>0.60294117647058798</v>
      </c>
      <c r="Q351" s="42">
        <v>58</v>
      </c>
      <c r="R351" s="38">
        <v>3.8666666666666698</v>
      </c>
    </row>
    <row r="352" spans="1:18" ht="15.75" customHeight="1" x14ac:dyDescent="0.2">
      <c r="A352" s="7">
        <v>349</v>
      </c>
      <c r="B352" s="7" t="s">
        <v>134</v>
      </c>
      <c r="C352" s="7" t="s">
        <v>135</v>
      </c>
      <c r="D352" s="7" t="s">
        <v>921</v>
      </c>
      <c r="E352" s="7" t="s">
        <v>922</v>
      </c>
      <c r="F352" s="8">
        <v>72</v>
      </c>
      <c r="G352" s="9">
        <v>0.10315186246418299</v>
      </c>
      <c r="H352" s="8">
        <v>22</v>
      </c>
      <c r="I352" s="8">
        <v>28</v>
      </c>
      <c r="J352" s="38">
        <v>4.1666666666666699E-2</v>
      </c>
      <c r="K352" s="38">
        <v>0.31818181818181801</v>
      </c>
      <c r="L352" s="38">
        <v>-0.107142857142857</v>
      </c>
      <c r="M352" s="38">
        <v>0.42532467532467499</v>
      </c>
      <c r="N352" s="9">
        <v>0.20833333333333301</v>
      </c>
      <c r="O352" s="9">
        <v>0.45098039215686297</v>
      </c>
      <c r="P352" s="9">
        <v>0.71212121212121204</v>
      </c>
      <c r="Q352" s="42">
        <v>52</v>
      </c>
      <c r="R352" s="38">
        <v>2.6</v>
      </c>
    </row>
    <row r="353" spans="1:18" ht="15.75" customHeight="1" x14ac:dyDescent="0.2">
      <c r="A353" s="7">
        <v>350</v>
      </c>
      <c r="B353" s="7" t="s">
        <v>152</v>
      </c>
      <c r="C353" s="7" t="s">
        <v>180</v>
      </c>
      <c r="D353" s="7" t="s">
        <v>923</v>
      </c>
      <c r="E353" s="7" t="s">
        <v>924</v>
      </c>
      <c r="F353" s="8">
        <v>70</v>
      </c>
      <c r="G353" s="9">
        <v>0.14403292181069999</v>
      </c>
      <c r="H353" s="8">
        <v>31</v>
      </c>
      <c r="I353" s="8">
        <v>22</v>
      </c>
      <c r="J353" s="38">
        <v>-0.24285714285714299</v>
      </c>
      <c r="K353" s="38">
        <v>-3.2258064516128997E-2</v>
      </c>
      <c r="L353" s="38">
        <v>-0.36363636363636398</v>
      </c>
      <c r="M353" s="38">
        <v>0.33137829912023498</v>
      </c>
      <c r="N353" s="9">
        <v>0.27142857142857102</v>
      </c>
      <c r="O353" s="9">
        <v>0.34285714285714303</v>
      </c>
      <c r="P353" s="9">
        <v>0.55384615384615399</v>
      </c>
      <c r="Q353" s="42">
        <v>56</v>
      </c>
      <c r="R353" s="38">
        <v>4</v>
      </c>
    </row>
    <row r="354" spans="1:18" ht="15.75" customHeight="1" x14ac:dyDescent="0.2">
      <c r="A354" s="7">
        <v>351</v>
      </c>
      <c r="B354" s="7" t="s">
        <v>152</v>
      </c>
      <c r="C354" s="7" t="s">
        <v>179</v>
      </c>
      <c r="D354" s="7" t="s">
        <v>925</v>
      </c>
      <c r="E354" s="7" t="s">
        <v>926</v>
      </c>
      <c r="F354" s="8">
        <v>70</v>
      </c>
      <c r="G354" s="9">
        <v>0.128205128205128</v>
      </c>
      <c r="H354" s="8">
        <v>29</v>
      </c>
      <c r="I354" s="8">
        <v>23</v>
      </c>
      <c r="J354" s="38">
        <v>-0.35714285714285698</v>
      </c>
      <c r="K354" s="38">
        <v>-0.13793103448275901</v>
      </c>
      <c r="L354" s="38">
        <v>-0.60869565217391297</v>
      </c>
      <c r="M354" s="38">
        <v>0.47076461769115502</v>
      </c>
      <c r="N354" s="9">
        <v>0.35714285714285698</v>
      </c>
      <c r="O354" s="9">
        <v>0.41463414634146301</v>
      </c>
      <c r="P354" s="9">
        <v>0.51515151515151503</v>
      </c>
      <c r="Q354" s="42">
        <v>58</v>
      </c>
      <c r="R354" s="38">
        <v>4.8333333333333304</v>
      </c>
    </row>
    <row r="355" spans="1:18" ht="15.75" customHeight="1" x14ac:dyDescent="0.2">
      <c r="A355" s="7">
        <v>352</v>
      </c>
      <c r="B355" s="7" t="s">
        <v>152</v>
      </c>
      <c r="C355" s="7" t="s">
        <v>212</v>
      </c>
      <c r="D355" s="7" t="s">
        <v>927</v>
      </c>
      <c r="E355" s="7" t="s">
        <v>928</v>
      </c>
      <c r="F355" s="8">
        <v>69</v>
      </c>
      <c r="G355" s="9">
        <v>0.11183144246353301</v>
      </c>
      <c r="H355" s="8">
        <v>34</v>
      </c>
      <c r="I355" s="8">
        <v>17</v>
      </c>
      <c r="J355" s="38">
        <v>-0.115942028985507</v>
      </c>
      <c r="K355" s="38">
        <v>2.9411764705882401E-2</v>
      </c>
      <c r="L355" s="38">
        <v>-0.29411764705882398</v>
      </c>
      <c r="M355" s="38">
        <v>0.32352941176470601</v>
      </c>
      <c r="N355" s="9">
        <v>0.217391304347826</v>
      </c>
      <c r="O355" s="9">
        <v>0.28205128205128199</v>
      </c>
      <c r="P355" s="9">
        <v>0.6</v>
      </c>
      <c r="Q355" s="42">
        <v>53</v>
      </c>
      <c r="R355" s="38">
        <v>3.3125</v>
      </c>
    </row>
    <row r="356" spans="1:18" ht="15.75" customHeight="1" x14ac:dyDescent="0.2">
      <c r="A356" s="7">
        <v>353</v>
      </c>
      <c r="B356" s="7" t="s">
        <v>152</v>
      </c>
      <c r="C356" s="7" t="s">
        <v>203</v>
      </c>
      <c r="D356" s="7" t="s">
        <v>929</v>
      </c>
      <c r="E356" s="7" t="s">
        <v>930</v>
      </c>
      <c r="F356" s="8">
        <v>66</v>
      </c>
      <c r="G356" s="9">
        <v>0.123827392120075</v>
      </c>
      <c r="H356" s="8">
        <v>20</v>
      </c>
      <c r="I356" s="8">
        <v>28</v>
      </c>
      <c r="J356" s="38">
        <v>-0.31818181818181801</v>
      </c>
      <c r="K356" s="38">
        <v>-0.25</v>
      </c>
      <c r="L356" s="38">
        <v>-0.57142857142857095</v>
      </c>
      <c r="M356" s="38">
        <v>0.32142857142857101</v>
      </c>
      <c r="N356" s="9">
        <v>0.28787878787878801</v>
      </c>
      <c r="O356" s="9">
        <v>0.43589743589743601</v>
      </c>
      <c r="P356" s="9">
        <v>0.65079365079365104</v>
      </c>
      <c r="Q356" s="42">
        <v>50</v>
      </c>
      <c r="R356" s="38">
        <v>3.125</v>
      </c>
    </row>
    <row r="357" spans="1:18" ht="15.75" customHeight="1" x14ac:dyDescent="0.2">
      <c r="A357" s="7">
        <v>354</v>
      </c>
      <c r="B357" s="7" t="s">
        <v>136</v>
      </c>
      <c r="C357" s="7" t="s">
        <v>181</v>
      </c>
      <c r="D357" s="7" t="s">
        <v>931</v>
      </c>
      <c r="E357" s="7" t="s">
        <v>932</v>
      </c>
      <c r="F357" s="8">
        <v>63</v>
      </c>
      <c r="G357" s="9">
        <v>0.15632754342431801</v>
      </c>
      <c r="H357" s="8">
        <v>30</v>
      </c>
      <c r="I357" s="8">
        <v>23</v>
      </c>
      <c r="J357" s="38">
        <v>-0.11111111111111099</v>
      </c>
      <c r="K357" s="38">
        <v>0.233333333333333</v>
      </c>
      <c r="L357" s="38">
        <v>-0.565217391304348</v>
      </c>
      <c r="M357" s="38">
        <v>0.79855072463768095</v>
      </c>
      <c r="N357" s="9">
        <v>0.126984126984127</v>
      </c>
      <c r="O357" s="9">
        <v>0.31111111111111101</v>
      </c>
      <c r="P357" s="9">
        <v>0.63793103448275901</v>
      </c>
      <c r="Q357" s="42">
        <v>42</v>
      </c>
      <c r="R357" s="38">
        <v>2</v>
      </c>
    </row>
    <row r="358" spans="1:18" ht="15.75" customHeight="1" x14ac:dyDescent="0.2">
      <c r="A358" s="7">
        <v>355</v>
      </c>
      <c r="B358" s="7" t="s">
        <v>134</v>
      </c>
      <c r="C358" s="7" t="s">
        <v>177</v>
      </c>
      <c r="D358" s="7" t="s">
        <v>933</v>
      </c>
      <c r="E358" s="7" t="s">
        <v>934</v>
      </c>
      <c r="F358" s="8">
        <v>59</v>
      </c>
      <c r="G358" s="9">
        <v>0.107468123861567</v>
      </c>
      <c r="H358" s="8">
        <v>29</v>
      </c>
      <c r="I358" s="8">
        <v>20</v>
      </c>
      <c r="J358" s="38">
        <v>-0.38983050847457601</v>
      </c>
      <c r="K358" s="38">
        <v>-0.27586206896551702</v>
      </c>
      <c r="L358" s="38">
        <v>-0.55000000000000004</v>
      </c>
      <c r="M358" s="38">
        <v>0.27413793103448297</v>
      </c>
      <c r="N358" s="9">
        <v>0.169491525423729</v>
      </c>
      <c r="O358" s="9">
        <v>0.54054054054054101</v>
      </c>
      <c r="P358" s="9">
        <v>0.72727272727272696</v>
      </c>
      <c r="Q358" s="42">
        <v>46</v>
      </c>
      <c r="R358" s="38">
        <v>3.5384615384615401</v>
      </c>
    </row>
    <row r="359" spans="1:18" ht="15.75" customHeight="1" x14ac:dyDescent="0.2">
      <c r="A359" s="7">
        <v>356</v>
      </c>
      <c r="B359" s="7" t="s">
        <v>152</v>
      </c>
      <c r="C359" s="7" t="s">
        <v>213</v>
      </c>
      <c r="D359" s="7" t="s">
        <v>935</v>
      </c>
      <c r="E359" s="7" t="s">
        <v>936</v>
      </c>
      <c r="F359" s="8">
        <v>57</v>
      </c>
      <c r="G359" s="9">
        <v>0.102150537634409</v>
      </c>
      <c r="H359" s="8">
        <v>23</v>
      </c>
      <c r="I359" s="8">
        <v>16</v>
      </c>
      <c r="J359" s="38">
        <v>-0.28070175438596501</v>
      </c>
      <c r="K359" s="38">
        <v>-0.30434782608695699</v>
      </c>
      <c r="L359" s="38">
        <v>-0.25</v>
      </c>
      <c r="M359" s="38">
        <v>-5.4347826086956499E-2</v>
      </c>
      <c r="N359" s="9">
        <v>0.22807017543859701</v>
      </c>
      <c r="O359" s="9">
        <v>0.45945945945945998</v>
      </c>
      <c r="P359" s="9">
        <v>0.62962962962962998</v>
      </c>
      <c r="Q359" s="42">
        <v>41</v>
      </c>
      <c r="R359" s="38">
        <v>2.5625</v>
      </c>
    </row>
    <row r="360" spans="1:18" ht="15.75" customHeight="1" x14ac:dyDescent="0.2">
      <c r="A360" s="7">
        <v>357</v>
      </c>
      <c r="B360" s="7" t="s">
        <v>136</v>
      </c>
      <c r="C360" s="7" t="s">
        <v>214</v>
      </c>
      <c r="D360" s="7" t="s">
        <v>937</v>
      </c>
      <c r="E360" s="7" t="s">
        <v>938</v>
      </c>
      <c r="F360" s="8">
        <v>56</v>
      </c>
      <c r="G360" s="9">
        <v>0.157746478873239</v>
      </c>
      <c r="H360" s="8">
        <v>17</v>
      </c>
      <c r="I360" s="8">
        <v>20</v>
      </c>
      <c r="J360" s="38">
        <v>-3.5714285714285698E-2</v>
      </c>
      <c r="K360" s="38">
        <v>0.47058823529411797</v>
      </c>
      <c r="L360" s="38">
        <v>-0.4</v>
      </c>
      <c r="M360" s="38">
        <v>0.870588235294118</v>
      </c>
      <c r="N360" s="9">
        <v>0.28571428571428598</v>
      </c>
      <c r="O360" s="9">
        <v>0.24242424242424199</v>
      </c>
      <c r="P360" s="9">
        <v>0.51923076923076905</v>
      </c>
      <c r="Q360" s="42">
        <v>41</v>
      </c>
      <c r="R360" s="38">
        <v>2.7333333333333298</v>
      </c>
    </row>
    <row r="361" spans="1:18" ht="15.75" customHeight="1" x14ac:dyDescent="0.2">
      <c r="A361" s="7">
        <v>358</v>
      </c>
      <c r="B361" s="7" t="s">
        <v>136</v>
      </c>
      <c r="C361" s="7" t="s">
        <v>138</v>
      </c>
      <c r="D361" s="7" t="s">
        <v>939</v>
      </c>
      <c r="E361" s="7" t="s">
        <v>940</v>
      </c>
      <c r="F361" s="8">
        <v>51</v>
      </c>
      <c r="G361" s="9">
        <v>9.5864661654135305E-2</v>
      </c>
      <c r="H361" s="8">
        <v>19</v>
      </c>
      <c r="I361" s="8">
        <v>24</v>
      </c>
      <c r="J361" s="38">
        <v>0.15686274509803899</v>
      </c>
      <c r="K361" s="38">
        <v>0.47368421052631599</v>
      </c>
      <c r="L361" s="38">
        <v>-4.1666666666666699E-2</v>
      </c>
      <c r="M361" s="38">
        <v>0.515350877192982</v>
      </c>
      <c r="N361" s="9">
        <v>0.33333333333333298</v>
      </c>
      <c r="O361" s="9">
        <v>0.20588235294117699</v>
      </c>
      <c r="P361" s="9">
        <v>0.41304347826087001</v>
      </c>
      <c r="Q361" s="42">
        <v>38</v>
      </c>
      <c r="R361" s="38">
        <v>2.9230769230769198</v>
      </c>
    </row>
    <row r="362" spans="1:18" ht="15.75" customHeight="1" x14ac:dyDescent="0.2">
      <c r="A362" s="7">
        <v>359</v>
      </c>
      <c r="B362" s="7" t="s">
        <v>152</v>
      </c>
      <c r="C362" s="7" t="s">
        <v>188</v>
      </c>
      <c r="D362" s="7" t="s">
        <v>941</v>
      </c>
      <c r="E362" s="7" t="s">
        <v>942</v>
      </c>
      <c r="F362" s="8">
        <v>45</v>
      </c>
      <c r="G362" s="9">
        <v>0.12676056338028199</v>
      </c>
      <c r="H362" s="8">
        <v>13</v>
      </c>
      <c r="I362" s="8">
        <v>18</v>
      </c>
      <c r="J362" s="38">
        <v>-0.4</v>
      </c>
      <c r="K362" s="38">
        <v>-0.15384615384615399</v>
      </c>
      <c r="L362" s="38">
        <v>-0.5</v>
      </c>
      <c r="M362" s="38">
        <v>0.34615384615384598</v>
      </c>
      <c r="N362" s="9">
        <v>0.24444444444444399</v>
      </c>
      <c r="O362" s="9">
        <v>0.41379310344827602</v>
      </c>
      <c r="P362" s="9">
        <v>0.57142857142857095</v>
      </c>
      <c r="Q362" s="42">
        <v>36</v>
      </c>
      <c r="R362" s="38">
        <v>4</v>
      </c>
    </row>
    <row r="363" spans="1:18" ht="15.75" customHeight="1" x14ac:dyDescent="0.2">
      <c r="A363" s="7">
        <v>360</v>
      </c>
      <c r="B363" s="7" t="s">
        <v>136</v>
      </c>
      <c r="C363" s="7" t="s">
        <v>215</v>
      </c>
      <c r="D363" s="7" t="s">
        <v>943</v>
      </c>
      <c r="E363" s="7" t="s">
        <v>944</v>
      </c>
      <c r="F363" s="8">
        <v>41</v>
      </c>
      <c r="G363" s="9">
        <v>0.15530303030303</v>
      </c>
      <c r="H363" s="8">
        <v>21</v>
      </c>
      <c r="I363" s="8">
        <v>10</v>
      </c>
      <c r="J363" s="38">
        <v>0.146341463414634</v>
      </c>
      <c r="K363" s="38">
        <v>0.28571428571428598</v>
      </c>
      <c r="L363" s="38">
        <v>0</v>
      </c>
      <c r="M363" s="38">
        <v>0.28571428571428598</v>
      </c>
      <c r="N363" s="9">
        <v>0.26829268292682901</v>
      </c>
      <c r="O363" s="9">
        <v>0.27272727272727298</v>
      </c>
      <c r="P363" s="9">
        <v>0.55263157894736903</v>
      </c>
      <c r="Q363" s="42">
        <v>31</v>
      </c>
      <c r="R363" s="38">
        <v>3.1</v>
      </c>
    </row>
    <row r="364" spans="1:18" ht="15.75" customHeight="1" x14ac:dyDescent="0.2">
      <c r="A364" s="7">
        <v>361</v>
      </c>
      <c r="B364" s="7" t="s">
        <v>152</v>
      </c>
      <c r="C364" s="7" t="s">
        <v>216</v>
      </c>
      <c r="D364" s="7" t="s">
        <v>945</v>
      </c>
      <c r="E364" s="7" t="s">
        <v>946</v>
      </c>
      <c r="F364" s="8">
        <v>38</v>
      </c>
      <c r="G364" s="9">
        <v>0.124590163934426</v>
      </c>
      <c r="H364" s="8">
        <v>18</v>
      </c>
      <c r="I364" s="8">
        <v>12</v>
      </c>
      <c r="J364" s="38">
        <v>-0.157894736842105</v>
      </c>
      <c r="K364" s="38">
        <v>5.5555555555555601E-2</v>
      </c>
      <c r="L364" s="38">
        <v>-0.41666666666666702</v>
      </c>
      <c r="M364" s="38">
        <v>0.47222222222222199</v>
      </c>
      <c r="N364" s="9">
        <v>0.31578947368421101</v>
      </c>
      <c r="O364" s="9">
        <v>0.38095238095238099</v>
      </c>
      <c r="P364" s="9">
        <v>0.58333333333333304</v>
      </c>
      <c r="Q364" s="42">
        <v>30</v>
      </c>
      <c r="R364" s="38">
        <v>3.75</v>
      </c>
    </row>
    <row r="365" spans="1:18" ht="15.75" customHeight="1" x14ac:dyDescent="0.2">
      <c r="A365" s="7">
        <v>362</v>
      </c>
      <c r="B365" s="7" t="s">
        <v>152</v>
      </c>
      <c r="C365" s="7" t="s">
        <v>180</v>
      </c>
      <c r="D365" s="7" t="s">
        <v>947</v>
      </c>
      <c r="E365" s="7" t="s">
        <v>948</v>
      </c>
      <c r="F365" s="8">
        <v>36</v>
      </c>
      <c r="G365" s="9">
        <v>0.106824925816024</v>
      </c>
      <c r="H365" s="8">
        <v>18</v>
      </c>
      <c r="I365" s="8">
        <v>9</v>
      </c>
      <c r="J365" s="38">
        <v>0.36111111111111099</v>
      </c>
      <c r="K365" s="38">
        <v>0.44444444444444398</v>
      </c>
      <c r="L365" s="38">
        <v>0.33333333333333298</v>
      </c>
      <c r="M365" s="38">
        <v>0.11111111111111099</v>
      </c>
      <c r="N365" s="9">
        <v>0.13888888888888901</v>
      </c>
      <c r="O365" s="9">
        <v>0.61904761904761896</v>
      </c>
      <c r="P365" s="9">
        <v>0.60606060606060597</v>
      </c>
      <c r="Q365" s="42">
        <v>32</v>
      </c>
      <c r="R365" s="38">
        <v>8</v>
      </c>
    </row>
    <row r="366" spans="1:18" ht="15.75" customHeight="1" x14ac:dyDescent="0.2">
      <c r="A366" s="7">
        <v>363</v>
      </c>
      <c r="B366" s="7" t="s">
        <v>152</v>
      </c>
      <c r="C366" s="7" t="s">
        <v>217</v>
      </c>
      <c r="D366" s="7" t="s">
        <v>949</v>
      </c>
      <c r="E366" s="7" t="s">
        <v>950</v>
      </c>
      <c r="F366" s="8">
        <v>36</v>
      </c>
      <c r="G366" s="9">
        <v>0.151898734177215</v>
      </c>
      <c r="H366" s="8">
        <v>14</v>
      </c>
      <c r="I366" s="8">
        <v>17</v>
      </c>
      <c r="J366" s="38">
        <v>-0.16666666666666699</v>
      </c>
      <c r="K366" s="38">
        <v>7.1428571428571397E-2</v>
      </c>
      <c r="L366" s="38">
        <v>-0.35294117647058798</v>
      </c>
      <c r="M366" s="38">
        <v>0.42436974789915999</v>
      </c>
      <c r="N366" s="9">
        <v>0.22222222222222199</v>
      </c>
      <c r="O366" s="9">
        <v>0.33333333333333298</v>
      </c>
      <c r="P366" s="9">
        <v>0.52777777777777801</v>
      </c>
      <c r="Q366" s="42">
        <v>25</v>
      </c>
      <c r="R366" s="38">
        <v>2.2727272727272698</v>
      </c>
    </row>
    <row r="367" spans="1:18" ht="15.75" customHeight="1" x14ac:dyDescent="0.2">
      <c r="A367" s="7">
        <v>364</v>
      </c>
      <c r="B367" s="7" t="s">
        <v>152</v>
      </c>
      <c r="C367" s="7" t="s">
        <v>218</v>
      </c>
      <c r="D367" s="7" t="s">
        <v>951</v>
      </c>
      <c r="E367" s="7" t="s">
        <v>952</v>
      </c>
      <c r="F367" s="8">
        <v>28</v>
      </c>
      <c r="G367" s="9">
        <v>0.155555555555556</v>
      </c>
      <c r="H367" s="8">
        <v>10</v>
      </c>
      <c r="I367" s="8">
        <v>12</v>
      </c>
      <c r="J367" s="38">
        <v>-0.53571428571428603</v>
      </c>
      <c r="K367" s="38">
        <v>-0.2</v>
      </c>
      <c r="L367" s="38">
        <v>-0.91666666666666696</v>
      </c>
      <c r="M367" s="38">
        <v>0.71666666666666701</v>
      </c>
      <c r="N367" s="9">
        <v>0.17857142857142899</v>
      </c>
      <c r="O367" s="9">
        <v>0.5</v>
      </c>
      <c r="P367" s="9">
        <v>0.68</v>
      </c>
      <c r="Q367" s="42">
        <v>25</v>
      </c>
      <c r="R367" s="38">
        <v>8.3333333333333304</v>
      </c>
    </row>
    <row r="368" spans="1:18" ht="15.75" customHeight="1" x14ac:dyDescent="0.2">
      <c r="A368" s="7">
        <v>365</v>
      </c>
      <c r="B368" s="7" t="s">
        <v>136</v>
      </c>
      <c r="C368" s="7" t="s">
        <v>219</v>
      </c>
      <c r="D368" s="7" t="s">
        <v>953</v>
      </c>
      <c r="E368" s="7" t="s">
        <v>954</v>
      </c>
      <c r="F368" s="8">
        <v>27</v>
      </c>
      <c r="G368" s="9">
        <v>0.17647058823529399</v>
      </c>
      <c r="H368" s="8">
        <v>16</v>
      </c>
      <c r="I368" s="8">
        <v>8</v>
      </c>
      <c r="J368" s="38">
        <v>0</v>
      </c>
      <c r="K368" s="38">
        <v>0.1875</v>
      </c>
      <c r="L368" s="38">
        <v>-0.375</v>
      </c>
      <c r="M368" s="38">
        <v>0.5625</v>
      </c>
      <c r="N368" s="9">
        <v>0.25925925925925902</v>
      </c>
      <c r="O368" s="9">
        <v>0.23529411764705899</v>
      </c>
      <c r="P368" s="9">
        <v>0.61538461538461497</v>
      </c>
      <c r="Q368" s="42">
        <v>21</v>
      </c>
      <c r="R368" s="38">
        <v>3.5</v>
      </c>
    </row>
    <row r="369" spans="1:18" ht="15.75" customHeight="1" x14ac:dyDescent="0.2">
      <c r="A369" s="7">
        <v>366</v>
      </c>
      <c r="B369" s="7" t="s">
        <v>152</v>
      </c>
      <c r="C369" s="7" t="s">
        <v>220</v>
      </c>
      <c r="D369" s="7" t="s">
        <v>955</v>
      </c>
      <c r="E369" s="7" t="s">
        <v>956</v>
      </c>
      <c r="F369" s="8">
        <v>24</v>
      </c>
      <c r="G369" s="9">
        <v>7.25075528700906E-2</v>
      </c>
      <c r="H369" s="8">
        <v>5</v>
      </c>
      <c r="I369" s="8">
        <v>14</v>
      </c>
      <c r="J369" s="38">
        <v>-0.79166666666666696</v>
      </c>
      <c r="K369" s="38">
        <v>-0.8</v>
      </c>
      <c r="L369" s="38">
        <v>-0.85714285714285698</v>
      </c>
      <c r="M369" s="38">
        <v>5.7142857142857099E-2</v>
      </c>
      <c r="N369" s="9">
        <v>0.125</v>
      </c>
      <c r="O369" s="9">
        <v>0.44444444444444398</v>
      </c>
      <c r="P369" s="9">
        <v>0.65217391304347805</v>
      </c>
      <c r="Q369" s="42">
        <v>19</v>
      </c>
      <c r="R369" s="38">
        <v>3.8</v>
      </c>
    </row>
    <row r="370" spans="1:18" ht="15.75" customHeight="1" x14ac:dyDescent="0.2">
      <c r="A370" s="7">
        <v>367</v>
      </c>
      <c r="B370" s="7" t="s">
        <v>152</v>
      </c>
      <c r="C370" s="7" t="s">
        <v>209</v>
      </c>
      <c r="D370" s="7" t="s">
        <v>957</v>
      </c>
      <c r="E370" s="7" t="s">
        <v>958</v>
      </c>
      <c r="F370" s="8">
        <v>19</v>
      </c>
      <c r="G370" s="9">
        <v>4.5893719806763301E-2</v>
      </c>
      <c r="H370" s="8">
        <v>4</v>
      </c>
      <c r="I370" s="8">
        <v>11</v>
      </c>
      <c r="J370" s="38">
        <v>-0.47368421052631599</v>
      </c>
      <c r="K370" s="38">
        <v>0.25</v>
      </c>
      <c r="L370" s="38">
        <v>-0.63636363636363602</v>
      </c>
      <c r="M370" s="38">
        <v>0.88636363636363602</v>
      </c>
      <c r="N370" s="9">
        <v>0.105263157894737</v>
      </c>
      <c r="O370" s="9">
        <v>0.28571428571428598</v>
      </c>
      <c r="P370" s="9">
        <v>0.61111111111111105</v>
      </c>
      <c r="Q370" s="42">
        <v>13</v>
      </c>
      <c r="R370" s="38">
        <v>2.1666666666666701</v>
      </c>
    </row>
    <row r="371" spans="1:18" ht="15.75" customHeight="1" x14ac:dyDescent="0.2">
      <c r="A371" s="7">
        <v>368</v>
      </c>
      <c r="B371" s="7" t="s">
        <v>152</v>
      </c>
      <c r="C371" s="7" t="s">
        <v>221</v>
      </c>
      <c r="D371" s="7" t="s">
        <v>959</v>
      </c>
      <c r="E371" s="7" t="s">
        <v>960</v>
      </c>
      <c r="F371" s="8">
        <v>14</v>
      </c>
      <c r="G371" s="9">
        <v>8.6956521739130405E-2</v>
      </c>
      <c r="H371" s="8">
        <v>4</v>
      </c>
      <c r="I371" s="8">
        <v>8</v>
      </c>
      <c r="J371" s="38">
        <v>0</v>
      </c>
      <c r="K371" s="38">
        <v>1</v>
      </c>
      <c r="L371" s="38">
        <v>-0.25</v>
      </c>
      <c r="M371" s="38">
        <v>1.25</v>
      </c>
      <c r="N371" s="9">
        <v>0.14285714285714299</v>
      </c>
      <c r="O371" s="9">
        <v>0.42857142857142899</v>
      </c>
      <c r="P371" s="9">
        <v>0.63636363636363602</v>
      </c>
      <c r="Q371" s="42">
        <v>11</v>
      </c>
      <c r="R371" s="38">
        <v>3.6666666666666701</v>
      </c>
    </row>
    <row r="372" spans="1:18" ht="15.75" customHeight="1" x14ac:dyDescent="0.2">
      <c r="A372" s="7">
        <v>369</v>
      </c>
      <c r="B372" s="7" t="s">
        <v>134</v>
      </c>
      <c r="C372" s="7" t="s">
        <v>135</v>
      </c>
      <c r="D372" s="7" t="s">
        <v>961</v>
      </c>
      <c r="E372" s="7" t="s">
        <v>962</v>
      </c>
      <c r="F372" s="8">
        <v>4</v>
      </c>
      <c r="G372" s="9">
        <v>0.11764705882352899</v>
      </c>
      <c r="H372" s="8">
        <v>1</v>
      </c>
      <c r="I372" s="8">
        <v>2</v>
      </c>
      <c r="J372" s="38">
        <v>0.75</v>
      </c>
      <c r="K372" s="38">
        <v>0</v>
      </c>
      <c r="L372" s="38">
        <v>1</v>
      </c>
      <c r="M372" s="38">
        <v>-1</v>
      </c>
      <c r="N372" s="9">
        <v>0.25</v>
      </c>
      <c r="O372" s="9">
        <v>1</v>
      </c>
      <c r="P372" s="9">
        <v>0.5</v>
      </c>
      <c r="Q372" s="42">
        <v>3</v>
      </c>
      <c r="R372" s="38">
        <v>3</v>
      </c>
    </row>
    <row r="373" spans="1:18" ht="15.75" customHeight="1" x14ac:dyDescent="0.2">
      <c r="A373" s="7">
        <v>370</v>
      </c>
      <c r="B373" s="7" t="s">
        <v>134</v>
      </c>
      <c r="C373" s="7" t="s">
        <v>135</v>
      </c>
      <c r="D373" s="7" t="s">
        <v>963</v>
      </c>
      <c r="E373" s="7" t="s">
        <v>964</v>
      </c>
      <c r="F373" s="8">
        <v>0</v>
      </c>
      <c r="G373" s="9">
        <v>0</v>
      </c>
      <c r="H373" s="8">
        <v>0</v>
      </c>
      <c r="I373" s="8">
        <v>0</v>
      </c>
      <c r="J373" s="38"/>
      <c r="K373" s="38"/>
      <c r="L373" s="38"/>
      <c r="M373" s="38"/>
      <c r="N373" s="9"/>
      <c r="O373" s="9"/>
      <c r="P373" s="9"/>
      <c r="Q373" s="42">
        <v>0</v>
      </c>
      <c r="R373" s="38"/>
    </row>
    <row r="374" spans="1:18" ht="15.75" customHeight="1" x14ac:dyDescent="0.2"/>
    <row r="375" spans="1:18" ht="15.75" customHeight="1" x14ac:dyDescent="0.2"/>
    <row r="376" spans="1:18" ht="15.75" customHeight="1" x14ac:dyDescent="0.2"/>
    <row r="377" spans="1:18" ht="15.75" customHeight="1" x14ac:dyDescent="0.2"/>
    <row r="378" spans="1:18" ht="15.75" customHeight="1" x14ac:dyDescent="0.2"/>
    <row r="379" spans="1:18" ht="15.75" customHeight="1" x14ac:dyDescent="0.2"/>
    <row r="380" spans="1:18" ht="15.75" customHeight="1" x14ac:dyDescent="0.2"/>
    <row r="381" spans="1:18" ht="15.75" customHeight="1" x14ac:dyDescent="0.2"/>
    <row r="382" spans="1:18" ht="15.75" customHeight="1" x14ac:dyDescent="0.2"/>
    <row r="383" spans="1:18" ht="15.75" customHeight="1" x14ac:dyDescent="0.2"/>
    <row r="384" spans="1:18"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3:R373" xr:uid="{00000000-0009-0000-0000-000005000000}"/>
  <pageMargins left="0.75" right="0.75" top="1" bottom="1" header="0.511811023622047" footer="0.511811023622047"/>
  <pageSetup orientation="landscape"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000"/>
  <sheetViews>
    <sheetView zoomScaleNormal="100" workbookViewId="0"/>
  </sheetViews>
  <sheetFormatPr baseColWidth="10" defaultColWidth="14.5" defaultRowHeight="15" x14ac:dyDescent="0.2"/>
  <cols>
    <col min="1" max="1" width="120" customWidth="1"/>
    <col min="2" max="26" width="8.6640625" customWidth="1"/>
  </cols>
  <sheetData>
    <row r="1" spans="1:1" x14ac:dyDescent="0.2">
      <c r="A1" s="43" t="s">
        <v>965</v>
      </c>
    </row>
    <row r="2" spans="1:1" x14ac:dyDescent="0.2">
      <c r="A2" s="10"/>
    </row>
    <row r="3" spans="1:1" ht="28" x14ac:dyDescent="0.2">
      <c r="A3" s="10" t="s">
        <v>966</v>
      </c>
    </row>
    <row r="4" spans="1:1" ht="28" x14ac:dyDescent="0.2">
      <c r="A4" s="10" t="s">
        <v>967</v>
      </c>
    </row>
    <row r="5" spans="1:1" ht="28" x14ac:dyDescent="0.2">
      <c r="A5" s="10" t="s">
        <v>968</v>
      </c>
    </row>
    <row r="6" spans="1:1" ht="28" x14ac:dyDescent="0.2">
      <c r="A6" s="10" t="s">
        <v>969</v>
      </c>
    </row>
    <row r="7" spans="1:1" ht="28" x14ac:dyDescent="0.2">
      <c r="A7" s="10" t="s">
        <v>970</v>
      </c>
    </row>
    <row r="8" spans="1:1" x14ac:dyDescent="0.2">
      <c r="A8" s="10" t="s">
        <v>971</v>
      </c>
    </row>
    <row r="9" spans="1:1" ht="28" x14ac:dyDescent="0.2">
      <c r="A9" s="10" t="s">
        <v>972</v>
      </c>
    </row>
    <row r="10" spans="1:1" x14ac:dyDescent="0.2">
      <c r="A10" s="10" t="s">
        <v>973</v>
      </c>
    </row>
    <row r="11" spans="1:1" ht="28" x14ac:dyDescent="0.2">
      <c r="A11" s="10" t="s">
        <v>974</v>
      </c>
    </row>
    <row r="13" spans="1:1" ht="56" x14ac:dyDescent="0.2">
      <c r="A13" s="10" t="s">
        <v>975</v>
      </c>
    </row>
    <row r="14" spans="1:1" ht="28" x14ac:dyDescent="0.2">
      <c r="A14" s="10" t="s">
        <v>976</v>
      </c>
    </row>
    <row r="15" spans="1:1" ht="28" x14ac:dyDescent="0.2">
      <c r="A15" s="10" t="s">
        <v>977</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Summary</vt:lpstr>
      <vt:lpstr>Gen Z Share of Electorate</vt:lpstr>
      <vt:lpstr>Generation Comparison</vt:lpstr>
      <vt:lpstr>Gen Z by Municipality</vt:lpstr>
      <vt:lpstr>Gen Z by Precinct</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Maximilian Muller</cp:lastModifiedBy>
  <cp:revision>1</cp:revision>
  <dcterms:created xsi:type="dcterms:W3CDTF">2026-09-29T05:40:00Z</dcterms:created>
  <dcterms:modified xsi:type="dcterms:W3CDTF">2026-10-08T15:37:56Z</dcterms:modified>
  <dc:language>en-US</dc:language>
</cp:coreProperties>
</file>