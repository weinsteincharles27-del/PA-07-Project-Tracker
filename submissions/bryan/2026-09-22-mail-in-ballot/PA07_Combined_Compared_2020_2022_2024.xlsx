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C31B8239-9351-42F3-AE79-87D532F00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1" r:id="rId1"/>
    <sheet name="Master County Summary" sheetId="2" r:id="rId2"/>
    <sheet name="Party Mail Ballots" sheetId="3" r:id="rId3"/>
    <sheet name="Candidate Mail Votes" sheetId="4" r:id="rId4"/>
    <sheet name="Notes for mysel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T22" i="2"/>
  <c r="N22" i="2"/>
  <c r="Q22" i="2" s="1"/>
  <c r="I22" i="2"/>
  <c r="H22" i="2"/>
  <c r="T21" i="2"/>
  <c r="N21" i="2"/>
  <c r="Q21" i="2" s="1"/>
  <c r="I21" i="2"/>
  <c r="H21" i="2"/>
  <c r="T20" i="2"/>
  <c r="N20" i="2"/>
  <c r="I20" i="2"/>
  <c r="H20" i="2"/>
  <c r="T19" i="2"/>
  <c r="N19" i="2"/>
  <c r="I19" i="2"/>
  <c r="H19" i="2"/>
  <c r="T18" i="2"/>
  <c r="N18" i="2"/>
  <c r="Q18" i="2" s="1"/>
  <c r="I18" i="2"/>
  <c r="H18" i="2"/>
  <c r="T15" i="2"/>
  <c r="Q15" i="2"/>
  <c r="N15" i="2"/>
  <c r="I15" i="2"/>
  <c r="H15" i="2"/>
  <c r="T14" i="2"/>
  <c r="Q14" i="2"/>
  <c r="N14" i="2"/>
  <c r="I14" i="2"/>
  <c r="H14" i="2"/>
  <c r="T13" i="2"/>
  <c r="Q13" i="2"/>
  <c r="N13" i="2"/>
  <c r="I13" i="2"/>
  <c r="H13" i="2"/>
  <c r="T12" i="2"/>
  <c r="Q12" i="2"/>
  <c r="N12" i="2"/>
  <c r="I12" i="2"/>
  <c r="H12" i="2"/>
  <c r="T11" i="2"/>
  <c r="Q11" i="2"/>
  <c r="N11" i="2"/>
  <c r="I11" i="2"/>
  <c r="H11" i="2"/>
  <c r="T8" i="2"/>
  <c r="Q8" i="2"/>
  <c r="N8" i="2"/>
  <c r="I8" i="2"/>
  <c r="H8" i="2"/>
  <c r="T7" i="2"/>
  <c r="Q7" i="2"/>
  <c r="N7" i="2"/>
  <c r="I7" i="2"/>
  <c r="H7" i="2"/>
  <c r="T6" i="2"/>
  <c r="Q6" i="2"/>
  <c r="N6" i="2"/>
  <c r="I6" i="2"/>
  <c r="H6" i="2"/>
  <c r="T5" i="2"/>
  <c r="Q5" i="2"/>
  <c r="N5" i="2"/>
  <c r="I5" i="2"/>
  <c r="H5" i="2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B5" i="1"/>
  <c r="P22" i="2" l="1"/>
  <c r="O22" i="2"/>
  <c r="P21" i="2"/>
  <c r="O21" i="2"/>
  <c r="Q20" i="2"/>
  <c r="P20" i="2"/>
  <c r="O20" i="2"/>
  <c r="Q19" i="2"/>
  <c r="P19" i="2"/>
  <c r="O19" i="2"/>
  <c r="P18" i="2"/>
  <c r="O18" i="2"/>
  <c r="P15" i="2"/>
  <c r="O15" i="2"/>
  <c r="P14" i="2"/>
  <c r="O14" i="2"/>
  <c r="P13" i="2"/>
  <c r="O13" i="2"/>
  <c r="O12" i="2"/>
  <c r="P12" i="2"/>
  <c r="P11" i="2"/>
  <c r="O11" i="2"/>
  <c r="P8" i="2"/>
  <c r="O8" i="2"/>
  <c r="P7" i="2"/>
  <c r="O7" i="2"/>
  <c r="P6" i="2"/>
  <c r="O6" i="2"/>
  <c r="P5" i="2"/>
  <c r="O5" i="2"/>
</calcChain>
</file>

<file path=xl/sharedStrings.xml><?xml version="1.0" encoding="utf-8"?>
<sst xmlns="http://schemas.openxmlformats.org/spreadsheetml/2006/main" count="302" uniqueCount="90">
  <si>
    <t>PA-07 U.S. House Mail-Ballot Data — Combined Workbook</t>
  </si>
  <si>
    <t>Year</t>
  </si>
  <si>
    <t>Mail Requests</t>
  </si>
  <si>
    <t>Mail Returned</t>
  </si>
  <si>
    <t>Mail Recorded</t>
  </si>
  <si>
    <t>Dem. House Votes</t>
  </si>
  <si>
    <t>Rep. House Votes</t>
  </si>
  <si>
    <t>Dem. Candidate Mail Votes</t>
  </si>
  <si>
    <t>Rep. Candidate Mail Votes</t>
  </si>
  <si>
    <t>PA-07 U.S. House — Master County Summary</t>
  </si>
  <si>
    <t>All-method House vote totals are separate from candidate mail votes. Returned and recorded mail-ballot ratios are shown separately where available.</t>
  </si>
  <si>
    <t>County / PA-07 Portion</t>
  </si>
  <si>
    <t>Request Definition</t>
  </si>
  <si>
    <t>Ballots Issued</t>
  </si>
  <si>
    <t>Returned / Requests</t>
  </si>
  <si>
    <t>Recorded / Requests</t>
  </si>
  <si>
    <t>Dem. Candidate</t>
  </si>
  <si>
    <t>Dem. Votes — All Methods</t>
  </si>
  <si>
    <t>Rep. Candidate</t>
  </si>
  <si>
    <t>Rep. Votes — All Methods</t>
  </si>
  <si>
    <t>Two-Party House Total</t>
  </si>
  <si>
    <t>Dem. Two-Party Share</t>
  </si>
  <si>
    <t>Returned / House Total</t>
  </si>
  <si>
    <t>Recorded / House Total</t>
  </si>
  <si>
    <t>Two-Candidate Mail Total</t>
  </si>
  <si>
    <t>Lehigh</t>
  </si>
  <si>
    <t>All request records</t>
  </si>
  <si>
    <t>n.a.</t>
  </si>
  <si>
    <t>Susan Wild</t>
  </si>
  <si>
    <t>Lisa Scheller</t>
  </si>
  <si>
    <t>With Segregated; reconciliation pending</t>
  </si>
  <si>
    <t>Monroe — PA-07 portion</t>
  </si>
  <si>
    <t>Mail-In/Absentee; military votes excluded</t>
  </si>
  <si>
    <t>Northampton</t>
  </si>
  <si>
    <t>Official report: Mail Votes</t>
  </si>
  <si>
    <t>PA-07 TOTAL</t>
  </si>
  <si>
    <t>Not finalized</t>
  </si>
  <si>
    <t>Lehigh reconciliation remains unresolved</t>
  </si>
  <si>
    <t>Carbon</t>
  </si>
  <si>
    <t>County report: Mail-In</t>
  </si>
  <si>
    <t>Official CSV: Mail Ballots Votes</t>
  </si>
  <si>
    <t>Mail-In/Absentee; PA-07 portion only</t>
  </si>
  <si>
    <t>Two named candidates; excludes write-ins</t>
  </si>
  <si>
    <t>Approved requests</t>
  </si>
  <si>
    <t>Ryan Mackenzie</t>
  </si>
  <si>
    <t>PA-07 Mail Ballots by Registered Party</t>
  </si>
  <si>
    <t>Registered party describes the voter registration in the request file. It does not identify which U.S. House candidate the voter selected.</t>
  </si>
  <si>
    <t>Registered Party</t>
  </si>
  <si>
    <t>Democratic</t>
  </si>
  <si>
    <t>Republican</t>
  </si>
  <si>
    <t>Other / No affiliation</t>
  </si>
  <si>
    <t>All parties</t>
  </si>
  <si>
    <t>PA-07 U.S. House — Candidate Mail Votes</t>
  </si>
  <si>
    <t>These are U.S. House candidate votes reported in county mail categories. They are not ballot requests, return counts, or party-registration counts.</t>
  </si>
  <si>
    <t>Susan Wild (D) Mail Votes</t>
  </si>
  <si>
    <t>Republican Candidate</t>
  </si>
  <si>
    <t>Republican Mail Votes</t>
  </si>
  <si>
    <t>Status / Scope</t>
  </si>
  <si>
    <t>Area</t>
  </si>
  <si>
    <t>Workbook 1</t>
  </si>
  <si>
    <t>Workbook 2</t>
  </si>
  <si>
    <t>Combined Treatment</t>
  </si>
  <si>
    <t>County request / issued / returned data</t>
  </si>
  <si>
    <t>Yes</t>
  </si>
  <si>
    <t>Kept once in Master County Summary.</t>
  </si>
  <si>
    <t>2024 recorded-ballot counts</t>
  </si>
  <si>
    <t>Kept once; separate Recorded / Requests and Recorded / House ratios.</t>
  </si>
  <si>
    <t>All-method U.S. House candidate totals</t>
  </si>
  <si>
    <t>Party-level mail request / return breakdown</t>
  </si>
  <si>
    <t>No</t>
  </si>
  <si>
    <t>Preserved in Party Mail Ballots.</t>
  </si>
  <si>
    <t>Actual U.S. House candidate mail votes</t>
  </si>
  <si>
    <t>Preserved in Candidate Mail Votes and linked into Master County Summary.</t>
  </si>
  <si>
    <t>Source codes and county report links</t>
  </si>
  <si>
    <t>Limited</t>
  </si>
  <si>
    <t>Preserved in Sources &amp; Notes.</t>
  </si>
  <si>
    <t>Year-by-year simplified presentation</t>
  </si>
  <si>
    <t>Replaced by one filterable Master County Summary plus yearly totals on Read Me.</t>
  </si>
  <si>
    <t>2024 mail-share definition</t>
  </si>
  <si>
    <t>Returned ÷ House total</t>
  </si>
  <si>
    <t>Recorded ÷ House total</t>
  </si>
  <si>
    <t>Both are retained as separate columns.</t>
  </si>
  <si>
    <t>2020 district candidate mail total</t>
  </si>
  <si>
    <t>Not included</t>
  </si>
  <si>
    <t>Preserved as not finalized; county figures remain visible.</t>
  </si>
  <si>
    <t>Automated overlap check</t>
  </si>
  <si>
    <t>Shared county rows checked</t>
  </si>
  <si>
    <t>Requests/issued/returned/recorded + all-method House totals matched</t>
  </si>
  <si>
    <r>
      <rPr>
        <sz val="15"/>
        <color rgb="FFFFFFFF"/>
        <rFont val="Carlito"/>
      </rPr>
      <t xml:space="preserve">The </t>
    </r>
    <r>
      <rPr>
        <b/>
        <sz val="15"/>
        <color rgb="FFFFFFFF"/>
        <rFont val="Carlito"/>
      </rPr>
      <t>Two Workbooks</t>
    </r>
  </si>
  <si>
    <t>Data wasn't 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</si>
</sst>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5"/>
      <color rgb="FFFFFFFF"/>
      <name val="Carlito"/>
    </font>
    <font>
      <sz val="11"/>
      <color rgb="FF404040"/>
      <name val="Carlito"/>
    </font>
    <font>
      <b/>
      <sz val="11"/>
      <color rgb="FF1F1F1F"/>
      <name val="Carlito"/>
    </font>
    <font>
      <b/>
      <sz val="11"/>
      <name val="Carlito"/>
    </font>
    <font>
      <sz val="11"/>
      <name val="Carlito"/>
    </font>
    <font>
      <sz val="15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2">
    <xf numFmtId="0" fontId="0" fillId="0" borderId="0"/>
    <xf numFmtId="0" fontId="5" fillId="0" borderId="1"/>
  </cellStyleXfs>
  <cellXfs count="2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4" fillId="6" borderId="0" xfId="0" applyFont="1" applyFill="1" applyAlignment="1">
      <alignment wrapText="1"/>
    </xf>
    <xf numFmtId="3" fontId="4" fillId="6" borderId="0" xfId="0" applyNumberFormat="1" applyFont="1" applyFill="1" applyAlignment="1">
      <alignment wrapText="1"/>
    </xf>
    <xf numFmtId="164" fontId="4" fillId="6" borderId="0" xfId="0" applyNumberFormat="1" applyFont="1" applyFill="1" applyAlignment="1">
      <alignment wrapText="1"/>
    </xf>
    <xf numFmtId="0" fontId="0" fillId="0" borderId="0" xfId="0" applyAlignment="1">
      <alignment vertical="center"/>
    </xf>
    <xf numFmtId="0" fontId="0" fillId="7" borderId="0" xfId="0" applyFill="1" applyAlignment="1">
      <alignment wrapText="1"/>
    </xf>
    <xf numFmtId="3" fontId="0" fillId="7" borderId="0" xfId="0" applyNumberForma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5" borderId="0" xfId="0" applyFont="1" applyFill="1"/>
    <xf numFmtId="0" fontId="0" fillId="8" borderId="0" xfId="0" applyFill="1"/>
    <xf numFmtId="3" fontId="4" fillId="0" borderId="0" xfId="0" applyNumberFormat="1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right" vertical="center" wrapText="1"/>
    </xf>
    <xf numFmtId="10" fontId="0" fillId="0" borderId="0" xfId="0" applyNumberFormat="1" applyFont="1" applyAlignment="1">
      <alignment horizontal="right" vertical="center" wrapText="1"/>
    </xf>
    <xf numFmtId="0" fontId="0" fillId="0" borderId="0" xfId="0" applyFont="1"/>
    <xf numFmtId="3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wrapText="1"/>
    </xf>
  </cellXfs>
  <cellStyles count="2">
    <cellStyle name="Normal" xfId="0" builtinId="0"/>
    <cellStyle name="Normal 2" xfId="1" xr:uid="{E1D92A35-3CF5-48D6-A6DA-8E0B26BD0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CountyTable" displayName="MasterCountyTable" ref="A4:T22" totalsRowShown="0">
  <tableColumns count="20">
    <tableColumn id="1" xr3:uid="{00000000-0010-0000-0000-000001000000}" name="Year"/>
    <tableColumn id="2" xr3:uid="{00000000-0010-0000-0000-000002000000}" name="County / PA-07 Portion"/>
    <tableColumn id="3" xr3:uid="{00000000-0010-0000-0000-000003000000}" name="Request Definition"/>
    <tableColumn id="4" xr3:uid="{00000000-0010-0000-0000-000004000000}" name="Mail Requests"/>
    <tableColumn id="5" xr3:uid="{00000000-0010-0000-0000-000005000000}" name="Ballots Issued"/>
    <tableColumn id="6" xr3:uid="{00000000-0010-0000-0000-000006000000}" name="Mail Returned"/>
    <tableColumn id="7" xr3:uid="{00000000-0010-0000-0000-000007000000}" name="Mail Recorded"/>
    <tableColumn id="8" xr3:uid="{00000000-0010-0000-0000-000008000000}" name="Returned / Requests"/>
    <tableColumn id="9" xr3:uid="{00000000-0010-0000-0000-000009000000}" name="Recorded / Requests"/>
    <tableColumn id="10" xr3:uid="{00000000-0010-0000-0000-00000A000000}" name="Dem. Candidate"/>
    <tableColumn id="11" xr3:uid="{00000000-0010-0000-0000-00000B000000}" name="Dem. Votes — All Methods"/>
    <tableColumn id="12" xr3:uid="{00000000-0010-0000-0000-00000C000000}" name="Rep. Candidate"/>
    <tableColumn id="13" xr3:uid="{00000000-0010-0000-0000-00000D000000}" name="Rep. Votes — All Methods"/>
    <tableColumn id="14" xr3:uid="{00000000-0010-0000-0000-00000E000000}" name="Two-Party House Total"/>
    <tableColumn id="15" xr3:uid="{00000000-0010-0000-0000-00000F000000}" name="Dem. Two-Party Share"/>
    <tableColumn id="16" xr3:uid="{00000000-0010-0000-0000-000010000000}" name="Returned / House Total"/>
    <tableColumn id="17" xr3:uid="{00000000-0010-0000-0000-000011000000}" name="Recorded / House Total"/>
    <tableColumn id="18" xr3:uid="{00000000-0010-0000-0000-000012000000}" name="Dem. Candidate Mail Votes"/>
    <tableColumn id="19" xr3:uid="{00000000-0010-0000-0000-000013000000}" name="Rep. Candidate Mail Votes"/>
    <tableColumn id="20" xr3:uid="{00000000-0010-0000-0000-000014000000}" name="Two-Candidate Mail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yMailTable" displayName="PartyMailTable" ref="A4:I44" totalsRowShown="0">
  <tableColumns count="9">
    <tableColumn id="1" xr3:uid="{00000000-0010-0000-0100-000001000000}" name="Year"/>
    <tableColumn id="2" xr3:uid="{00000000-0010-0000-0100-000002000000}" name="County / PA-07 Portion"/>
    <tableColumn id="3" xr3:uid="{00000000-0010-0000-0100-000003000000}" name="Registered Party"/>
    <tableColumn id="4" xr3:uid="{00000000-0010-0000-0100-000004000000}" name="Mail Requests"/>
    <tableColumn id="5" xr3:uid="{00000000-0010-0000-0100-000005000000}" name="Ballots Issued"/>
    <tableColumn id="6" xr3:uid="{00000000-0010-0000-0100-000006000000}" name="Mail Returned"/>
    <tableColumn id="7" xr3:uid="{00000000-0010-0000-0100-000007000000}" name="Mail Recorded"/>
    <tableColumn id="8" xr3:uid="{00000000-0010-0000-0100-000008000000}" name="Returned / Requests"/>
    <tableColumn id="9" xr3:uid="{00000000-0010-0000-0100-000009000000}" name="Recorded / Reques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ndidateMailTable" displayName="CandidateMailTable" ref="A4:G22" totalsRowShown="0">
  <tableColumns count="7">
    <tableColumn id="1" xr3:uid="{00000000-0010-0000-0200-000001000000}" name="Year"/>
    <tableColumn id="2" xr3:uid="{00000000-0010-0000-0200-000002000000}" name="County / PA-07 Portion"/>
    <tableColumn id="3" xr3:uid="{00000000-0010-0000-0200-000003000000}" name="Susan Wild (D) Mail Votes"/>
    <tableColumn id="4" xr3:uid="{00000000-0010-0000-0200-000004000000}" name="Republican Candidate"/>
    <tableColumn id="5" xr3:uid="{00000000-0010-0000-0200-000005000000}" name="Republican Mail Votes"/>
    <tableColumn id="6" xr3:uid="{00000000-0010-0000-0200-000006000000}" name="Two-Candidate Mail Total"/>
    <tableColumn id="8" xr3:uid="{00000000-0010-0000-0200-000008000000}" name="Status / 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zoomScale="76" workbookViewId="0">
      <selection activeCell="F9" sqref="F9"/>
    </sheetView>
  </sheetViews>
  <sheetFormatPr defaultRowHeight="13.8"/>
  <cols>
    <col min="1" max="1" width="24" customWidth="1"/>
    <col min="2" max="8" width="16" customWidth="1"/>
  </cols>
  <sheetData>
    <row r="1" spans="1:25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4" spans="1:25" ht="27.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25" ht="78.599999999999994" customHeight="1">
      <c r="A5">
        <v>2020</v>
      </c>
      <c r="B5" s="5">
        <f>'Master County Summary'!D8</f>
        <v>182782</v>
      </c>
      <c r="C5" s="5">
        <f>'Master County Summary'!F8</f>
        <v>162725</v>
      </c>
      <c r="D5" s="5" t="str">
        <f>'Master County Summary'!G8</f>
        <v>n.a.</v>
      </c>
      <c r="E5" s="5">
        <f>'Master County Summary'!K8</f>
        <v>195462</v>
      </c>
      <c r="F5" s="5">
        <f>'Master County Summary'!M8</f>
        <v>181368</v>
      </c>
      <c r="G5" s="5" t="str">
        <f>'Master County Summary'!R8</f>
        <v>Not finalized</v>
      </c>
      <c r="H5" s="5" t="str">
        <f>'Master County Summary'!S8</f>
        <v>Not finalized</v>
      </c>
    </row>
    <row r="6" spans="1:25" ht="76.8" customHeight="1">
      <c r="A6">
        <v>2022</v>
      </c>
      <c r="B6" s="5">
        <f>'Master County Summary'!D15</f>
        <v>87296</v>
      </c>
      <c r="C6" s="5">
        <f>'Master County Summary'!F15</f>
        <v>78087</v>
      </c>
      <c r="D6" s="5" t="str">
        <f>'Master County Summary'!G15</f>
        <v>n.a.</v>
      </c>
      <c r="E6" s="5">
        <f>'Master County Summary'!K15</f>
        <v>151364</v>
      </c>
      <c r="F6" s="5">
        <f>'Master County Summary'!M15</f>
        <v>145527</v>
      </c>
      <c r="G6" s="5">
        <f>'Master County Summary'!R15</f>
        <v>60736</v>
      </c>
      <c r="H6" s="5">
        <f>'Master County Summary'!S15</f>
        <v>16382</v>
      </c>
    </row>
    <row r="7" spans="1:25" ht="90.6" customHeight="1">
      <c r="A7">
        <v>2024</v>
      </c>
      <c r="B7" s="5">
        <f>'Master County Summary'!D22</f>
        <v>142884</v>
      </c>
      <c r="C7" s="5">
        <f>'Master County Summary'!F22</f>
        <v>128928</v>
      </c>
      <c r="D7" s="5">
        <f>'Master County Summary'!G22</f>
        <v>127494</v>
      </c>
      <c r="E7" s="5">
        <f>'Master County Summary'!K22</f>
        <v>199626</v>
      </c>
      <c r="F7" s="5">
        <f>'Master County Summary'!M22</f>
        <v>203688</v>
      </c>
      <c r="G7" s="5">
        <f>'Master County Summary'!R22</f>
        <v>80909</v>
      </c>
      <c r="H7" s="5">
        <f>'Master County Summary'!S22</f>
        <v>44560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2"/>
  <sheetViews>
    <sheetView zoomScale="70" workbookViewId="0">
      <selection activeCell="F27" sqref="F27"/>
    </sheetView>
  </sheetViews>
  <sheetFormatPr defaultRowHeight="13.8"/>
  <cols>
    <col min="1" max="1" width="8" customWidth="1"/>
    <col min="2" max="2" width="27" customWidth="1"/>
    <col min="3" max="3" width="19" customWidth="1"/>
    <col min="4" max="7" width="16" customWidth="1"/>
    <col min="8" max="11" width="18" customWidth="1"/>
    <col min="12" max="12" width="19" customWidth="1"/>
    <col min="13" max="17" width="18" customWidth="1"/>
    <col min="18" max="20" width="20" customWidth="1"/>
  </cols>
  <sheetData>
    <row r="1" spans="1:24" ht="24" customHeight="1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1"/>
      <c r="V1" s="11"/>
      <c r="W1" s="11"/>
      <c r="X1" s="11"/>
    </row>
    <row r="2" spans="1:24" ht="27.15" customHeight="1">
      <c r="A2" s="15" t="s">
        <v>10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4" ht="40.049999999999997" customHeight="1">
      <c r="A4" s="1" t="s">
        <v>1</v>
      </c>
      <c r="B4" s="1" t="s">
        <v>11</v>
      </c>
      <c r="C4" s="1" t="s">
        <v>12</v>
      </c>
      <c r="D4" s="1" t="s">
        <v>2</v>
      </c>
      <c r="E4" s="1" t="s">
        <v>13</v>
      </c>
      <c r="F4" s="1" t="s">
        <v>3</v>
      </c>
      <c r="G4" s="1" t="s">
        <v>4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7</v>
      </c>
      <c r="S4" s="1" t="s">
        <v>8</v>
      </c>
      <c r="T4" s="1" t="s">
        <v>24</v>
      </c>
    </row>
    <row r="5" spans="1:24" ht="19.2" customHeight="1">
      <c r="A5" s="2">
        <v>2020</v>
      </c>
      <c r="B5" s="2" t="s">
        <v>25</v>
      </c>
      <c r="C5" s="2" t="s">
        <v>26</v>
      </c>
      <c r="D5" s="6">
        <v>87328</v>
      </c>
      <c r="E5" s="6">
        <v>86807</v>
      </c>
      <c r="F5" s="6">
        <v>77097</v>
      </c>
      <c r="G5" s="6" t="s">
        <v>27</v>
      </c>
      <c r="H5" s="7">
        <f t="shared" ref="H5:H8" si="0">IFERROR(F5/D5,"")</f>
        <v>0.88284399047270057</v>
      </c>
      <c r="I5" s="7" t="str">
        <f t="shared" ref="I5:I8" si="1">IF(ISNUMBER(G5),IFERROR(G5/D5,""),"")</f>
        <v/>
      </c>
      <c r="J5" s="2" t="s">
        <v>28</v>
      </c>
      <c r="K5" s="6">
        <v>96835</v>
      </c>
      <c r="L5" s="6" t="s">
        <v>29</v>
      </c>
      <c r="M5" s="6">
        <v>85219</v>
      </c>
      <c r="N5" s="6">
        <f t="shared" ref="N5:N8" si="2">K5+M5</f>
        <v>182054</v>
      </c>
      <c r="O5" s="7">
        <f t="shared" ref="O5:O8" si="3">IFERROR(K5/N5,"")</f>
        <v>0.5319026222988783</v>
      </c>
      <c r="P5" s="7">
        <f t="shared" ref="P5:P8" si="4">IFERROR(F5/N5,"")</f>
        <v>0.42348424093950149</v>
      </c>
      <c r="Q5" s="7" t="str">
        <f t="shared" ref="Q5:Q8" si="5">IF(ISNUMBER(G5),IFERROR(G5/N5,""),"")</f>
        <v/>
      </c>
      <c r="R5" s="6">
        <v>56508</v>
      </c>
      <c r="S5" s="6">
        <v>19111</v>
      </c>
      <c r="T5" s="6">
        <f t="shared" ref="T5:T8" si="6">IF(AND(ISNUMBER(R5),ISNUMBER(S5)),R5+S5,"")</f>
        <v>75619</v>
      </c>
    </row>
    <row r="6" spans="1:24" ht="19.2" customHeight="1">
      <c r="A6" s="2">
        <v>2020</v>
      </c>
      <c r="B6" s="2" t="s">
        <v>31</v>
      </c>
      <c r="C6" s="2" t="s">
        <v>26</v>
      </c>
      <c r="D6" s="6">
        <v>12694</v>
      </c>
      <c r="E6" s="6">
        <v>12663</v>
      </c>
      <c r="F6" s="6">
        <v>11745</v>
      </c>
      <c r="G6" s="6" t="s">
        <v>27</v>
      </c>
      <c r="H6" s="7">
        <f t="shared" si="0"/>
        <v>0.9252402709941705</v>
      </c>
      <c r="I6" s="7" t="str">
        <f t="shared" si="1"/>
        <v/>
      </c>
      <c r="J6" s="2" t="s">
        <v>28</v>
      </c>
      <c r="K6" s="6">
        <v>15527</v>
      </c>
      <c r="L6" s="6" t="s">
        <v>29</v>
      </c>
      <c r="M6" s="6">
        <v>12527</v>
      </c>
      <c r="N6" s="6">
        <f t="shared" si="2"/>
        <v>28054</v>
      </c>
      <c r="O6" s="7">
        <f t="shared" si="3"/>
        <v>0.55346831111427963</v>
      </c>
      <c r="P6" s="7">
        <f t="shared" si="4"/>
        <v>0.41865687602480928</v>
      </c>
      <c r="Q6" s="7" t="str">
        <f t="shared" si="5"/>
        <v/>
      </c>
      <c r="R6" s="6">
        <v>8454</v>
      </c>
      <c r="S6" s="6">
        <v>2715</v>
      </c>
      <c r="T6" s="6">
        <f t="shared" si="6"/>
        <v>11169</v>
      </c>
    </row>
    <row r="7" spans="1:24" ht="19.2" customHeight="1">
      <c r="A7" s="2">
        <v>2020</v>
      </c>
      <c r="B7" s="2" t="s">
        <v>33</v>
      </c>
      <c r="C7" s="2" t="s">
        <v>26</v>
      </c>
      <c r="D7" s="6">
        <v>82760</v>
      </c>
      <c r="E7" s="6">
        <v>82750</v>
      </c>
      <c r="F7" s="6">
        <v>73883</v>
      </c>
      <c r="G7" s="6" t="s">
        <v>27</v>
      </c>
      <c r="H7" s="7">
        <f t="shared" si="0"/>
        <v>0.89273803769937166</v>
      </c>
      <c r="I7" s="7" t="str">
        <f t="shared" si="1"/>
        <v/>
      </c>
      <c r="J7" s="2" t="s">
        <v>28</v>
      </c>
      <c r="K7" s="6">
        <v>83100</v>
      </c>
      <c r="L7" s="6" t="s">
        <v>29</v>
      </c>
      <c r="M7" s="6">
        <v>83622</v>
      </c>
      <c r="N7" s="6">
        <f t="shared" si="2"/>
        <v>166722</v>
      </c>
      <c r="O7" s="7">
        <f t="shared" si="3"/>
        <v>0.49843451973944652</v>
      </c>
      <c r="P7" s="7">
        <f t="shared" si="4"/>
        <v>0.44315087390986191</v>
      </c>
      <c r="Q7" s="7" t="str">
        <f t="shared" si="5"/>
        <v/>
      </c>
      <c r="R7" s="6">
        <v>52247</v>
      </c>
      <c r="S7" s="6">
        <v>20269</v>
      </c>
      <c r="T7" s="6">
        <f t="shared" si="6"/>
        <v>72516</v>
      </c>
    </row>
    <row r="8" spans="1:24" ht="19.2" customHeight="1">
      <c r="A8" s="8">
        <v>2020</v>
      </c>
      <c r="B8" s="8" t="s">
        <v>35</v>
      </c>
      <c r="C8" s="8" t="s">
        <v>26</v>
      </c>
      <c r="D8" s="9">
        <v>182782</v>
      </c>
      <c r="E8" s="9">
        <v>182220</v>
      </c>
      <c r="F8" s="9">
        <v>162725</v>
      </c>
      <c r="G8" s="9" t="s">
        <v>27</v>
      </c>
      <c r="H8" s="10">
        <f t="shared" si="0"/>
        <v>0.89026818833364341</v>
      </c>
      <c r="I8" s="10" t="str">
        <f t="shared" si="1"/>
        <v/>
      </c>
      <c r="J8" s="8" t="s">
        <v>28</v>
      </c>
      <c r="K8" s="9">
        <v>195462</v>
      </c>
      <c r="L8" s="9" t="s">
        <v>29</v>
      </c>
      <c r="M8" s="9">
        <v>181368</v>
      </c>
      <c r="N8" s="9">
        <f t="shared" si="2"/>
        <v>376830</v>
      </c>
      <c r="O8" s="10">
        <f t="shared" si="3"/>
        <v>0.51870074038691183</v>
      </c>
      <c r="P8" s="10">
        <f t="shared" si="4"/>
        <v>0.43182602234429318</v>
      </c>
      <c r="Q8" s="10" t="str">
        <f t="shared" si="5"/>
        <v/>
      </c>
      <c r="R8" s="9" t="s">
        <v>36</v>
      </c>
      <c r="S8" s="9" t="s">
        <v>36</v>
      </c>
      <c r="T8" s="9" t="str">
        <f t="shared" si="6"/>
        <v/>
      </c>
    </row>
    <row r="11" spans="1:24" ht="19.2" customHeight="1">
      <c r="A11" s="2">
        <v>2022</v>
      </c>
      <c r="B11" s="2" t="s">
        <v>38</v>
      </c>
      <c r="C11" s="2" t="s">
        <v>26</v>
      </c>
      <c r="D11" s="6">
        <v>5313</v>
      </c>
      <c r="E11" s="6">
        <v>5284</v>
      </c>
      <c r="F11" s="6">
        <v>4813</v>
      </c>
      <c r="G11" s="6" t="s">
        <v>27</v>
      </c>
      <c r="H11" s="7">
        <f>IFERROR(F11/D11,"")</f>
        <v>0.90589121023903629</v>
      </c>
      <c r="I11" s="7" t="str">
        <f>IF(ISNUMBER(G11),IFERROR(G11/D11,""),"")</f>
        <v/>
      </c>
      <c r="J11" s="2" t="s">
        <v>28</v>
      </c>
      <c r="K11" s="6">
        <v>9189</v>
      </c>
      <c r="L11" s="6" t="s">
        <v>29</v>
      </c>
      <c r="M11" s="6">
        <v>16844</v>
      </c>
      <c r="N11" s="6">
        <f>K11+M11</f>
        <v>26033</v>
      </c>
      <c r="O11" s="7">
        <f>IFERROR(K11/N11,"")</f>
        <v>0.3529750701033304</v>
      </c>
      <c r="P11" s="7">
        <f>IFERROR(F11/N11,"")</f>
        <v>0.18488072830638036</v>
      </c>
      <c r="Q11" s="7" t="str">
        <f>IF(ISNUMBER(G11),IFERROR(G11/N11,""),"")</f>
        <v/>
      </c>
      <c r="R11" s="6">
        <v>3296</v>
      </c>
      <c r="S11" s="6">
        <v>1449</v>
      </c>
      <c r="T11" s="6">
        <f>IF(AND(ISNUMBER(R11),ISNUMBER(S11)),R11+S11,"")</f>
        <v>4745</v>
      </c>
    </row>
    <row r="12" spans="1:24" ht="19.2" customHeight="1">
      <c r="A12" s="2">
        <v>2022</v>
      </c>
      <c r="B12" s="2" t="s">
        <v>25</v>
      </c>
      <c r="C12" s="2" t="s">
        <v>26</v>
      </c>
      <c r="D12" s="6">
        <v>40849</v>
      </c>
      <c r="E12" s="6">
        <v>40698</v>
      </c>
      <c r="F12" s="6">
        <v>35734</v>
      </c>
      <c r="G12" s="6" t="s">
        <v>27</v>
      </c>
      <c r="H12" s="7">
        <f>IFERROR(F12/D12,"")</f>
        <v>0.87478273641949622</v>
      </c>
      <c r="I12" s="7" t="str">
        <f>IF(ISNUMBER(G12),IFERROR(G12/D12,""),"")</f>
        <v/>
      </c>
      <c r="J12" s="2" t="s">
        <v>28</v>
      </c>
      <c r="K12" s="6">
        <v>73756</v>
      </c>
      <c r="L12" s="6" t="s">
        <v>29</v>
      </c>
      <c r="M12" s="6">
        <v>62343</v>
      </c>
      <c r="N12" s="6">
        <f>K12+M12</f>
        <v>136099</v>
      </c>
      <c r="O12" s="7">
        <f>IFERROR(K12/N12,"")</f>
        <v>0.541929036951043</v>
      </c>
      <c r="P12" s="7">
        <f>IFERROR(F12/N12,"")</f>
        <v>0.2625588725853974</v>
      </c>
      <c r="Q12" s="7" t="str">
        <f>IF(ISNUMBER(G12),IFERROR(G12/N12,""),"")</f>
        <v/>
      </c>
      <c r="R12" s="6">
        <v>28362</v>
      </c>
      <c r="S12" s="6">
        <v>6995</v>
      </c>
      <c r="T12" s="6">
        <f>IF(AND(ISNUMBER(R12),ISNUMBER(S12)),R12+S12,"")</f>
        <v>35357</v>
      </c>
    </row>
    <row r="13" spans="1:24" ht="19.2" customHeight="1">
      <c r="A13" s="2">
        <v>2022</v>
      </c>
      <c r="B13" s="2" t="s">
        <v>31</v>
      </c>
      <c r="C13" s="2" t="s">
        <v>26</v>
      </c>
      <c r="D13" s="6">
        <v>1122</v>
      </c>
      <c r="E13" s="6">
        <v>1121</v>
      </c>
      <c r="F13" s="6">
        <v>1014</v>
      </c>
      <c r="G13" s="6" t="s">
        <v>27</v>
      </c>
      <c r="H13" s="7">
        <f>IFERROR(F13/D13,"")</f>
        <v>0.90374331550802134</v>
      </c>
      <c r="I13" s="7" t="str">
        <f>IF(ISNUMBER(G13),IFERROR(G13/D13,""),"")</f>
        <v/>
      </c>
      <c r="J13" s="2" t="s">
        <v>28</v>
      </c>
      <c r="K13" s="6">
        <v>1762</v>
      </c>
      <c r="L13" s="6" t="s">
        <v>29</v>
      </c>
      <c r="M13" s="6">
        <v>3540</v>
      </c>
      <c r="N13" s="6">
        <f>K13+M13</f>
        <v>5302</v>
      </c>
      <c r="O13" s="7">
        <f>IFERROR(K13/N13,"")</f>
        <v>0.33232742361373069</v>
      </c>
      <c r="P13" s="7">
        <f>IFERROR(F13/N13,"")</f>
        <v>0.1912485854394568</v>
      </c>
      <c r="Q13" s="7" t="str">
        <f>IF(ISNUMBER(G13),IFERROR(G13/N13,""),"")</f>
        <v/>
      </c>
      <c r="R13" s="6">
        <v>726</v>
      </c>
      <c r="S13" s="6">
        <v>256</v>
      </c>
      <c r="T13" s="6">
        <f>IF(AND(ISNUMBER(R13),ISNUMBER(S13)),R13+S13,"")</f>
        <v>982</v>
      </c>
    </row>
    <row r="14" spans="1:24" ht="19.2" customHeight="1">
      <c r="A14" s="2">
        <v>2022</v>
      </c>
      <c r="B14" s="2" t="s">
        <v>33</v>
      </c>
      <c r="C14" s="2" t="s">
        <v>26</v>
      </c>
      <c r="D14" s="6">
        <v>40012</v>
      </c>
      <c r="E14" s="6">
        <v>39922</v>
      </c>
      <c r="F14" s="6">
        <v>36526</v>
      </c>
      <c r="G14" s="6" t="s">
        <v>27</v>
      </c>
      <c r="H14" s="7">
        <f>IFERROR(F14/D14,"")</f>
        <v>0.9128761371588523</v>
      </c>
      <c r="I14" s="7" t="str">
        <f>IF(ISNUMBER(G14),IFERROR(G14/D14,""),"")</f>
        <v/>
      </c>
      <c r="J14" s="2" t="s">
        <v>28</v>
      </c>
      <c r="K14" s="6">
        <v>66657</v>
      </c>
      <c r="L14" s="6" t="s">
        <v>29</v>
      </c>
      <c r="M14" s="6">
        <v>62800</v>
      </c>
      <c r="N14" s="6">
        <f>K14+M14</f>
        <v>129457</v>
      </c>
      <c r="O14" s="7">
        <f>IFERROR(K14/N14,"")</f>
        <v>0.51489683833241928</v>
      </c>
      <c r="P14" s="7">
        <f>IFERROR(F14/N14,"")</f>
        <v>0.28214774017627475</v>
      </c>
      <c r="Q14" s="7" t="str">
        <f>IF(ISNUMBER(G14),IFERROR(G14/N14,""),"")</f>
        <v/>
      </c>
      <c r="R14" s="6">
        <v>28352</v>
      </c>
      <c r="S14" s="6">
        <v>7682</v>
      </c>
      <c r="T14" s="6">
        <f>IF(AND(ISNUMBER(R14),ISNUMBER(S14)),R14+S14,"")</f>
        <v>36034</v>
      </c>
    </row>
    <row r="15" spans="1:24" ht="19.2" customHeight="1">
      <c r="A15" s="8">
        <v>2022</v>
      </c>
      <c r="B15" s="8" t="s">
        <v>35</v>
      </c>
      <c r="C15" s="8" t="s">
        <v>26</v>
      </c>
      <c r="D15" s="9">
        <v>87296</v>
      </c>
      <c r="E15" s="9">
        <v>87025</v>
      </c>
      <c r="F15" s="9">
        <v>78087</v>
      </c>
      <c r="G15" s="9" t="s">
        <v>27</v>
      </c>
      <c r="H15" s="10">
        <f>IFERROR(F15/D15,"")</f>
        <v>0.89450833944281527</v>
      </c>
      <c r="I15" s="10" t="str">
        <f>IF(ISNUMBER(G15),IFERROR(G15/D15,""),"")</f>
        <v/>
      </c>
      <c r="J15" s="8" t="s">
        <v>28</v>
      </c>
      <c r="K15" s="9">
        <v>151364</v>
      </c>
      <c r="L15" s="9" t="s">
        <v>29</v>
      </c>
      <c r="M15" s="9">
        <v>145527</v>
      </c>
      <c r="N15" s="9">
        <f>K15+M15</f>
        <v>296891</v>
      </c>
      <c r="O15" s="10">
        <f>IFERROR(K15/N15,"")</f>
        <v>0.50983020704568338</v>
      </c>
      <c r="P15" s="10">
        <f>IFERROR(F15/N15,"")</f>
        <v>0.26301571957385034</v>
      </c>
      <c r="Q15" s="10" t="str">
        <f>IF(ISNUMBER(G15),IFERROR(G15/N15,""),"")</f>
        <v/>
      </c>
      <c r="R15" s="9">
        <v>60736</v>
      </c>
      <c r="S15" s="9">
        <v>16382</v>
      </c>
      <c r="T15" s="9">
        <f>IF(AND(ISNUMBER(R15),ISNUMBER(S15)),R15+S15,"")</f>
        <v>77118</v>
      </c>
    </row>
    <row r="18" spans="1:20" ht="19.2" customHeight="1">
      <c r="A18" s="2">
        <v>2024</v>
      </c>
      <c r="B18" s="2" t="s">
        <v>38</v>
      </c>
      <c r="C18" s="2" t="s">
        <v>43</v>
      </c>
      <c r="D18" s="6">
        <v>8705</v>
      </c>
      <c r="E18" s="6">
        <v>8641</v>
      </c>
      <c r="F18" s="6">
        <v>7349</v>
      </c>
      <c r="G18" s="6">
        <v>7313</v>
      </c>
      <c r="H18" s="7">
        <f>IFERROR(F18/D18,"")</f>
        <v>0.84422745548535327</v>
      </c>
      <c r="I18" s="7">
        <f>IF(ISNUMBER(G18),IFERROR(G18/D18,""),"")</f>
        <v>0.84009190120620336</v>
      </c>
      <c r="J18" s="2" t="s">
        <v>28</v>
      </c>
      <c r="K18" s="6">
        <v>11614</v>
      </c>
      <c r="L18" s="6" t="s">
        <v>44</v>
      </c>
      <c r="M18" s="6">
        <v>22813</v>
      </c>
      <c r="N18" s="6">
        <f>K18+M18</f>
        <v>34427</v>
      </c>
      <c r="O18" s="7">
        <f>IFERROR(K18/N18,"")</f>
        <v>0.33735149737124931</v>
      </c>
      <c r="P18" s="7">
        <f>IFERROR(F18/N18,"")</f>
        <v>0.21346617480465913</v>
      </c>
      <c r="Q18" s="7">
        <f>IF(ISNUMBER(G18),IFERROR(G18/N18,""),"")</f>
        <v>0.21242048392250268</v>
      </c>
      <c r="R18" s="6">
        <v>4022</v>
      </c>
      <c r="S18" s="6">
        <v>3130</v>
      </c>
      <c r="T18" s="6">
        <f>IF(AND(ISNUMBER(R18),ISNUMBER(S18)),R18+S18,"")</f>
        <v>7152</v>
      </c>
    </row>
    <row r="19" spans="1:20" ht="19.2" customHeight="1">
      <c r="A19" s="2">
        <v>2024</v>
      </c>
      <c r="B19" s="2" t="s">
        <v>25</v>
      </c>
      <c r="C19" s="2" t="s">
        <v>43</v>
      </c>
      <c r="D19" s="6">
        <v>65504</v>
      </c>
      <c r="E19" s="6">
        <v>65166</v>
      </c>
      <c r="F19" s="6">
        <v>58514</v>
      </c>
      <c r="G19" s="6">
        <v>57757</v>
      </c>
      <c r="H19" s="7">
        <f>IFERROR(F19/D19,"")</f>
        <v>0.8932889594528578</v>
      </c>
      <c r="I19" s="7">
        <f>IF(ISNUMBER(G19),IFERROR(G19/D19,""),"")</f>
        <v>0.8817324132877381</v>
      </c>
      <c r="J19" s="2" t="s">
        <v>28</v>
      </c>
      <c r="K19" s="6">
        <v>98017</v>
      </c>
      <c r="L19" s="6" t="s">
        <v>44</v>
      </c>
      <c r="M19" s="6">
        <v>89350</v>
      </c>
      <c r="N19" s="6">
        <f>K19+M19</f>
        <v>187367</v>
      </c>
      <c r="O19" s="7">
        <f>IFERROR(K19/N19,"")</f>
        <v>0.52312840574914476</v>
      </c>
      <c r="P19" s="7">
        <f>IFERROR(F19/N19,"")</f>
        <v>0.3122961887632294</v>
      </c>
      <c r="Q19" s="7">
        <f>IF(ISNUMBER(G19),IFERROR(G19/N19,""),"")</f>
        <v>0.30825598958194345</v>
      </c>
      <c r="R19" s="6">
        <v>37662</v>
      </c>
      <c r="S19" s="6">
        <v>19173</v>
      </c>
      <c r="T19" s="6">
        <f>IF(AND(ISNUMBER(R19),ISNUMBER(S19)),R19+S19,"")</f>
        <v>56835</v>
      </c>
    </row>
    <row r="20" spans="1:20" ht="19.2" customHeight="1">
      <c r="A20" s="2">
        <v>2024</v>
      </c>
      <c r="B20" s="2" t="s">
        <v>31</v>
      </c>
      <c r="C20" s="2" t="s">
        <v>43</v>
      </c>
      <c r="D20" s="6">
        <v>2236</v>
      </c>
      <c r="E20" s="6">
        <v>2236</v>
      </c>
      <c r="F20" s="6">
        <v>2043</v>
      </c>
      <c r="G20" s="6">
        <v>2032</v>
      </c>
      <c r="H20" s="7">
        <f>IFERROR(F20/D20,"")</f>
        <v>0.9136851520572451</v>
      </c>
      <c r="I20" s="7">
        <f>IF(ISNUMBER(G20),IFERROR(G20/D20,""),"")</f>
        <v>0.90876565295169942</v>
      </c>
      <c r="J20" s="2" t="s">
        <v>28</v>
      </c>
      <c r="K20" s="6">
        <v>2406</v>
      </c>
      <c r="L20" s="6" t="s">
        <v>44</v>
      </c>
      <c r="M20" s="6">
        <v>5015</v>
      </c>
      <c r="N20" s="6">
        <f>K20+M20</f>
        <v>7421</v>
      </c>
      <c r="O20" s="7">
        <f>IFERROR(K20/N20,"")</f>
        <v>0.32421506535507344</v>
      </c>
      <c r="P20" s="7">
        <f>IFERROR(F20/N20,"")</f>
        <v>0.27529982482145265</v>
      </c>
      <c r="Q20" s="7">
        <f>IF(ISNUMBER(G20),IFERROR(G20/N20,""),"")</f>
        <v>0.27381754480528231</v>
      </c>
      <c r="R20" s="6">
        <v>1087</v>
      </c>
      <c r="S20" s="6">
        <v>908</v>
      </c>
      <c r="T20" s="6">
        <f>IF(AND(ISNUMBER(R20),ISNUMBER(S20)),R20+S20,"")</f>
        <v>1995</v>
      </c>
    </row>
    <row r="21" spans="1:20" ht="19.2" customHeight="1">
      <c r="A21" s="2">
        <v>2024</v>
      </c>
      <c r="B21" s="2" t="s">
        <v>33</v>
      </c>
      <c r="C21" s="2" t="s">
        <v>43</v>
      </c>
      <c r="D21" s="6">
        <v>66439</v>
      </c>
      <c r="E21" s="6">
        <v>66098</v>
      </c>
      <c r="F21" s="6">
        <v>61022</v>
      </c>
      <c r="G21" s="6">
        <v>60392</v>
      </c>
      <c r="H21" s="7">
        <f>IFERROR(F21/D21,"")</f>
        <v>0.91846656331371634</v>
      </c>
      <c r="I21" s="7">
        <f>IF(ISNUMBER(G21),IFERROR(G21/D21,""),"")</f>
        <v>0.90898418097804001</v>
      </c>
      <c r="J21" s="2" t="s">
        <v>28</v>
      </c>
      <c r="K21" s="6">
        <v>87589</v>
      </c>
      <c r="L21" s="6" t="s">
        <v>44</v>
      </c>
      <c r="M21" s="6">
        <v>86510</v>
      </c>
      <c r="N21" s="6">
        <f>K21+M21</f>
        <v>174099</v>
      </c>
      <c r="O21" s="7">
        <f>IFERROR(K21/N21,"")</f>
        <v>0.50309881159570125</v>
      </c>
      <c r="P21" s="7">
        <f>IFERROR(F21/N21,"")</f>
        <v>0.35050172602944302</v>
      </c>
      <c r="Q21" s="7">
        <f>IF(ISNUMBER(G21),IFERROR(G21/N21,""),"")</f>
        <v>0.34688309525040351</v>
      </c>
      <c r="R21" s="6">
        <v>38138</v>
      </c>
      <c r="S21" s="6">
        <v>21349</v>
      </c>
      <c r="T21" s="6">
        <f>IF(AND(ISNUMBER(R21),ISNUMBER(S21)),R21+S21,"")</f>
        <v>59487</v>
      </c>
    </row>
    <row r="22" spans="1:20" ht="19.2" customHeight="1">
      <c r="A22" s="8">
        <v>2024</v>
      </c>
      <c r="B22" s="8" t="s">
        <v>35</v>
      </c>
      <c r="C22" s="8" t="s">
        <v>43</v>
      </c>
      <c r="D22" s="9">
        <v>142884</v>
      </c>
      <c r="E22" s="9">
        <v>142141</v>
      </c>
      <c r="F22" s="9">
        <v>128928</v>
      </c>
      <c r="G22" s="9">
        <v>127494</v>
      </c>
      <c r="H22" s="10">
        <f>IFERROR(F22/D22,"")</f>
        <v>0.90232636264382293</v>
      </c>
      <c r="I22" s="10">
        <f>IF(ISNUMBER(G22),IFERROR(G22/D22,""),"")</f>
        <v>0.89229024943310653</v>
      </c>
      <c r="J22" s="8" t="s">
        <v>28</v>
      </c>
      <c r="K22" s="9">
        <v>199626</v>
      </c>
      <c r="L22" s="9" t="s">
        <v>44</v>
      </c>
      <c r="M22" s="9">
        <v>203688</v>
      </c>
      <c r="N22" s="9">
        <f>K22+M22</f>
        <v>403314</v>
      </c>
      <c r="O22" s="10">
        <f>IFERROR(K22/N22,"")</f>
        <v>0.49496422142548979</v>
      </c>
      <c r="P22" s="10">
        <f>IFERROR(F22/N22,"")</f>
        <v>0.31967152144482958</v>
      </c>
      <c r="Q22" s="10">
        <f>IF(ISNUMBER(G22),IFERROR(G22/N22,""),"")</f>
        <v>0.3161159791130484</v>
      </c>
      <c r="R22" s="9">
        <v>80909</v>
      </c>
      <c r="S22" s="9">
        <v>44560</v>
      </c>
      <c r="T22" s="9">
        <f>IF(AND(ISNUMBER(R22),ISNUMBER(S22)),R22+S22,"")</f>
        <v>125469</v>
      </c>
    </row>
  </sheetData>
  <mergeCells count="2">
    <mergeCell ref="A1:T1"/>
    <mergeCell ref="A2:T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"/>
  <sheetViews>
    <sheetView zoomScale="81" workbookViewId="0">
      <selection activeCell="J15" sqref="J15"/>
    </sheetView>
  </sheetViews>
  <sheetFormatPr defaultRowHeight="13.8"/>
  <cols>
    <col min="1" max="1" width="8" customWidth="1"/>
    <col min="2" max="2" width="25" customWidth="1"/>
    <col min="3" max="3" width="22" customWidth="1"/>
    <col min="4" max="7" width="15" customWidth="1"/>
    <col min="8" max="9" width="18" customWidth="1"/>
  </cols>
  <sheetData>
    <row r="1" spans="1:26" ht="19.2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5" t="s">
        <v>46</v>
      </c>
      <c r="B2" s="15"/>
      <c r="C2" s="15"/>
      <c r="D2" s="15"/>
      <c r="E2" s="15"/>
      <c r="F2" s="15"/>
      <c r="G2" s="15"/>
      <c r="H2" s="15"/>
      <c r="I2" s="15"/>
    </row>
    <row r="4" spans="1:26" ht="27.6">
      <c r="A4" s="1" t="s">
        <v>1</v>
      </c>
      <c r="B4" s="1" t="s">
        <v>11</v>
      </c>
      <c r="C4" s="1" t="s">
        <v>47</v>
      </c>
      <c r="D4" s="1" t="s">
        <v>2</v>
      </c>
      <c r="E4" s="1" t="s">
        <v>13</v>
      </c>
      <c r="F4" s="1" t="s">
        <v>3</v>
      </c>
      <c r="G4" s="1" t="s">
        <v>4</v>
      </c>
      <c r="H4" s="1" t="s">
        <v>14</v>
      </c>
      <c r="I4" s="1" t="s">
        <v>15</v>
      </c>
    </row>
    <row r="5" spans="1:26">
      <c r="A5" s="2">
        <v>2020</v>
      </c>
      <c r="B5" s="2" t="s">
        <v>25</v>
      </c>
      <c r="C5" s="2" t="s">
        <v>48</v>
      </c>
      <c r="D5" s="6">
        <v>53589</v>
      </c>
      <c r="E5" s="6">
        <v>53299</v>
      </c>
      <c r="F5" s="6">
        <v>48487</v>
      </c>
      <c r="G5" s="6" t="s">
        <v>27</v>
      </c>
      <c r="H5" s="7">
        <v>0.90479389426934631</v>
      </c>
      <c r="I5" s="7"/>
    </row>
    <row r="6" spans="1:26">
      <c r="A6" s="2">
        <v>2020</v>
      </c>
      <c r="B6" s="2" t="s">
        <v>25</v>
      </c>
      <c r="C6" s="2" t="s">
        <v>49</v>
      </c>
      <c r="D6" s="6">
        <v>21386</v>
      </c>
      <c r="E6" s="6">
        <v>21243</v>
      </c>
      <c r="F6" s="6">
        <v>17863</v>
      </c>
      <c r="G6" s="6" t="s">
        <v>27</v>
      </c>
      <c r="H6" s="7">
        <v>0.83526606190966057</v>
      </c>
      <c r="I6" s="7"/>
    </row>
    <row r="7" spans="1:26">
      <c r="A7" s="2">
        <v>2020</v>
      </c>
      <c r="B7" s="2" t="s">
        <v>25</v>
      </c>
      <c r="C7" s="2" t="s">
        <v>50</v>
      </c>
      <c r="D7" s="6">
        <v>12353</v>
      </c>
      <c r="E7" s="6">
        <v>12265</v>
      </c>
      <c r="F7" s="6">
        <v>10747</v>
      </c>
      <c r="G7" s="6" t="s">
        <v>27</v>
      </c>
      <c r="H7" s="7">
        <v>0.86999109528049867</v>
      </c>
      <c r="I7" s="7"/>
    </row>
    <row r="8" spans="1:26">
      <c r="A8" s="2">
        <v>2020</v>
      </c>
      <c r="B8" s="2" t="s">
        <v>31</v>
      </c>
      <c r="C8" s="2" t="s">
        <v>48</v>
      </c>
      <c r="D8" s="6">
        <v>8042</v>
      </c>
      <c r="E8" s="6">
        <v>8026</v>
      </c>
      <c r="F8" s="6">
        <v>7560</v>
      </c>
      <c r="G8" s="6" t="s">
        <v>27</v>
      </c>
      <c r="H8" s="7">
        <v>0.94006466053220594</v>
      </c>
      <c r="I8" s="7"/>
    </row>
    <row r="9" spans="1:26">
      <c r="A9" s="2">
        <v>2020</v>
      </c>
      <c r="B9" s="2" t="s">
        <v>31</v>
      </c>
      <c r="C9" s="2" t="s">
        <v>49</v>
      </c>
      <c r="D9" s="6">
        <v>2766</v>
      </c>
      <c r="E9" s="6">
        <v>2758</v>
      </c>
      <c r="F9" s="6">
        <v>2487</v>
      </c>
      <c r="G9" s="6" t="s">
        <v>27</v>
      </c>
      <c r="H9" s="7">
        <v>0.89913232104121477</v>
      </c>
      <c r="I9" s="7"/>
    </row>
    <row r="10" spans="1:26">
      <c r="A10" s="2">
        <v>2020</v>
      </c>
      <c r="B10" s="2" t="s">
        <v>31</v>
      </c>
      <c r="C10" s="2" t="s">
        <v>50</v>
      </c>
      <c r="D10" s="6">
        <v>1886</v>
      </c>
      <c r="E10" s="6">
        <v>1879</v>
      </c>
      <c r="F10" s="6">
        <v>1698</v>
      </c>
      <c r="G10" s="6" t="s">
        <v>27</v>
      </c>
      <c r="H10" s="7">
        <v>0.90031813361611879</v>
      </c>
      <c r="I10" s="7"/>
    </row>
    <row r="11" spans="1:26">
      <c r="A11" s="2">
        <v>2020</v>
      </c>
      <c r="B11" s="2" t="s">
        <v>33</v>
      </c>
      <c r="C11" s="2" t="s">
        <v>48</v>
      </c>
      <c r="D11" s="6">
        <v>49522</v>
      </c>
      <c r="E11" s="6">
        <v>49518</v>
      </c>
      <c r="F11" s="6">
        <v>45426</v>
      </c>
      <c r="G11" s="6" t="s">
        <v>27</v>
      </c>
      <c r="H11" s="7">
        <v>0.91728928557004963</v>
      </c>
      <c r="I11" s="7"/>
    </row>
    <row r="12" spans="1:26">
      <c r="A12" s="2">
        <v>2020</v>
      </c>
      <c r="B12" s="2" t="s">
        <v>33</v>
      </c>
      <c r="C12" s="2" t="s">
        <v>49</v>
      </c>
      <c r="D12" s="6">
        <v>20618</v>
      </c>
      <c r="E12" s="6">
        <v>20618</v>
      </c>
      <c r="F12" s="6">
        <v>17382</v>
      </c>
      <c r="G12" s="6" t="s">
        <v>27</v>
      </c>
      <c r="H12" s="7">
        <v>0.84304976234358331</v>
      </c>
      <c r="I12" s="7"/>
    </row>
    <row r="13" spans="1:26">
      <c r="A13" s="2">
        <v>2020</v>
      </c>
      <c r="B13" s="2" t="s">
        <v>33</v>
      </c>
      <c r="C13" s="2" t="s">
        <v>50</v>
      </c>
      <c r="D13" s="6">
        <v>12620</v>
      </c>
      <c r="E13" s="6">
        <v>12614</v>
      </c>
      <c r="F13" s="6">
        <v>11075</v>
      </c>
      <c r="G13" s="6" t="s">
        <v>27</v>
      </c>
      <c r="H13" s="7">
        <v>0.87757527733755947</v>
      </c>
      <c r="I13" s="7"/>
    </row>
    <row r="14" spans="1:26" s="3" customFormat="1">
      <c r="A14" s="4">
        <v>2020</v>
      </c>
      <c r="B14" s="4" t="s">
        <v>35</v>
      </c>
      <c r="C14" s="4" t="s">
        <v>51</v>
      </c>
      <c r="D14" s="24">
        <v>182782</v>
      </c>
      <c r="E14" s="24">
        <v>182220</v>
      </c>
      <c r="F14" s="24">
        <v>162725</v>
      </c>
      <c r="G14" s="24" t="s">
        <v>27</v>
      </c>
      <c r="H14" s="25">
        <v>0.89026818833364341</v>
      </c>
      <c r="I14" s="25"/>
    </row>
    <row r="17" spans="1:9">
      <c r="A17" s="2">
        <v>2022</v>
      </c>
      <c r="B17" s="2" t="s">
        <v>38</v>
      </c>
      <c r="C17" s="2" t="s">
        <v>48</v>
      </c>
      <c r="D17" s="6">
        <v>3393</v>
      </c>
      <c r="E17" s="6">
        <v>3374</v>
      </c>
      <c r="F17" s="6">
        <v>3089</v>
      </c>
      <c r="G17" s="6" t="s">
        <v>27</v>
      </c>
      <c r="H17" s="7">
        <v>0.91040377247273796</v>
      </c>
      <c r="I17" s="7"/>
    </row>
    <row r="18" spans="1:9">
      <c r="A18" s="2">
        <v>2022</v>
      </c>
      <c r="B18" s="2" t="s">
        <v>38</v>
      </c>
      <c r="C18" s="2" t="s">
        <v>49</v>
      </c>
      <c r="D18" s="6">
        <v>1420</v>
      </c>
      <c r="E18" s="6">
        <v>1415</v>
      </c>
      <c r="F18" s="6">
        <v>1298</v>
      </c>
      <c r="G18" s="6" t="s">
        <v>27</v>
      </c>
      <c r="H18" s="7">
        <v>0.91408450704225352</v>
      </c>
      <c r="I18" s="7"/>
    </row>
    <row r="19" spans="1:9">
      <c r="A19" s="2">
        <v>2022</v>
      </c>
      <c r="B19" s="2" t="s">
        <v>38</v>
      </c>
      <c r="C19" s="2" t="s">
        <v>50</v>
      </c>
      <c r="D19" s="6">
        <v>500</v>
      </c>
      <c r="E19" s="6">
        <v>495</v>
      </c>
      <c r="F19" s="6">
        <v>426</v>
      </c>
      <c r="G19" s="6" t="s">
        <v>27</v>
      </c>
      <c r="H19" s="7">
        <v>0.85199999999999998</v>
      </c>
      <c r="I19" s="7"/>
    </row>
    <row r="20" spans="1:9">
      <c r="A20" s="2">
        <v>2022</v>
      </c>
      <c r="B20" s="2" t="s">
        <v>25</v>
      </c>
      <c r="C20" s="2" t="s">
        <v>48</v>
      </c>
      <c r="D20" s="6">
        <v>27526</v>
      </c>
      <c r="E20" s="6">
        <v>27407</v>
      </c>
      <c r="F20" s="6">
        <v>24265</v>
      </c>
      <c r="G20" s="6" t="s">
        <v>27</v>
      </c>
      <c r="H20" s="7">
        <v>0.88153018963888685</v>
      </c>
      <c r="I20" s="7"/>
    </row>
    <row r="21" spans="1:9">
      <c r="A21" s="2">
        <v>2022</v>
      </c>
      <c r="B21" s="2" t="s">
        <v>25</v>
      </c>
      <c r="C21" s="2" t="s">
        <v>49</v>
      </c>
      <c r="D21" s="6">
        <v>8580</v>
      </c>
      <c r="E21" s="6">
        <v>8556</v>
      </c>
      <c r="F21" s="6">
        <v>7557</v>
      </c>
      <c r="G21" s="6" t="s">
        <v>27</v>
      </c>
      <c r="H21" s="7">
        <v>0.88076923076923075</v>
      </c>
      <c r="I21" s="7"/>
    </row>
    <row r="22" spans="1:9">
      <c r="A22" s="2">
        <v>2022</v>
      </c>
      <c r="B22" s="2" t="s">
        <v>25</v>
      </c>
      <c r="C22" s="2" t="s">
        <v>50</v>
      </c>
      <c r="D22" s="6">
        <v>4743</v>
      </c>
      <c r="E22" s="6">
        <v>4735</v>
      </c>
      <c r="F22" s="6">
        <v>3912</v>
      </c>
      <c r="G22" s="6" t="s">
        <v>27</v>
      </c>
      <c r="H22" s="7">
        <v>0.82479443390259333</v>
      </c>
      <c r="I22" s="7"/>
    </row>
    <row r="23" spans="1:9">
      <c r="A23" s="2">
        <v>2022</v>
      </c>
      <c r="B23" s="2" t="s">
        <v>31</v>
      </c>
      <c r="C23" s="2" t="s">
        <v>48</v>
      </c>
      <c r="D23" s="6">
        <v>721</v>
      </c>
      <c r="E23" s="6">
        <v>720</v>
      </c>
      <c r="F23" s="6">
        <v>659</v>
      </c>
      <c r="G23" s="6" t="s">
        <v>27</v>
      </c>
      <c r="H23" s="7">
        <v>0.9140083217753121</v>
      </c>
      <c r="I23" s="7"/>
    </row>
    <row r="24" spans="1:9">
      <c r="A24" s="2">
        <v>2022</v>
      </c>
      <c r="B24" s="2" t="s">
        <v>31</v>
      </c>
      <c r="C24" s="2" t="s">
        <v>49</v>
      </c>
      <c r="D24" s="6">
        <v>267</v>
      </c>
      <c r="E24" s="6">
        <v>267</v>
      </c>
      <c r="F24" s="6">
        <v>245</v>
      </c>
      <c r="G24" s="6" t="s">
        <v>27</v>
      </c>
      <c r="H24" s="7">
        <v>0.91760299625468167</v>
      </c>
      <c r="I24" s="7"/>
    </row>
    <row r="25" spans="1:9">
      <c r="A25" s="2">
        <v>2022</v>
      </c>
      <c r="B25" s="2" t="s">
        <v>31</v>
      </c>
      <c r="C25" s="2" t="s">
        <v>50</v>
      </c>
      <c r="D25" s="6">
        <v>134</v>
      </c>
      <c r="E25" s="6">
        <v>134</v>
      </c>
      <c r="F25" s="6">
        <v>110</v>
      </c>
      <c r="G25" s="6" t="s">
        <v>27</v>
      </c>
      <c r="H25" s="7">
        <v>0.82089552238805974</v>
      </c>
      <c r="I25" s="7"/>
    </row>
    <row r="26" spans="1:9">
      <c r="A26" s="2">
        <v>2022</v>
      </c>
      <c r="B26" s="2" t="s">
        <v>33</v>
      </c>
      <c r="C26" s="2" t="s">
        <v>48</v>
      </c>
      <c r="D26" s="6">
        <v>26711</v>
      </c>
      <c r="E26" s="6">
        <v>26652</v>
      </c>
      <c r="F26" s="6">
        <v>24624</v>
      </c>
      <c r="G26" s="6" t="s">
        <v>27</v>
      </c>
      <c r="H26" s="7">
        <v>0.92186739545505592</v>
      </c>
      <c r="I26" s="7"/>
    </row>
    <row r="27" spans="1:9">
      <c r="A27" s="2">
        <v>2022</v>
      </c>
      <c r="B27" s="2" t="s">
        <v>33</v>
      </c>
      <c r="C27" s="2" t="s">
        <v>49</v>
      </c>
      <c r="D27" s="6">
        <v>8212</v>
      </c>
      <c r="E27" s="6">
        <v>8191</v>
      </c>
      <c r="F27" s="6">
        <v>7451</v>
      </c>
      <c r="G27" s="6" t="s">
        <v>27</v>
      </c>
      <c r="H27" s="7">
        <v>0.90733073550901122</v>
      </c>
      <c r="I27" s="7"/>
    </row>
    <row r="28" spans="1:9">
      <c r="A28" s="2">
        <v>2022</v>
      </c>
      <c r="B28" s="2" t="s">
        <v>33</v>
      </c>
      <c r="C28" s="2" t="s">
        <v>50</v>
      </c>
      <c r="D28" s="6">
        <v>5089</v>
      </c>
      <c r="E28" s="6">
        <v>5079</v>
      </c>
      <c r="F28" s="6">
        <v>4451</v>
      </c>
      <c r="G28" s="6" t="s">
        <v>27</v>
      </c>
      <c r="H28" s="7">
        <v>0.87463155826292005</v>
      </c>
      <c r="I28" s="7"/>
    </row>
    <row r="29" spans="1:9" s="3" customFormat="1">
      <c r="A29" s="4">
        <v>2022</v>
      </c>
      <c r="B29" s="4" t="s">
        <v>35</v>
      </c>
      <c r="C29" s="4" t="s">
        <v>51</v>
      </c>
      <c r="D29" s="24">
        <v>87296</v>
      </c>
      <c r="E29" s="24">
        <v>87025</v>
      </c>
      <c r="F29" s="24">
        <v>78087</v>
      </c>
      <c r="G29" s="24" t="s">
        <v>27</v>
      </c>
      <c r="H29" s="25">
        <v>0.89450833944281527</v>
      </c>
      <c r="I29" s="25"/>
    </row>
    <row r="32" spans="1:9">
      <c r="A32" s="2">
        <v>2024</v>
      </c>
      <c r="B32" s="2" t="s">
        <v>38</v>
      </c>
      <c r="C32" s="2" t="s">
        <v>48</v>
      </c>
      <c r="D32" s="6">
        <v>4070</v>
      </c>
      <c r="E32" s="6">
        <v>4041</v>
      </c>
      <c r="F32" s="6">
        <v>3596</v>
      </c>
      <c r="G32" s="6">
        <v>3581</v>
      </c>
      <c r="H32" s="7">
        <v>0.8835380835380835</v>
      </c>
      <c r="I32" s="7">
        <v>0.87985257985257981</v>
      </c>
    </row>
    <row r="33" spans="1:10">
      <c r="A33" s="2">
        <v>2024</v>
      </c>
      <c r="B33" s="2" t="s">
        <v>38</v>
      </c>
      <c r="C33" s="2" t="s">
        <v>49</v>
      </c>
      <c r="D33" s="6">
        <v>3551</v>
      </c>
      <c r="E33" s="6">
        <v>3526</v>
      </c>
      <c r="F33" s="6">
        <v>2890</v>
      </c>
      <c r="G33" s="6">
        <v>2876</v>
      </c>
      <c r="H33" s="7">
        <v>0.81385525204167841</v>
      </c>
      <c r="I33" s="7">
        <v>0.80991270064770482</v>
      </c>
    </row>
    <row r="34" spans="1:10">
      <c r="A34" s="2">
        <v>2024</v>
      </c>
      <c r="B34" s="2" t="s">
        <v>38</v>
      </c>
      <c r="C34" s="2" t="s">
        <v>50</v>
      </c>
      <c r="D34" s="6">
        <v>1084</v>
      </c>
      <c r="E34" s="6">
        <v>1074</v>
      </c>
      <c r="F34" s="6">
        <v>863</v>
      </c>
      <c r="G34" s="6">
        <v>856</v>
      </c>
      <c r="H34" s="7">
        <v>0.79612546125461259</v>
      </c>
      <c r="I34" s="7">
        <v>0.78966789667896675</v>
      </c>
    </row>
    <row r="35" spans="1:10">
      <c r="A35" s="2">
        <v>2024</v>
      </c>
      <c r="B35" s="2" t="s">
        <v>25</v>
      </c>
      <c r="C35" s="2" t="s">
        <v>48</v>
      </c>
      <c r="D35" s="6">
        <v>35142</v>
      </c>
      <c r="E35" s="6">
        <v>34938</v>
      </c>
      <c r="F35" s="6">
        <v>31806</v>
      </c>
      <c r="G35" s="6">
        <v>31432</v>
      </c>
      <c r="H35" s="7">
        <v>0.90507085538671672</v>
      </c>
      <c r="I35" s="7">
        <v>0.89442831938990386</v>
      </c>
    </row>
    <row r="36" spans="1:10">
      <c r="A36" s="2">
        <v>2024</v>
      </c>
      <c r="B36" s="2" t="s">
        <v>25</v>
      </c>
      <c r="C36" s="2" t="s">
        <v>49</v>
      </c>
      <c r="D36" s="6">
        <v>20668</v>
      </c>
      <c r="E36" s="6">
        <v>20579</v>
      </c>
      <c r="F36" s="6">
        <v>18467</v>
      </c>
      <c r="G36" s="6">
        <v>18202</v>
      </c>
      <c r="H36" s="7">
        <v>0.8935068705244823</v>
      </c>
      <c r="I36" s="7">
        <v>0.88068511708922004</v>
      </c>
    </row>
    <row r="37" spans="1:10">
      <c r="A37" s="2">
        <v>2024</v>
      </c>
      <c r="B37" s="2" t="s">
        <v>25</v>
      </c>
      <c r="C37" s="2" t="s">
        <v>50</v>
      </c>
      <c r="D37" s="6">
        <v>9694</v>
      </c>
      <c r="E37" s="6">
        <v>9649</v>
      </c>
      <c r="F37" s="6">
        <v>8241</v>
      </c>
      <c r="G37" s="6">
        <v>8123</v>
      </c>
      <c r="H37" s="7">
        <v>0.85011347225087686</v>
      </c>
      <c r="I37" s="7">
        <v>0.83794099442954406</v>
      </c>
    </row>
    <row r="38" spans="1:10">
      <c r="A38" s="2">
        <v>2024</v>
      </c>
      <c r="B38" s="2" t="s">
        <v>31</v>
      </c>
      <c r="C38" s="2" t="s">
        <v>48</v>
      </c>
      <c r="D38" s="6">
        <v>1012</v>
      </c>
      <c r="E38" s="6">
        <v>1012</v>
      </c>
      <c r="F38" s="6">
        <v>941</v>
      </c>
      <c r="G38" s="6">
        <v>939</v>
      </c>
      <c r="H38" s="7">
        <v>0.92984189723320154</v>
      </c>
      <c r="I38" s="7">
        <v>0.92786561264822132</v>
      </c>
    </row>
    <row r="39" spans="1:10">
      <c r="A39" s="2">
        <v>2024</v>
      </c>
      <c r="B39" s="2" t="s">
        <v>31</v>
      </c>
      <c r="C39" s="2" t="s">
        <v>49</v>
      </c>
      <c r="D39" s="6">
        <v>898</v>
      </c>
      <c r="E39" s="6">
        <v>898</v>
      </c>
      <c r="F39" s="6">
        <v>814</v>
      </c>
      <c r="G39" s="6">
        <v>809</v>
      </c>
      <c r="H39" s="7">
        <v>0.90645879732739421</v>
      </c>
      <c r="I39" s="7">
        <v>0.90089086859688194</v>
      </c>
    </row>
    <row r="40" spans="1:10">
      <c r="A40" s="2">
        <v>2024</v>
      </c>
      <c r="B40" s="2" t="s">
        <v>31</v>
      </c>
      <c r="C40" s="2" t="s">
        <v>50</v>
      </c>
      <c r="D40" s="6">
        <v>326</v>
      </c>
      <c r="E40" s="6">
        <v>326</v>
      </c>
      <c r="F40" s="6">
        <v>288</v>
      </c>
      <c r="G40" s="6">
        <v>284</v>
      </c>
      <c r="H40" s="7">
        <v>0.8834355828220859</v>
      </c>
      <c r="I40" s="7">
        <v>0.87116564417177911</v>
      </c>
    </row>
    <row r="41" spans="1:10">
      <c r="A41" s="2">
        <v>2024</v>
      </c>
      <c r="B41" s="2" t="s">
        <v>33</v>
      </c>
      <c r="C41" s="2" t="s">
        <v>48</v>
      </c>
      <c r="D41" s="6">
        <v>34817</v>
      </c>
      <c r="E41" s="6">
        <v>34608</v>
      </c>
      <c r="F41" s="6">
        <v>32178</v>
      </c>
      <c r="G41" s="6">
        <v>31892</v>
      </c>
      <c r="H41" s="7">
        <v>0.92420369359795507</v>
      </c>
      <c r="I41" s="7">
        <v>0.91598931556423591</v>
      </c>
    </row>
    <row r="42" spans="1:10">
      <c r="A42" s="2">
        <v>2024</v>
      </c>
      <c r="B42" s="2" t="s">
        <v>33</v>
      </c>
      <c r="C42" s="2" t="s">
        <v>49</v>
      </c>
      <c r="D42" s="6">
        <v>21308</v>
      </c>
      <c r="E42" s="6">
        <v>21214</v>
      </c>
      <c r="F42" s="6">
        <v>19625</v>
      </c>
      <c r="G42" s="6">
        <v>19402</v>
      </c>
      <c r="H42" s="7">
        <v>0.92101558100244041</v>
      </c>
      <c r="I42" s="7">
        <v>0.91055002815843811</v>
      </c>
    </row>
    <row r="43" spans="1:10">
      <c r="A43" s="20">
        <v>2024</v>
      </c>
      <c r="B43" s="20" t="s">
        <v>33</v>
      </c>
      <c r="C43" s="20" t="s">
        <v>50</v>
      </c>
      <c r="D43" s="21">
        <v>10314</v>
      </c>
      <c r="E43" s="21">
        <v>10276</v>
      </c>
      <c r="F43" s="21">
        <v>9219</v>
      </c>
      <c r="G43" s="21">
        <v>9098</v>
      </c>
      <c r="H43" s="22">
        <v>0.89400000000000002</v>
      </c>
      <c r="I43" s="22">
        <v>0.88200000000000001</v>
      </c>
      <c r="J43" s="23"/>
    </row>
    <row r="44" spans="1:10" s="3" customFormat="1">
      <c r="A44" s="4">
        <v>2024</v>
      </c>
      <c r="B44" s="4" t="s">
        <v>35</v>
      </c>
      <c r="C44" s="4" t="s">
        <v>51</v>
      </c>
      <c r="D44" s="18">
        <v>142884</v>
      </c>
      <c r="E44" s="18">
        <v>142141</v>
      </c>
      <c r="F44" s="18">
        <v>128928</v>
      </c>
      <c r="G44" s="18">
        <v>127494</v>
      </c>
      <c r="H44" s="19">
        <v>0.90200000000000002</v>
      </c>
      <c r="I44" s="19">
        <v>0.89200000000000002</v>
      </c>
    </row>
    <row r="45" spans="1:10">
      <c r="D45" s="23"/>
      <c r="E45" s="23"/>
      <c r="F45" s="23"/>
      <c r="G45" s="23"/>
      <c r="H45" s="23"/>
      <c r="I45" s="23"/>
    </row>
    <row r="46" spans="1:10">
      <c r="B46" s="3"/>
      <c r="D46" s="23"/>
      <c r="E46" s="23"/>
      <c r="F46" s="23"/>
      <c r="G46" s="23"/>
      <c r="H46" s="23"/>
      <c r="I46" s="23"/>
    </row>
  </sheetData>
  <mergeCells count="2">
    <mergeCell ref="A1:I1"/>
    <mergeCell ref="A2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"/>
  <sheetViews>
    <sheetView zoomScale="88" workbookViewId="0">
      <selection activeCell="G10" sqref="G10"/>
    </sheetView>
  </sheetViews>
  <sheetFormatPr defaultRowHeight="13.8"/>
  <cols>
    <col min="1" max="1" width="8" customWidth="1"/>
    <col min="2" max="2" width="25" customWidth="1"/>
    <col min="3" max="4" width="20" customWidth="1"/>
    <col min="5" max="6" width="18" customWidth="1"/>
    <col min="7" max="7" width="34" customWidth="1"/>
  </cols>
  <sheetData>
    <row r="1" spans="1:25" ht="19.2">
      <c r="A1" s="14" t="s">
        <v>52</v>
      </c>
      <c r="B1" s="14"/>
      <c r="C1" s="14"/>
      <c r="D1" s="14"/>
      <c r="E1" s="14"/>
      <c r="F1" s="14"/>
      <c r="G1" s="14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>
      <c r="A2" s="15" t="s">
        <v>53</v>
      </c>
      <c r="B2" s="15"/>
      <c r="C2" s="15"/>
      <c r="D2" s="15"/>
      <c r="E2" s="15"/>
      <c r="F2" s="15"/>
      <c r="G2" s="15"/>
    </row>
    <row r="4" spans="1:25" ht="27.6">
      <c r="A4" s="1" t="s">
        <v>1</v>
      </c>
      <c r="B4" s="1" t="s">
        <v>11</v>
      </c>
      <c r="C4" s="1" t="s">
        <v>54</v>
      </c>
      <c r="D4" s="1" t="s">
        <v>55</v>
      </c>
      <c r="E4" s="1" t="s">
        <v>56</v>
      </c>
      <c r="F4" s="1" t="s">
        <v>24</v>
      </c>
      <c r="G4" s="1" t="s">
        <v>57</v>
      </c>
    </row>
    <row r="5" spans="1:25">
      <c r="A5" s="2">
        <v>2020</v>
      </c>
      <c r="B5" s="2" t="s">
        <v>25</v>
      </c>
      <c r="C5" s="6">
        <v>56508</v>
      </c>
      <c r="D5" s="6" t="s">
        <v>29</v>
      </c>
      <c r="E5" s="6">
        <v>19111</v>
      </c>
      <c r="F5" s="6">
        <v>75619</v>
      </c>
      <c r="G5" s="2" t="s">
        <v>30</v>
      </c>
    </row>
    <row r="6" spans="1:25">
      <c r="A6" s="2">
        <v>2020</v>
      </c>
      <c r="B6" s="2" t="s">
        <v>31</v>
      </c>
      <c r="C6" s="6">
        <v>8454</v>
      </c>
      <c r="D6" s="6" t="s">
        <v>29</v>
      </c>
      <c r="E6" s="6">
        <v>2715</v>
      </c>
      <c r="F6" s="6">
        <v>11169</v>
      </c>
      <c r="G6" s="2" t="s">
        <v>32</v>
      </c>
    </row>
    <row r="7" spans="1:25">
      <c r="A7" s="2">
        <v>2020</v>
      </c>
      <c r="B7" s="2" t="s">
        <v>33</v>
      </c>
      <c r="C7" s="6">
        <v>52247</v>
      </c>
      <c r="D7" s="6" t="s">
        <v>29</v>
      </c>
      <c r="E7" s="6">
        <v>20269</v>
      </c>
      <c r="F7" s="6">
        <v>72516</v>
      </c>
      <c r="G7" s="2" t="s">
        <v>34</v>
      </c>
    </row>
    <row r="8" spans="1:25" ht="27.6">
      <c r="A8" s="12">
        <v>2020</v>
      </c>
      <c r="B8" s="12" t="s">
        <v>35</v>
      </c>
      <c r="C8" s="13" t="s">
        <v>89</v>
      </c>
      <c r="D8" s="13" t="s">
        <v>29</v>
      </c>
      <c r="E8" s="13" t="s">
        <v>89</v>
      </c>
      <c r="F8" s="13"/>
      <c r="G8" s="12" t="s">
        <v>37</v>
      </c>
    </row>
    <row r="9" spans="1:25" s="17" customFormat="1"/>
    <row r="10" spans="1:25" s="17" customFormat="1"/>
    <row r="11" spans="1:25">
      <c r="A11" s="2">
        <v>2022</v>
      </c>
      <c r="B11" s="2" t="s">
        <v>38</v>
      </c>
      <c r="C11" s="6">
        <v>3296</v>
      </c>
      <c r="D11" s="6" t="s">
        <v>29</v>
      </c>
      <c r="E11" s="6">
        <v>1449</v>
      </c>
      <c r="F11" s="6">
        <v>4745</v>
      </c>
      <c r="G11" s="2" t="s">
        <v>39</v>
      </c>
    </row>
    <row r="12" spans="1:25">
      <c r="A12" s="2">
        <v>2022</v>
      </c>
      <c r="B12" s="2" t="s">
        <v>25</v>
      </c>
      <c r="C12" s="6">
        <v>28362</v>
      </c>
      <c r="D12" s="6" t="s">
        <v>29</v>
      </c>
      <c r="E12" s="6">
        <v>6995</v>
      </c>
      <c r="F12" s="6">
        <v>35357</v>
      </c>
      <c r="G12" s="2" t="s">
        <v>40</v>
      </c>
    </row>
    <row r="13" spans="1:25">
      <c r="A13" s="2">
        <v>2022</v>
      </c>
      <c r="B13" s="2" t="s">
        <v>31</v>
      </c>
      <c r="C13" s="6">
        <v>726</v>
      </c>
      <c r="D13" s="6" t="s">
        <v>29</v>
      </c>
      <c r="E13" s="6">
        <v>256</v>
      </c>
      <c r="F13" s="6">
        <v>982</v>
      </c>
      <c r="G13" s="2" t="s">
        <v>41</v>
      </c>
    </row>
    <row r="14" spans="1:25">
      <c r="A14" s="2">
        <v>2022</v>
      </c>
      <c r="B14" s="2" t="s">
        <v>33</v>
      </c>
      <c r="C14" s="6">
        <v>28352</v>
      </c>
      <c r="D14" s="6" t="s">
        <v>29</v>
      </c>
      <c r="E14" s="6">
        <v>7682</v>
      </c>
      <c r="F14" s="6">
        <v>36034</v>
      </c>
      <c r="G14" s="2" t="s">
        <v>34</v>
      </c>
    </row>
    <row r="15" spans="1:25" ht="27.6">
      <c r="A15" s="2">
        <v>2022</v>
      </c>
      <c r="B15" s="2" t="s">
        <v>35</v>
      </c>
      <c r="C15" s="6">
        <v>60736</v>
      </c>
      <c r="D15" s="6" t="s">
        <v>29</v>
      </c>
      <c r="E15" s="6">
        <v>16382</v>
      </c>
      <c r="F15" s="6">
        <v>77118</v>
      </c>
      <c r="G15" s="2" t="s">
        <v>42</v>
      </c>
    </row>
    <row r="17" spans="1:7" s="17" customFormat="1"/>
    <row r="18" spans="1:7">
      <c r="A18" s="2">
        <v>2024</v>
      </c>
      <c r="B18" s="2" t="s">
        <v>38</v>
      </c>
      <c r="C18" s="6">
        <v>4022</v>
      </c>
      <c r="D18" s="6" t="s">
        <v>44</v>
      </c>
      <c r="E18" s="6">
        <v>3130</v>
      </c>
      <c r="F18" s="6">
        <v>7152</v>
      </c>
      <c r="G18" s="2" t="s">
        <v>39</v>
      </c>
    </row>
    <row r="19" spans="1:7">
      <c r="A19" s="2">
        <v>2024</v>
      </c>
      <c r="B19" s="2" t="s">
        <v>25</v>
      </c>
      <c r="C19" s="6">
        <v>37662</v>
      </c>
      <c r="D19" s="6" t="s">
        <v>44</v>
      </c>
      <c r="E19" s="6">
        <v>19173</v>
      </c>
      <c r="F19" s="6">
        <v>56835</v>
      </c>
      <c r="G19" s="2" t="s">
        <v>40</v>
      </c>
    </row>
    <row r="20" spans="1:7">
      <c r="A20" s="2">
        <v>2024</v>
      </c>
      <c r="B20" s="2" t="s">
        <v>31</v>
      </c>
      <c r="C20" s="6">
        <v>1087</v>
      </c>
      <c r="D20" s="6" t="s">
        <v>44</v>
      </c>
      <c r="E20" s="6">
        <v>908</v>
      </c>
      <c r="F20" s="6">
        <v>1995</v>
      </c>
      <c r="G20" s="2" t="s">
        <v>41</v>
      </c>
    </row>
    <row r="21" spans="1:7">
      <c r="A21" s="2">
        <v>2024</v>
      </c>
      <c r="B21" s="2" t="s">
        <v>33</v>
      </c>
      <c r="C21" s="6">
        <v>38138</v>
      </c>
      <c r="D21" s="6" t="s">
        <v>44</v>
      </c>
      <c r="E21" s="6">
        <v>21349</v>
      </c>
      <c r="F21" s="6">
        <v>59487</v>
      </c>
      <c r="G21" s="2" t="s">
        <v>34</v>
      </c>
    </row>
    <row r="22" spans="1:7" ht="27.6">
      <c r="A22" s="2">
        <v>2024</v>
      </c>
      <c r="B22" s="2" t="s">
        <v>35</v>
      </c>
      <c r="C22" s="6">
        <v>80909</v>
      </c>
      <c r="D22" s="6" t="s">
        <v>44</v>
      </c>
      <c r="E22" s="6">
        <v>44560</v>
      </c>
      <c r="F22" s="6">
        <v>125469</v>
      </c>
      <c r="G22" s="2" t="s">
        <v>42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activeCell="B18" sqref="B18"/>
    </sheetView>
  </sheetViews>
  <sheetFormatPr defaultRowHeight="13.8"/>
  <cols>
    <col min="1" max="3" width="28" customWidth="1"/>
    <col min="4" max="4" width="38" customWidth="1"/>
  </cols>
  <sheetData>
    <row r="1" spans="1:26" ht="19.2">
      <c r="A1" s="14" t="s">
        <v>88</v>
      </c>
      <c r="B1" s="14"/>
      <c r="C1" s="14"/>
      <c r="D1" s="14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spans="1:26">
      <c r="A3" s="1" t="s">
        <v>58</v>
      </c>
      <c r="B3" s="1" t="s">
        <v>59</v>
      </c>
      <c r="C3" s="1" t="s">
        <v>60</v>
      </c>
      <c r="D3" s="1" t="s">
        <v>61</v>
      </c>
    </row>
    <row r="4" spans="1:26" ht="27.6">
      <c r="A4" s="2" t="s">
        <v>62</v>
      </c>
      <c r="B4" s="2" t="s">
        <v>63</v>
      </c>
      <c r="C4" s="2" t="s">
        <v>63</v>
      </c>
      <c r="D4" s="2" t="s">
        <v>64</v>
      </c>
    </row>
    <row r="5" spans="1:26" ht="27.6">
      <c r="A5" s="2" t="s">
        <v>65</v>
      </c>
      <c r="B5" s="2" t="s">
        <v>63</v>
      </c>
      <c r="C5" s="2" t="s">
        <v>63</v>
      </c>
      <c r="D5" s="2" t="s">
        <v>66</v>
      </c>
    </row>
    <row r="6" spans="1:26" ht="27.6">
      <c r="A6" s="2" t="s">
        <v>67</v>
      </c>
      <c r="B6" s="2" t="s">
        <v>63</v>
      </c>
      <c r="C6" s="2" t="s">
        <v>63</v>
      </c>
      <c r="D6" s="2" t="s">
        <v>64</v>
      </c>
    </row>
    <row r="7" spans="1:26" ht="27.6">
      <c r="A7" s="2" t="s">
        <v>68</v>
      </c>
      <c r="B7" s="2" t="s">
        <v>69</v>
      </c>
      <c r="C7" s="2" t="s">
        <v>63</v>
      </c>
      <c r="D7" s="2" t="s">
        <v>70</v>
      </c>
    </row>
    <row r="8" spans="1:26" ht="27.6">
      <c r="A8" s="2" t="s">
        <v>71</v>
      </c>
      <c r="B8" s="2" t="s">
        <v>69</v>
      </c>
      <c r="C8" s="2" t="s">
        <v>63</v>
      </c>
      <c r="D8" s="2" t="s">
        <v>72</v>
      </c>
    </row>
    <row r="9" spans="1:26" ht="27.6">
      <c r="A9" s="2" t="s">
        <v>73</v>
      </c>
      <c r="B9" s="2" t="s">
        <v>74</v>
      </c>
      <c r="C9" s="2" t="s">
        <v>63</v>
      </c>
      <c r="D9" s="2" t="s">
        <v>75</v>
      </c>
    </row>
    <row r="10" spans="1:26" ht="27.6">
      <c r="A10" s="2" t="s">
        <v>76</v>
      </c>
      <c r="B10" s="2" t="s">
        <v>63</v>
      </c>
      <c r="C10" s="2" t="s">
        <v>69</v>
      </c>
      <c r="D10" s="2" t="s">
        <v>77</v>
      </c>
    </row>
    <row r="11" spans="1:26">
      <c r="A11" s="2" t="s">
        <v>78</v>
      </c>
      <c r="B11" s="2" t="s">
        <v>79</v>
      </c>
      <c r="C11" s="2" t="s">
        <v>80</v>
      </c>
      <c r="D11" s="2" t="s">
        <v>81</v>
      </c>
    </row>
    <row r="12" spans="1:26" ht="27.6">
      <c r="A12" s="2" t="s">
        <v>82</v>
      </c>
      <c r="B12" s="2" t="s">
        <v>83</v>
      </c>
      <c r="C12" s="2" t="s">
        <v>36</v>
      </c>
      <c r="D12" s="2" t="s">
        <v>84</v>
      </c>
    </row>
    <row r="14" spans="1:26">
      <c r="A14" s="16" t="s">
        <v>85</v>
      </c>
      <c r="B14" s="16"/>
      <c r="C14" s="16"/>
      <c r="D14" s="16"/>
    </row>
    <row r="15" spans="1:26">
      <c r="A15" s="3" t="s">
        <v>86</v>
      </c>
      <c r="B15">
        <v>11</v>
      </c>
    </row>
    <row r="16" spans="1:26">
      <c r="A16" s="3" t="s">
        <v>87</v>
      </c>
      <c r="B16" t="s">
        <v>63</v>
      </c>
    </row>
  </sheetData>
  <mergeCells count="2">
    <mergeCell ref="A1:D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Master County Summary</vt:lpstr>
      <vt:lpstr>Party Mail Ballots</vt:lpstr>
      <vt:lpstr>Candidate Mail Votes</vt:lpstr>
      <vt:lpstr>Notes for myself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Kibet</cp:lastModifiedBy>
  <dcterms:modified xsi:type="dcterms:W3CDTF">2026-09-22T18:21:30Z</dcterms:modified>
</cp:coreProperties>
</file>