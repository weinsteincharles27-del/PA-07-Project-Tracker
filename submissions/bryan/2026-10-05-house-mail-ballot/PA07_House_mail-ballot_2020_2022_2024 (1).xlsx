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Voting County Summary" sheetId="2" r:id="rId5"/>
    <sheet state="visible" name="Party Mail Ballots" sheetId="3" r:id="rId6"/>
    <sheet state="visible" name="Candidate Mail Votes" sheetId="4" r:id="rId7"/>
    <sheet state="visible" name="Notes for myself" sheetId="5" r:id="rId8"/>
  </sheets>
  <definedNames/>
  <calcPr/>
  <extLst>
    <ext uri="GoogleSheetsCustomDataVersion2">
      <go:sheetsCustomData xmlns:go="http://customooxmlschemas.google.com/" r:id="rId9" roundtripDataChecksum="3cf3auUNitEYxcpRsPR4giqUag3gGk1ITgobmd5P8S8="/>
    </ext>
  </extLst>
</workbook>
</file>

<file path=xl/sharedStrings.xml><?xml version="1.0" encoding="utf-8"?>
<sst xmlns="http://schemas.openxmlformats.org/spreadsheetml/2006/main" count="348" uniqueCount="93">
  <si>
    <t>PA-07 Mail Ballots by Registered Party</t>
  </si>
  <si>
    <t>PA-07 U.S. House — Voting County Summary</t>
  </si>
  <si>
    <t>PA-07 U.S. House Mail-Ballot Data — Combined Workbook</t>
  </si>
  <si>
    <t>All-method House vote totals are separate from candidate mail votes. Returned and recorded mail-ballot ratios are shown separately where available.</t>
  </si>
  <si>
    <t>Registered party describes the voter registration in the request file. It does not identify which U.S. House candidate the voter selected.</t>
  </si>
  <si>
    <t>Year</t>
  </si>
  <si>
    <t>County / PA-07 Portion</t>
  </si>
  <si>
    <t>Mail Requests</t>
  </si>
  <si>
    <t>Mail Returned</t>
  </si>
  <si>
    <t>Registered Party</t>
  </si>
  <si>
    <t>Mail Recorded</t>
  </si>
  <si>
    <t>Dem. House Votes</t>
  </si>
  <si>
    <t>Rep. House Votes</t>
  </si>
  <si>
    <t>Request Definition</t>
  </si>
  <si>
    <t>Dem. Candidate Mail Votes</t>
  </si>
  <si>
    <t>Rep. Candidate Mail Votes</t>
  </si>
  <si>
    <t>Ballots Issued</t>
  </si>
  <si>
    <t>Returned / Requests</t>
  </si>
  <si>
    <t>Recorded / Requests</t>
  </si>
  <si>
    <t>Dem. Candidate</t>
  </si>
  <si>
    <t>Dem. Votes — All Methods</t>
  </si>
  <si>
    <t>Rep. Candidate</t>
  </si>
  <si>
    <t>Carbon (2020 PA-09)</t>
  </si>
  <si>
    <t>Rep. Votes — All Methods</t>
  </si>
  <si>
    <t>Democratic</t>
  </si>
  <si>
    <t>Two-Party House Total</t>
  </si>
  <si>
    <t>Dem. Two-Party Share</t>
  </si>
  <si>
    <t>Returned / House Total</t>
  </si>
  <si>
    <t>Recorded / House Total</t>
  </si>
  <si>
    <t>n.a.</t>
  </si>
  <si>
    <t>Two-Candidate Mail Total</t>
  </si>
  <si>
    <t>Republican</t>
  </si>
  <si>
    <t>All request records</t>
  </si>
  <si>
    <t>PA-07 U.S. House — Candidate Mail Votes</t>
  </si>
  <si>
    <t>Other / No affiliation</t>
  </si>
  <si>
    <t>Gary Wegman</t>
  </si>
  <si>
    <t>These are U.S. House candidate votes reported in county mail categories. They are not ballot requests, return counts, or party-registration counts.</t>
  </si>
  <si>
    <t>Dan Meuser</t>
  </si>
  <si>
    <t>Lehigh</t>
  </si>
  <si>
    <t>Democratic candidate</t>
  </si>
  <si>
    <t>Democratic Mail Votes</t>
  </si>
  <si>
    <t>Republican Candidate</t>
  </si>
  <si>
    <t>Republican Mail Votes</t>
  </si>
  <si>
    <t>Status / Scope</t>
  </si>
  <si>
    <t>Susan Wild</t>
  </si>
  <si>
    <t>Monroe — PA-07 portion</t>
  </si>
  <si>
    <t>Lisa Scheller</t>
  </si>
  <si>
    <t>PA official returns: Mail</t>
  </si>
  <si>
    <t>Northampton</t>
  </si>
  <si>
    <t>PA-07 TOTAL</t>
  </si>
  <si>
    <t>Susan Wild/Gary Wegman</t>
  </si>
  <si>
    <t>PA official returns: Mail total</t>
  </si>
  <si>
    <t>Carbon</t>
  </si>
  <si>
    <t>County report: Mail-In</t>
  </si>
  <si>
    <t>Official CSV: Mail Ballots Votes</t>
  </si>
  <si>
    <t>Mail-In/Absentee; PA-07 portion only</t>
  </si>
  <si>
    <t>Official report: Mail Votes</t>
  </si>
  <si>
    <t>Two named candidates; excludes write-ins</t>
  </si>
  <si>
    <t>Ryan Mackenzie</t>
  </si>
  <si>
    <t>All parties</t>
  </si>
  <si>
    <r>
      <rPr>
        <rFont val="Carlito"/>
        <b val="0"/>
        <color rgb="FFFFFFFF"/>
        <sz val="15.0"/>
      </rPr>
      <t xml:space="preserve">The </t>
    </r>
    <r>
      <rPr>
        <rFont val="Carlito"/>
        <b/>
        <color rgb="FFFFFFFF"/>
        <sz val="15.0"/>
      </rPr>
      <t>Two Workbooks</t>
    </r>
  </si>
  <si>
    <t>Area</t>
  </si>
  <si>
    <t>Workbook 1</t>
  </si>
  <si>
    <t>Workbook 2</t>
  </si>
  <si>
    <t>Combined Treatment</t>
  </si>
  <si>
    <t>County request / issued / returned data</t>
  </si>
  <si>
    <t>Yes</t>
  </si>
  <si>
    <t>Kept once in Master County Summary.</t>
  </si>
  <si>
    <t>2024 recorded-ballot counts</t>
  </si>
  <si>
    <t>Kept once; separate Recorded / Requests and Recorded / House ratios.</t>
  </si>
  <si>
    <t>All-method U.S. House candidate totals</t>
  </si>
  <si>
    <t>Party-level mail request / return breakdown</t>
  </si>
  <si>
    <t>No</t>
  </si>
  <si>
    <t>Preserved in Party Mail Ballots.</t>
  </si>
  <si>
    <t>Actual U.S. House candidate mail votes</t>
  </si>
  <si>
    <t>Preserved in Candidate Mail Votes and linked into Master County Summary.</t>
  </si>
  <si>
    <t>Source codes and county report links</t>
  </si>
  <si>
    <t>Limited</t>
  </si>
  <si>
    <t>Preserved in Sources &amp; Notes.</t>
  </si>
  <si>
    <t>Year-by-year simplified presentation</t>
  </si>
  <si>
    <t>Replaced by one filterable Master County Summary plus yearly totals on Read Me.</t>
  </si>
  <si>
    <t>2024 mail-share definition</t>
  </si>
  <si>
    <t>Returned ÷ House total</t>
  </si>
  <si>
    <t>Recorded ÷ House total</t>
  </si>
  <si>
    <t>Both are retained as separate columns.</t>
  </si>
  <si>
    <t>2020 district candidate mail total</t>
  </si>
  <si>
    <t>Not included</t>
  </si>
  <si>
    <t>Not finalized</t>
  </si>
  <si>
    <t>Preserved as not finalized; county figures remain visible.</t>
  </si>
  <si>
    <t>Automated overlap check</t>
  </si>
  <si>
    <t>Shared county rows checked</t>
  </si>
  <si>
    <t>Requests/issued/returned/recorded + all-method House totals matched</t>
  </si>
  <si>
    <t>Approved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</si>
</sst>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1.0"/>
      <color rgb="FF000000"/>
      <name val="Carlito"/>
      <scheme val="minor"/>
    </font>
    <font>
      <b/>
      <sz val="15.0"/>
      <color rgb="FFFFFFFF"/>
      <name val="Carlito"/>
    </font>
    <font/>
    <font>
      <sz val="11.0"/>
      <color theme="1"/>
      <name val="Carlito"/>
    </font>
    <font>
      <sz val="11.0"/>
      <color rgb="FF404040"/>
      <name val="Carlito"/>
    </font>
    <font>
      <color theme="1"/>
      <name val="Carlito"/>
    </font>
    <font>
      <b/>
      <sz val="11.0"/>
      <color rgb="FF1F1F1F"/>
      <name val="Carlito"/>
    </font>
    <font>
      <color theme="1"/>
      <name val="Carlito"/>
      <scheme val="minor"/>
    </font>
    <font>
      <sz val="11.0"/>
      <color rgb="FF000000"/>
      <name val="Carlito"/>
    </font>
    <font>
      <sz val="11.0"/>
      <color rgb="FF434343"/>
      <name val="Carlito"/>
    </font>
    <font>
      <b/>
      <sz val="11.0"/>
      <color theme="1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7F7F7"/>
        <bgColor rgb="FFF7F7F7"/>
      </patternFill>
    </fill>
    <fill>
      <patternFill patternType="solid">
        <fgColor rgb="FFD9EAF7"/>
        <bgColor rgb="FFD9EAF7"/>
      </patternFill>
    </fill>
    <fill>
      <patternFill patternType="solid">
        <fgColor theme="0"/>
        <bgColor theme="0"/>
      </patternFill>
    </fill>
    <fill>
      <patternFill patternType="solid">
        <fgColor rgb="FFC0E6F5"/>
        <bgColor rgb="FFC0E6F5"/>
      </patternFill>
    </fill>
    <fill>
      <patternFill patternType="solid">
        <fgColor rgb="FFE2F0D9"/>
        <bgColor rgb="FFE2F0D9"/>
      </patternFill>
    </fill>
    <fill>
      <patternFill patternType="solid">
        <fgColor rgb="FFEAF2F8"/>
        <bgColor rgb="FFEAF2F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7F8C8D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shrinkToFit="0" wrapText="1"/>
    </xf>
    <xf borderId="0" fillId="0" fontId="5" numFmtId="0" xfId="0" applyFont="1"/>
    <xf borderId="4" fillId="4" fontId="6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0" fillId="0" fontId="3" numFmtId="3" xfId="0" applyFont="1" applyNumberForma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3" xfId="0" applyAlignment="1" applyFont="1" applyNumberFormat="1">
      <alignment readingOrder="0" shrinkToFit="0" vertical="center" wrapText="0"/>
    </xf>
    <xf borderId="0" fillId="0" fontId="3" numFmtId="3" xfId="0" applyAlignment="1" applyFont="1" applyNumberFormat="1">
      <alignment shrinkToFit="0" vertical="center" wrapText="1"/>
    </xf>
    <xf borderId="0" fillId="0" fontId="3" numFmtId="10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4" fillId="4" fontId="6" numFmtId="49" xfId="0" applyAlignment="1" applyBorder="1" applyFill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3" xfId="0" applyAlignment="1" applyFont="1" applyNumberFormat="1">
      <alignment shrinkToFit="0" vertical="center" wrapText="0"/>
    </xf>
    <xf borderId="0" fillId="0" fontId="3" numFmtId="0" xfId="0" applyFont="1"/>
    <xf borderId="0" fillId="0" fontId="9" numFmtId="0" xfId="0" applyAlignment="1" applyFont="1">
      <alignment readingOrder="0" shrinkToFit="0" vertical="center" wrapText="0"/>
    </xf>
    <xf borderId="0" fillId="5" fontId="3" numFmtId="0" xfId="0" applyAlignment="1" applyFill="1" applyFont="1">
      <alignment shrinkToFit="0" vertical="center" wrapText="1"/>
    </xf>
    <xf borderId="0" fillId="5" fontId="9" numFmtId="0" xfId="0" applyAlignment="1" applyFill="1" applyFont="1">
      <alignment readingOrder="0" shrinkToFit="0" vertical="center" wrapText="1"/>
    </xf>
    <xf borderId="0" fillId="5" fontId="3" numFmtId="3" xfId="0" applyAlignment="1" applyFill="1" applyFont="1" applyNumberFormat="1">
      <alignment shrinkToFit="0" vertical="center" wrapText="1"/>
    </xf>
    <xf borderId="5" fillId="5" fontId="8" numFmtId="3" xfId="0" applyAlignment="1" applyBorder="1" applyFill="1" applyFont="1" applyNumberFormat="1">
      <alignment horizontal="right" readingOrder="0" shrinkToFit="0" vertical="bottom" wrapText="0"/>
    </xf>
    <xf borderId="6" fillId="5" fontId="8" numFmtId="0" xfId="0" applyAlignment="1" applyBorder="1" applyFill="1" applyFont="1">
      <alignment readingOrder="0" shrinkToFit="0" vertical="bottom" wrapText="0"/>
    </xf>
    <xf borderId="0" fillId="5" fontId="7" numFmtId="0" xfId="0" applyFill="1" applyFont="1"/>
    <xf borderId="0" fillId="0" fontId="9" numFmtId="0" xfId="0" applyAlignment="1" applyFont="1">
      <alignment readingOrder="0" shrinkToFit="0" vertical="center" wrapText="1"/>
    </xf>
    <xf borderId="5" fillId="0" fontId="8" numFmtId="3" xfId="0" applyAlignment="1" applyBorder="1" applyFont="1" applyNumberFormat="1">
      <alignment horizontal="right" readingOrder="0" shrinkToFit="0" vertical="bottom" wrapText="0"/>
    </xf>
    <xf borderId="6" fillId="0" fontId="8" numFmtId="0" xfId="0" applyAlignment="1" applyBorder="1" applyFont="1">
      <alignment readingOrder="0" shrinkToFit="0" vertical="bottom" wrapText="0"/>
    </xf>
    <xf borderId="7" fillId="6" fontId="3" numFmtId="0" xfId="0" applyAlignment="1" applyBorder="1" applyFill="1" applyFont="1">
      <alignment shrinkToFit="0" vertical="center" wrapText="1"/>
    </xf>
    <xf borderId="0" fillId="6" fontId="9" numFmtId="0" xfId="0" applyAlignment="1" applyFill="1" applyFont="1">
      <alignment readingOrder="0" shrinkToFit="0" vertical="center" wrapText="1"/>
    </xf>
    <xf borderId="5" fillId="6" fontId="8" numFmtId="3" xfId="0" applyAlignment="1" applyBorder="1" applyFill="1" applyFont="1" applyNumberFormat="1">
      <alignment horizontal="right" readingOrder="0" shrinkToFit="0" vertical="bottom" wrapText="0"/>
    </xf>
    <xf borderId="7" fillId="6" fontId="3" numFmtId="3" xfId="0" applyAlignment="1" applyBorder="1" applyFill="1" applyFont="1" applyNumberFormat="1">
      <alignment shrinkToFit="0" vertical="center" wrapText="1"/>
    </xf>
    <xf borderId="6" fillId="6" fontId="8" numFmtId="0" xfId="0" applyAlignment="1" applyBorder="1" applyFill="1" applyFont="1">
      <alignment readingOrder="0" shrinkToFit="0" vertical="bottom" wrapText="0"/>
    </xf>
    <xf borderId="0" fillId="6" fontId="7" numFmtId="0" xfId="0" applyFill="1" applyFont="1"/>
    <xf borderId="7" fillId="7" fontId="10" numFmtId="0" xfId="0" applyAlignment="1" applyBorder="1" applyFill="1" applyFont="1">
      <alignment shrinkToFit="0" vertical="center" wrapText="1"/>
    </xf>
    <xf borderId="7" fillId="5" fontId="3" numFmtId="0" xfId="0" applyAlignment="1" applyBorder="1" applyFill="1" applyFont="1">
      <alignment shrinkToFit="0" vertical="center" wrapText="0"/>
    </xf>
    <xf borderId="7" fillId="7" fontId="10" numFmtId="3" xfId="0" applyAlignment="1" applyBorder="1" applyFill="1" applyFont="1" applyNumberFormat="1">
      <alignment readingOrder="0" shrinkToFit="0" vertical="center" wrapText="1"/>
    </xf>
    <xf borderId="7" fillId="5" fontId="9" numFmtId="0" xfId="0" applyAlignment="1" applyBorder="1" applyFill="1" applyFont="1">
      <alignment shrinkToFit="0" vertical="center" wrapText="0"/>
    </xf>
    <xf borderId="7" fillId="7" fontId="10" numFmtId="3" xfId="0" applyAlignment="1" applyBorder="1" applyFill="1" applyFont="1" applyNumberFormat="1">
      <alignment shrinkToFit="0" vertical="center" wrapText="1"/>
    </xf>
    <xf borderId="7" fillId="7" fontId="10" numFmtId="164" xfId="0" applyAlignment="1" applyBorder="1" applyFill="1" applyFont="1" applyNumberFormat="1">
      <alignment shrinkToFit="0" vertical="center" wrapText="1"/>
    </xf>
    <xf borderId="7" fillId="5" fontId="3" numFmtId="0" xfId="0" applyBorder="1" applyFill="1" applyFont="1"/>
    <xf borderId="0" fillId="0" fontId="10" numFmtId="0" xfId="0" applyAlignment="1" applyFont="1">
      <alignment shrinkToFit="0" vertical="center" wrapText="1"/>
    </xf>
    <xf borderId="0" fillId="0" fontId="10" numFmtId="3" xfId="0" applyAlignment="1" applyFont="1" applyNumberFormat="1">
      <alignment readingOrder="0" shrinkToFit="0" vertical="center" wrapText="1"/>
    </xf>
    <xf borderId="0" fillId="0" fontId="10" numFmtId="3" xfId="0" applyAlignment="1" applyFont="1" applyNumberFormat="1">
      <alignment shrinkToFit="0" vertical="center" wrapText="1"/>
    </xf>
    <xf borderId="0" fillId="0" fontId="10" numFmtId="164" xfId="0" applyAlignment="1" applyFont="1" applyNumberFormat="1">
      <alignment readingOrder="0" shrinkToFit="0" vertical="center" wrapText="1"/>
    </xf>
    <xf borderId="0" fillId="0" fontId="10" numFmtId="164" xfId="0" applyAlignment="1" applyFont="1" applyNumberFormat="1">
      <alignment shrinkToFit="0" vertical="center" wrapText="1"/>
    </xf>
    <xf borderId="0" fillId="0" fontId="10" numFmtId="0" xfId="0" applyFont="1"/>
    <xf borderId="0" fillId="0" fontId="3" numFmtId="0" xfId="0" applyAlignment="1" applyFont="1">
      <alignment shrinkToFit="0" wrapText="1"/>
    </xf>
    <xf borderId="1" fillId="8" fontId="6" numFmtId="0" xfId="0" applyBorder="1" applyFill="1" applyFont="1"/>
    <xf borderId="0" fillId="0" fontId="3" numFmtId="3" xfId="0" applyAlignment="1" applyFont="1" applyNumberFormat="1">
      <alignment horizontal="right" shrinkToFit="0" vertical="center" wrapText="1"/>
    </xf>
    <xf borderId="0" fillId="0" fontId="3" numFmtId="10" xfId="0" applyAlignment="1" applyFont="1" applyNumberFormat="1">
      <alignment horizontal="right" shrinkToFit="0" vertical="center" wrapText="1"/>
    </xf>
    <xf borderId="0" fillId="0" fontId="3" numFmtId="0" xfId="0" applyFont="1"/>
    <xf borderId="0" fillId="0" fontId="10" numFmtId="3" xfId="0" applyAlignment="1" applyFont="1" applyNumberFormat="1">
      <alignment horizontal="right" shrinkToFit="0" vertical="center" wrapText="1"/>
    </xf>
    <xf borderId="0" fillId="0" fontId="10" numFmtId="10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Voting Count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y Mail Ballo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didate Mail Vo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T23" displayName="MasterCountyTable" name="MasterCountyTable" id="2">
  <tableColumns count="20">
    <tableColumn name="Year" id="1"/>
    <tableColumn name="County / PA-07 Portion" id="2"/>
    <tableColumn name="Request Definition" id="3"/>
    <tableColumn name="Mail Requests" id="4"/>
    <tableColumn name="Ballots Issued" id="5"/>
    <tableColumn name="Mail Returned" id="6"/>
    <tableColumn name="Mail Recorded" id="7"/>
    <tableColumn name="Returned / Requests" id="8"/>
    <tableColumn name="Recorded / Requests" id="9"/>
    <tableColumn name="Dem. Candidate" id="10"/>
    <tableColumn name="Dem. Votes — All Methods" id="11"/>
    <tableColumn name="Rep. Candidate" id="12"/>
    <tableColumn name="Rep. Votes — All Methods" id="13"/>
    <tableColumn name="Two-Party House Total" id="14"/>
    <tableColumn name="Dem. Two-Party Share" id="15"/>
    <tableColumn name="Returned / House Total" id="16"/>
    <tableColumn name="Recorded / House Total" id="17"/>
    <tableColumn name="Dem. Candidate Mail Votes" id="18"/>
    <tableColumn name="Rep. Candidate Mail Votes" id="19"/>
    <tableColumn name="Two-Candidate Mail Total" id="20"/>
  </tableColumns>
  <tableStyleInfo name="Voting County Summary-style" showColumnStripes="0" showFirstColumn="1" showLastColumn="1" showRowStripes="1"/>
</table>
</file>

<file path=xl/tables/table2.xml><?xml version="1.0" encoding="utf-8"?>
<table xmlns="http://schemas.openxmlformats.org/spreadsheetml/2006/main" ref="A4:I47" displayName="PartyMailTable" name="PartyMailTable" id="1">
  <tableColumns count="9">
    <tableColumn name="Year" id="1"/>
    <tableColumn name="County / PA-07 Portion" id="2"/>
    <tableColumn name="Registered Party" id="3"/>
    <tableColumn name="Mail Requests" id="4"/>
    <tableColumn name="Ballots Issued" id="5"/>
    <tableColumn name="Mail Returned" id="6"/>
    <tableColumn name="Mail Recorded" id="7"/>
    <tableColumn name="Returned / Requests" id="8"/>
    <tableColumn name="Recorded / Requests" id="9"/>
  </tableColumns>
  <tableStyleInfo name="Party Mail Ballots-style" showColumnStripes="0" showFirstColumn="1" showLastColumn="1" showRowStripes="1"/>
</table>
</file>

<file path=xl/tables/table3.xml><?xml version="1.0" encoding="utf-8"?>
<table xmlns="http://schemas.openxmlformats.org/spreadsheetml/2006/main" ref="A4:H21" displayName="CandidateMailTable" name="CandidateMailTable" id="3">
  <tableColumns count="8">
    <tableColumn name="Year" id="1"/>
    <tableColumn name="County / PA-07 Portion" id="2"/>
    <tableColumn name="Democratic candidate" id="3"/>
    <tableColumn name="Democratic Mail Votes" id="4"/>
    <tableColumn name="Republican Candidate" id="5"/>
    <tableColumn name="Republican Mail Votes" id="6"/>
    <tableColumn name="Two-Candidate Mail Total" id="7"/>
    <tableColumn name="Status / Scope" id="8"/>
  </tableColumns>
  <tableStyleInfo name="Candidate Mail Vo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8" width="16.0"/>
    <col customWidth="1" min="9" max="26" width="8.63"/>
  </cols>
  <sheetData>
    <row r="1" ht="24.0" customHeight="1">
      <c r="A1" s="1" t="s">
        <v>2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3.5" customHeight="1"/>
    <row r="3" ht="13.5" customHeight="1"/>
    <row r="4" ht="13.5" customHeight="1">
      <c r="A4" s="9" t="s">
        <v>5</v>
      </c>
      <c r="B4" s="9" t="s">
        <v>7</v>
      </c>
      <c r="C4" s="9" t="s">
        <v>8</v>
      </c>
      <c r="D4" s="9" t="s">
        <v>10</v>
      </c>
      <c r="E4" s="9" t="s">
        <v>11</v>
      </c>
      <c r="F4" s="9" t="s">
        <v>12</v>
      </c>
      <c r="G4" s="9" t="s">
        <v>14</v>
      </c>
      <c r="H4" s="9" t="s">
        <v>15</v>
      </c>
    </row>
    <row r="5" ht="78.0" customHeight="1">
      <c r="A5" s="10">
        <v>2020.0</v>
      </c>
      <c r="B5" s="11">
        <f>'Voting County Summary'!D9</f>
        <v>193736</v>
      </c>
      <c r="C5" s="11">
        <f>'Voting County Summary'!F9</f>
        <v>172024</v>
      </c>
      <c r="D5" s="11" t="str">
        <f>'Voting County Summary'!G9</f>
        <v>n.a.</v>
      </c>
      <c r="E5" s="11">
        <f>'Voting County Summary'!K9</f>
        <v>195462</v>
      </c>
      <c r="F5" s="11">
        <f>'Voting County Summary'!M9</f>
        <v>181368</v>
      </c>
      <c r="G5" s="11">
        <f>'Voting County Summary'!R9</f>
        <v>122135</v>
      </c>
      <c r="H5" s="11">
        <f>'Voting County Summary'!S9</f>
        <v>44777</v>
      </c>
    </row>
    <row r="6" ht="76.5" customHeight="1">
      <c r="A6" s="10">
        <v>2022.0</v>
      </c>
      <c r="B6" s="11">
        <f>'Voting County Summary'!D16</f>
        <v>87296</v>
      </c>
      <c r="C6" s="11">
        <f>'Voting County Summary'!F16</f>
        <v>78087</v>
      </c>
      <c r="D6" s="11" t="str">
        <f>'Voting County Summary'!G16</f>
        <v>n.a.</v>
      </c>
      <c r="E6" s="11">
        <f>'Voting County Summary'!K16</f>
        <v>151364</v>
      </c>
      <c r="F6" s="11">
        <f>'Voting County Summary'!M16</f>
        <v>145527</v>
      </c>
      <c r="G6" s="11">
        <f>'Voting County Summary'!R16</f>
        <v>60736</v>
      </c>
      <c r="H6" s="11">
        <f>'Voting County Summary'!S16</f>
        <v>16382</v>
      </c>
    </row>
    <row r="7" ht="90.0" customHeight="1">
      <c r="A7" s="10">
        <v>2024.0</v>
      </c>
      <c r="B7" s="11">
        <f>'Voting County Summary'!D23</f>
        <v>142884</v>
      </c>
      <c r="C7" s="11">
        <f>'Voting County Summary'!F23</f>
        <v>128928</v>
      </c>
      <c r="D7" s="11">
        <f>'Voting County Summary'!G23</f>
        <v>127494</v>
      </c>
      <c r="E7" s="11">
        <f>'Voting County Summary'!K23</f>
        <v>199626</v>
      </c>
      <c r="F7" s="11">
        <f>'Voting County Summary'!M23</f>
        <v>203688</v>
      </c>
      <c r="G7" s="11">
        <f>'Voting County Summary'!R23</f>
        <v>80909</v>
      </c>
      <c r="H7" s="11">
        <f>'Voting County Summary'!S23</f>
        <v>44560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7.0"/>
    <col customWidth="1" min="3" max="3" width="19.0"/>
    <col customWidth="1" min="4" max="7" width="16.0"/>
    <col customWidth="1" min="8" max="11" width="18.0"/>
    <col customWidth="1" min="12" max="12" width="19.0"/>
    <col customWidth="1" min="13" max="17" width="18.0"/>
    <col customWidth="1" min="18" max="20" width="20.0"/>
    <col customWidth="1" min="21" max="26" width="8.63"/>
  </cols>
  <sheetData>
    <row r="1" ht="24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/>
      <c r="V1" s="5"/>
      <c r="W1" s="5"/>
      <c r="X1" s="5"/>
    </row>
    <row r="2" ht="27.0" customHeight="1">
      <c r="A2" s="6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 ht="13.5" customHeight="1"/>
    <row r="4" ht="39.75" customHeight="1">
      <c r="A4" s="8" t="s">
        <v>5</v>
      </c>
      <c r="B4" s="8" t="s">
        <v>6</v>
      </c>
      <c r="C4" s="8" t="s">
        <v>13</v>
      </c>
      <c r="D4" s="8" t="s">
        <v>7</v>
      </c>
      <c r="E4" s="8" t="s">
        <v>16</v>
      </c>
      <c r="F4" s="8" t="s">
        <v>8</v>
      </c>
      <c r="G4" s="8" t="s">
        <v>10</v>
      </c>
      <c r="H4" s="8" t="s">
        <v>17</v>
      </c>
      <c r="I4" s="8" t="s">
        <v>18</v>
      </c>
      <c r="J4" s="8" t="s">
        <v>19</v>
      </c>
      <c r="K4" s="8" t="s">
        <v>20</v>
      </c>
      <c r="L4" s="8" t="s">
        <v>21</v>
      </c>
      <c r="M4" s="8" t="s">
        <v>23</v>
      </c>
      <c r="N4" s="8" t="s">
        <v>25</v>
      </c>
      <c r="O4" s="8" t="s">
        <v>26</v>
      </c>
      <c r="P4" s="8" t="s">
        <v>27</v>
      </c>
      <c r="Q4" s="8" t="s">
        <v>28</v>
      </c>
      <c r="R4" s="8" t="s">
        <v>14</v>
      </c>
      <c r="S4" s="8" t="s">
        <v>15</v>
      </c>
      <c r="T4" s="8" t="s">
        <v>30</v>
      </c>
    </row>
    <row r="5">
      <c r="A5" s="18">
        <v>2020.0</v>
      </c>
      <c r="B5" s="18" t="s">
        <v>22</v>
      </c>
      <c r="C5" s="12" t="s">
        <v>32</v>
      </c>
      <c r="D5" s="19">
        <v>10954.0</v>
      </c>
      <c r="E5" s="19">
        <v>10872.0</v>
      </c>
      <c r="F5" s="19">
        <v>9299.0</v>
      </c>
      <c r="G5" s="15" t="s">
        <v>29</v>
      </c>
      <c r="H5" s="16">
        <f t="shared" ref="H5:H9" si="1">F5/D5</f>
        <v>0.8489136389</v>
      </c>
      <c r="I5" s="20"/>
      <c r="J5" s="21" t="s">
        <v>35</v>
      </c>
      <c r="K5" s="19">
        <v>10768.0</v>
      </c>
      <c r="L5" s="21" t="s">
        <v>37</v>
      </c>
      <c r="M5" s="19">
        <v>22227.0</v>
      </c>
      <c r="N5" s="19">
        <v>32995.0</v>
      </c>
      <c r="O5" s="20">
        <f t="shared" ref="O5:O9" si="2">IFERROR(K5/N5,"")</f>
        <v>0.3263524776</v>
      </c>
      <c r="P5" s="20">
        <f t="shared" ref="P5:P9" si="3">IFERROR(F5/N5,"")</f>
        <v>0.2818305804</v>
      </c>
      <c r="Q5" s="20"/>
      <c r="R5" s="19">
        <v>4926.0</v>
      </c>
      <c r="S5" s="19">
        <v>2682.0</v>
      </c>
      <c r="T5" s="24">
        <f t="shared" ref="T5:T9" si="4">IF(AND(ISNUMBER(R5),ISNUMBER(S5)),R5+S5,"")</f>
        <v>7608</v>
      </c>
      <c r="U5" s="25"/>
      <c r="V5" s="25"/>
      <c r="W5" s="25"/>
      <c r="X5" s="25"/>
      <c r="Y5" s="25"/>
      <c r="Z5" s="25"/>
    </row>
    <row r="6" ht="18.75" customHeight="1">
      <c r="A6" s="12">
        <v>2020.0</v>
      </c>
      <c r="B6" s="12" t="s">
        <v>38</v>
      </c>
      <c r="C6" s="12" t="s">
        <v>32</v>
      </c>
      <c r="D6" s="15">
        <v>87328.0</v>
      </c>
      <c r="E6" s="15">
        <v>86807.0</v>
      </c>
      <c r="F6" s="15">
        <v>77097.0</v>
      </c>
      <c r="G6" s="15" t="s">
        <v>29</v>
      </c>
      <c r="H6" s="23">
        <f t="shared" si="1"/>
        <v>0.8828439905</v>
      </c>
      <c r="I6" s="23" t="str">
        <f t="shared" ref="I6:I9" si="5">IF(ISNUMBER(G6),IFERROR(G6/D6,""),"")</f>
        <v/>
      </c>
      <c r="J6" s="12" t="s">
        <v>44</v>
      </c>
      <c r="K6" s="15">
        <v>96835.0</v>
      </c>
      <c r="L6" s="15" t="s">
        <v>46</v>
      </c>
      <c r="M6" s="15">
        <v>85219.0</v>
      </c>
      <c r="N6" s="15">
        <f t="shared" ref="N6:N9" si="6">K6+M6</f>
        <v>182054</v>
      </c>
      <c r="O6" s="23">
        <f t="shared" si="2"/>
        <v>0.5319026223</v>
      </c>
      <c r="P6" s="23">
        <f t="shared" si="3"/>
        <v>0.4234842409</v>
      </c>
      <c r="Q6" s="23" t="str">
        <f t="shared" ref="Q6:Q9" si="7">IF(ISNUMBER(G6),IFERROR(G6/N6,""),"")</f>
        <v/>
      </c>
      <c r="R6" s="15">
        <v>56508.0</v>
      </c>
      <c r="S6" s="15">
        <v>19111.0</v>
      </c>
      <c r="T6" s="15">
        <f t="shared" si="4"/>
        <v>75619</v>
      </c>
    </row>
    <row r="7" ht="18.75" customHeight="1">
      <c r="A7" s="12">
        <v>2020.0</v>
      </c>
      <c r="B7" s="12" t="s">
        <v>45</v>
      </c>
      <c r="C7" s="12" t="s">
        <v>32</v>
      </c>
      <c r="D7" s="15">
        <v>12694.0</v>
      </c>
      <c r="E7" s="15">
        <v>12663.0</v>
      </c>
      <c r="F7" s="15">
        <v>11745.0</v>
      </c>
      <c r="G7" s="15" t="s">
        <v>29</v>
      </c>
      <c r="H7" s="23">
        <f t="shared" si="1"/>
        <v>0.925240271</v>
      </c>
      <c r="I7" s="23" t="str">
        <f t="shared" si="5"/>
        <v/>
      </c>
      <c r="J7" s="12" t="s">
        <v>44</v>
      </c>
      <c r="K7" s="15">
        <v>15527.0</v>
      </c>
      <c r="L7" s="15" t="s">
        <v>46</v>
      </c>
      <c r="M7" s="15">
        <v>12527.0</v>
      </c>
      <c r="N7" s="15">
        <f t="shared" si="6"/>
        <v>28054</v>
      </c>
      <c r="O7" s="23">
        <f t="shared" si="2"/>
        <v>0.5534683111</v>
      </c>
      <c r="P7" s="23">
        <f t="shared" si="3"/>
        <v>0.418656876</v>
      </c>
      <c r="Q7" s="23" t="str">
        <f t="shared" si="7"/>
        <v/>
      </c>
      <c r="R7" s="15">
        <v>8454.0</v>
      </c>
      <c r="S7" s="15">
        <v>2715.0</v>
      </c>
      <c r="T7" s="15">
        <f t="shared" si="4"/>
        <v>11169</v>
      </c>
    </row>
    <row r="8" ht="18.75" customHeight="1">
      <c r="A8" s="12">
        <v>2020.0</v>
      </c>
      <c r="B8" s="12" t="s">
        <v>48</v>
      </c>
      <c r="C8" s="12" t="s">
        <v>32</v>
      </c>
      <c r="D8" s="15">
        <v>82760.0</v>
      </c>
      <c r="E8" s="15">
        <v>82750.0</v>
      </c>
      <c r="F8" s="15">
        <v>73883.0</v>
      </c>
      <c r="G8" s="15" t="s">
        <v>29</v>
      </c>
      <c r="H8" s="23">
        <f t="shared" si="1"/>
        <v>0.8927380377</v>
      </c>
      <c r="I8" s="23" t="str">
        <f t="shared" si="5"/>
        <v/>
      </c>
      <c r="J8" s="12" t="s">
        <v>44</v>
      </c>
      <c r="K8" s="15">
        <v>83100.0</v>
      </c>
      <c r="L8" s="15" t="s">
        <v>46</v>
      </c>
      <c r="M8" s="15">
        <v>83622.0</v>
      </c>
      <c r="N8" s="15">
        <f t="shared" si="6"/>
        <v>166722</v>
      </c>
      <c r="O8" s="23">
        <f t="shared" si="2"/>
        <v>0.4984345197</v>
      </c>
      <c r="P8" s="23">
        <f t="shared" si="3"/>
        <v>0.4431508739</v>
      </c>
      <c r="Q8" s="23" t="str">
        <f t="shared" si="7"/>
        <v/>
      </c>
      <c r="R8" s="15">
        <v>52247.0</v>
      </c>
      <c r="S8" s="15">
        <v>20269.0</v>
      </c>
      <c r="T8" s="15">
        <f t="shared" si="4"/>
        <v>72516</v>
      </c>
    </row>
    <row r="9" ht="18.75" customHeight="1">
      <c r="A9" s="42">
        <v>2020.0</v>
      </c>
      <c r="B9" s="42" t="s">
        <v>49</v>
      </c>
      <c r="C9" s="42" t="s">
        <v>32</v>
      </c>
      <c r="D9" s="44">
        <v>193736.0</v>
      </c>
      <c r="E9" s="44">
        <v>193092.0</v>
      </c>
      <c r="F9" s="44">
        <v>172024.0</v>
      </c>
      <c r="G9" s="46" t="s">
        <v>29</v>
      </c>
      <c r="H9" s="47">
        <f t="shared" si="1"/>
        <v>0.8879299666</v>
      </c>
      <c r="I9" s="47" t="str">
        <f t="shared" si="5"/>
        <v/>
      </c>
      <c r="J9" s="42" t="s">
        <v>44</v>
      </c>
      <c r="K9" s="46">
        <v>195462.0</v>
      </c>
      <c r="L9" s="46" t="s">
        <v>46</v>
      </c>
      <c r="M9" s="46">
        <v>181368.0</v>
      </c>
      <c r="N9" s="46">
        <f t="shared" si="6"/>
        <v>376830</v>
      </c>
      <c r="O9" s="47">
        <f t="shared" si="2"/>
        <v>0.5187007404</v>
      </c>
      <c r="P9" s="47">
        <f t="shared" si="3"/>
        <v>0.4565029324</v>
      </c>
      <c r="Q9" s="47" t="str">
        <f t="shared" si="7"/>
        <v/>
      </c>
      <c r="R9" s="44">
        <v>122135.0</v>
      </c>
      <c r="S9" s="44">
        <v>44777.0</v>
      </c>
      <c r="T9" s="46">
        <f t="shared" si="4"/>
        <v>166912</v>
      </c>
    </row>
    <row r="10" ht="13.5" customHeight="1"/>
    <row r="12" ht="18.75" customHeight="1">
      <c r="A12" s="12">
        <v>2022.0</v>
      </c>
      <c r="B12" s="12" t="s">
        <v>52</v>
      </c>
      <c r="C12" s="12" t="s">
        <v>32</v>
      </c>
      <c r="D12" s="15">
        <v>5313.0</v>
      </c>
      <c r="E12" s="15">
        <v>5284.0</v>
      </c>
      <c r="F12" s="15">
        <v>4813.0</v>
      </c>
      <c r="G12" s="15" t="s">
        <v>29</v>
      </c>
      <c r="H12" s="23">
        <f t="shared" ref="H12:H16" si="8">F12/D12</f>
        <v>0.9058912102</v>
      </c>
      <c r="I12" s="23" t="str">
        <f t="shared" ref="I12:I16" si="9">IF(ISNUMBER(G12),IFERROR(G12/D12,""),"")</f>
        <v/>
      </c>
      <c r="J12" s="12" t="s">
        <v>44</v>
      </c>
      <c r="K12" s="15">
        <v>9189.0</v>
      </c>
      <c r="L12" s="15" t="s">
        <v>46</v>
      </c>
      <c r="M12" s="15">
        <v>16844.0</v>
      </c>
      <c r="N12" s="15">
        <f t="shared" ref="N12:N16" si="10">K12+M12</f>
        <v>26033</v>
      </c>
      <c r="O12" s="23">
        <f t="shared" ref="O12:O16" si="11">IFERROR(K12/N12,"")</f>
        <v>0.3529750701</v>
      </c>
      <c r="P12" s="23">
        <f t="shared" ref="P12:P16" si="12">IFERROR(F12/N12,"")</f>
        <v>0.1848807283</v>
      </c>
      <c r="Q12" s="23" t="str">
        <f t="shared" ref="Q12:Q16" si="13">IF(ISNUMBER(G12),IFERROR(G12/N12,""),"")</f>
        <v/>
      </c>
      <c r="R12" s="15">
        <v>3296.0</v>
      </c>
      <c r="S12" s="15">
        <v>1449.0</v>
      </c>
      <c r="T12" s="15">
        <f t="shared" ref="T12:T16" si="14">IF(AND(ISNUMBER(R12),ISNUMBER(S12)),R12+S12,"")</f>
        <v>4745</v>
      </c>
    </row>
    <row r="13" ht="18.75" customHeight="1">
      <c r="A13" s="12">
        <v>2022.0</v>
      </c>
      <c r="B13" s="12" t="s">
        <v>38</v>
      </c>
      <c r="C13" s="12" t="s">
        <v>32</v>
      </c>
      <c r="D13" s="15">
        <v>40849.0</v>
      </c>
      <c r="E13" s="15">
        <v>40698.0</v>
      </c>
      <c r="F13" s="15">
        <v>35734.0</v>
      </c>
      <c r="G13" s="15" t="s">
        <v>29</v>
      </c>
      <c r="H13" s="23">
        <f t="shared" si="8"/>
        <v>0.8747827364</v>
      </c>
      <c r="I13" s="23" t="str">
        <f t="shared" si="9"/>
        <v/>
      </c>
      <c r="J13" s="12" t="s">
        <v>44</v>
      </c>
      <c r="K13" s="15">
        <v>73756.0</v>
      </c>
      <c r="L13" s="15" t="s">
        <v>46</v>
      </c>
      <c r="M13" s="15">
        <v>62343.0</v>
      </c>
      <c r="N13" s="15">
        <f t="shared" si="10"/>
        <v>136099</v>
      </c>
      <c r="O13" s="23">
        <f t="shared" si="11"/>
        <v>0.541929037</v>
      </c>
      <c r="P13" s="23">
        <f t="shared" si="12"/>
        <v>0.2625588726</v>
      </c>
      <c r="Q13" s="23" t="str">
        <f t="shared" si="13"/>
        <v/>
      </c>
      <c r="R13" s="15">
        <v>28362.0</v>
      </c>
      <c r="S13" s="15">
        <v>6995.0</v>
      </c>
      <c r="T13" s="15">
        <f t="shared" si="14"/>
        <v>35357</v>
      </c>
    </row>
    <row r="14" ht="18.75" customHeight="1">
      <c r="A14" s="12">
        <v>2022.0</v>
      </c>
      <c r="B14" s="12" t="s">
        <v>45</v>
      </c>
      <c r="C14" s="12" t="s">
        <v>32</v>
      </c>
      <c r="D14" s="15">
        <v>1122.0</v>
      </c>
      <c r="E14" s="15">
        <v>1121.0</v>
      </c>
      <c r="F14" s="15">
        <v>1014.0</v>
      </c>
      <c r="G14" s="15" t="s">
        <v>29</v>
      </c>
      <c r="H14" s="23">
        <f t="shared" si="8"/>
        <v>0.9037433155</v>
      </c>
      <c r="I14" s="23" t="str">
        <f t="shared" si="9"/>
        <v/>
      </c>
      <c r="J14" s="12" t="s">
        <v>44</v>
      </c>
      <c r="K14" s="15">
        <v>1762.0</v>
      </c>
      <c r="L14" s="15" t="s">
        <v>46</v>
      </c>
      <c r="M14" s="15">
        <v>3540.0</v>
      </c>
      <c r="N14" s="15">
        <f t="shared" si="10"/>
        <v>5302</v>
      </c>
      <c r="O14" s="23">
        <f t="shared" si="11"/>
        <v>0.3323274236</v>
      </c>
      <c r="P14" s="23">
        <f t="shared" si="12"/>
        <v>0.1912485854</v>
      </c>
      <c r="Q14" s="23" t="str">
        <f t="shared" si="13"/>
        <v/>
      </c>
      <c r="R14" s="15">
        <v>726.0</v>
      </c>
      <c r="S14" s="15">
        <v>256.0</v>
      </c>
      <c r="T14" s="15">
        <f t="shared" si="14"/>
        <v>982</v>
      </c>
    </row>
    <row r="15" ht="18.75" customHeight="1">
      <c r="A15" s="12">
        <v>2022.0</v>
      </c>
      <c r="B15" s="12" t="s">
        <v>48</v>
      </c>
      <c r="C15" s="12" t="s">
        <v>32</v>
      </c>
      <c r="D15" s="15">
        <v>40012.0</v>
      </c>
      <c r="E15" s="15">
        <v>39922.0</v>
      </c>
      <c r="F15" s="15">
        <v>36526.0</v>
      </c>
      <c r="G15" s="15" t="s">
        <v>29</v>
      </c>
      <c r="H15" s="23">
        <f t="shared" si="8"/>
        <v>0.9128761372</v>
      </c>
      <c r="I15" s="23" t="str">
        <f t="shared" si="9"/>
        <v/>
      </c>
      <c r="J15" s="12" t="s">
        <v>44</v>
      </c>
      <c r="K15" s="15">
        <v>66657.0</v>
      </c>
      <c r="L15" s="15" t="s">
        <v>46</v>
      </c>
      <c r="M15" s="15">
        <v>62800.0</v>
      </c>
      <c r="N15" s="15">
        <f t="shared" si="10"/>
        <v>129457</v>
      </c>
      <c r="O15" s="23">
        <f t="shared" si="11"/>
        <v>0.5148968383</v>
      </c>
      <c r="P15" s="23">
        <f t="shared" si="12"/>
        <v>0.2821477402</v>
      </c>
      <c r="Q15" s="23" t="str">
        <f t="shared" si="13"/>
        <v/>
      </c>
      <c r="R15" s="15">
        <v>28352.0</v>
      </c>
      <c r="S15" s="15">
        <v>7682.0</v>
      </c>
      <c r="T15" s="15">
        <f t="shared" si="14"/>
        <v>36034</v>
      </c>
    </row>
    <row r="16" ht="18.75" customHeight="1">
      <c r="A16" s="42">
        <v>2022.0</v>
      </c>
      <c r="B16" s="42" t="s">
        <v>49</v>
      </c>
      <c r="C16" s="42" t="s">
        <v>32</v>
      </c>
      <c r="D16" s="46">
        <v>87296.0</v>
      </c>
      <c r="E16" s="46">
        <v>87025.0</v>
      </c>
      <c r="F16" s="46">
        <v>78087.0</v>
      </c>
      <c r="G16" s="46" t="s">
        <v>29</v>
      </c>
      <c r="H16" s="47">
        <f t="shared" si="8"/>
        <v>0.8945083394</v>
      </c>
      <c r="I16" s="47" t="str">
        <f t="shared" si="9"/>
        <v/>
      </c>
      <c r="J16" s="42" t="s">
        <v>44</v>
      </c>
      <c r="K16" s="46">
        <v>151364.0</v>
      </c>
      <c r="L16" s="46" t="s">
        <v>46</v>
      </c>
      <c r="M16" s="46">
        <v>145527.0</v>
      </c>
      <c r="N16" s="46">
        <f t="shared" si="10"/>
        <v>296891</v>
      </c>
      <c r="O16" s="47">
        <f t="shared" si="11"/>
        <v>0.509830207</v>
      </c>
      <c r="P16" s="47">
        <f t="shared" si="12"/>
        <v>0.2630157196</v>
      </c>
      <c r="Q16" s="47" t="str">
        <f t="shared" si="13"/>
        <v/>
      </c>
      <c r="R16" s="46">
        <v>60736.0</v>
      </c>
      <c r="S16" s="46">
        <v>16382.0</v>
      </c>
      <c r="T16" s="46">
        <f t="shared" si="14"/>
        <v>77118</v>
      </c>
    </row>
    <row r="17" ht="13.5" customHeight="1"/>
    <row r="18" ht="13.5" customHeight="1"/>
    <row r="19" ht="18.75" customHeight="1">
      <c r="A19" s="12">
        <v>2024.0</v>
      </c>
      <c r="B19" s="12" t="s">
        <v>52</v>
      </c>
      <c r="C19" s="12" t="s">
        <v>92</v>
      </c>
      <c r="D19" s="15">
        <v>8705.0</v>
      </c>
      <c r="E19" s="15">
        <v>8641.0</v>
      </c>
      <c r="F19" s="15">
        <v>7349.0</v>
      </c>
      <c r="G19" s="15">
        <v>7313.0</v>
      </c>
      <c r="H19" s="23">
        <f t="shared" ref="H19:H23" si="15">F19/D19</f>
        <v>0.8442274555</v>
      </c>
      <c r="I19" s="23">
        <f t="shared" ref="I19:I23" si="16">IF(ISNUMBER(G19),IFERROR(G19/D19,""),"")</f>
        <v>0.8400919012</v>
      </c>
      <c r="J19" s="12" t="s">
        <v>44</v>
      </c>
      <c r="K19" s="15">
        <v>11614.0</v>
      </c>
      <c r="L19" s="15" t="s">
        <v>58</v>
      </c>
      <c r="M19" s="15">
        <v>22813.0</v>
      </c>
      <c r="N19" s="15">
        <f t="shared" ref="N19:N23" si="17">K19+M19</f>
        <v>34427</v>
      </c>
      <c r="O19" s="23">
        <f t="shared" ref="O19:O23" si="18">IFERROR(K19/N19,"")</f>
        <v>0.3373514974</v>
      </c>
      <c r="P19" s="23">
        <f t="shared" ref="P19:P23" si="19">IFERROR(F19/N19,"")</f>
        <v>0.2134661748</v>
      </c>
      <c r="Q19" s="23">
        <f t="shared" ref="Q19:Q23" si="20">IF(ISNUMBER(G19),IFERROR(G19/N19,""),"")</f>
        <v>0.2124204839</v>
      </c>
      <c r="R19" s="15">
        <v>4022.0</v>
      </c>
      <c r="S19" s="15">
        <v>3130.0</v>
      </c>
      <c r="T19" s="15">
        <f t="shared" ref="T19:T23" si="21">IF(AND(ISNUMBER(R19),ISNUMBER(S19)),R19+S19,"")</f>
        <v>7152</v>
      </c>
    </row>
    <row r="20" ht="18.75" customHeight="1">
      <c r="A20" s="12">
        <v>2024.0</v>
      </c>
      <c r="B20" s="12" t="s">
        <v>38</v>
      </c>
      <c r="C20" s="12" t="s">
        <v>92</v>
      </c>
      <c r="D20" s="15">
        <v>65504.0</v>
      </c>
      <c r="E20" s="15">
        <v>65166.0</v>
      </c>
      <c r="F20" s="15">
        <v>58514.0</v>
      </c>
      <c r="G20" s="15">
        <v>57757.0</v>
      </c>
      <c r="H20" s="23">
        <f t="shared" si="15"/>
        <v>0.8932889595</v>
      </c>
      <c r="I20" s="23">
        <f t="shared" si="16"/>
        <v>0.8817324133</v>
      </c>
      <c r="J20" s="12" t="s">
        <v>44</v>
      </c>
      <c r="K20" s="15">
        <v>98017.0</v>
      </c>
      <c r="L20" s="15" t="s">
        <v>58</v>
      </c>
      <c r="M20" s="15">
        <v>89350.0</v>
      </c>
      <c r="N20" s="15">
        <f t="shared" si="17"/>
        <v>187367</v>
      </c>
      <c r="O20" s="23">
        <f t="shared" si="18"/>
        <v>0.5231284057</v>
      </c>
      <c r="P20" s="23">
        <f t="shared" si="19"/>
        <v>0.3122961888</v>
      </c>
      <c r="Q20" s="23">
        <f t="shared" si="20"/>
        <v>0.3082559896</v>
      </c>
      <c r="R20" s="15">
        <v>37662.0</v>
      </c>
      <c r="S20" s="15">
        <v>19173.0</v>
      </c>
      <c r="T20" s="15">
        <f t="shared" si="21"/>
        <v>56835</v>
      </c>
    </row>
    <row r="21" ht="18.75" customHeight="1">
      <c r="A21" s="12">
        <v>2024.0</v>
      </c>
      <c r="B21" s="12" t="s">
        <v>45</v>
      </c>
      <c r="C21" s="12" t="s">
        <v>92</v>
      </c>
      <c r="D21" s="15">
        <v>2236.0</v>
      </c>
      <c r="E21" s="15">
        <v>2236.0</v>
      </c>
      <c r="F21" s="15">
        <v>2043.0</v>
      </c>
      <c r="G21" s="15">
        <v>2032.0</v>
      </c>
      <c r="H21" s="23">
        <f t="shared" si="15"/>
        <v>0.9136851521</v>
      </c>
      <c r="I21" s="23">
        <f t="shared" si="16"/>
        <v>0.908765653</v>
      </c>
      <c r="J21" s="12" t="s">
        <v>44</v>
      </c>
      <c r="K21" s="15">
        <v>2406.0</v>
      </c>
      <c r="L21" s="15" t="s">
        <v>58</v>
      </c>
      <c r="M21" s="15">
        <v>5015.0</v>
      </c>
      <c r="N21" s="15">
        <f t="shared" si="17"/>
        <v>7421</v>
      </c>
      <c r="O21" s="23">
        <f t="shared" si="18"/>
        <v>0.3242150654</v>
      </c>
      <c r="P21" s="23">
        <f t="shared" si="19"/>
        <v>0.2752998248</v>
      </c>
      <c r="Q21" s="23">
        <f t="shared" si="20"/>
        <v>0.2738175448</v>
      </c>
      <c r="R21" s="15">
        <v>1087.0</v>
      </c>
      <c r="S21" s="15">
        <v>908.0</v>
      </c>
      <c r="T21" s="15">
        <f t="shared" si="21"/>
        <v>1995</v>
      </c>
    </row>
    <row r="22" ht="18.75" customHeight="1">
      <c r="A22" s="12">
        <v>2024.0</v>
      </c>
      <c r="B22" s="12" t="s">
        <v>48</v>
      </c>
      <c r="C22" s="12" t="s">
        <v>92</v>
      </c>
      <c r="D22" s="15">
        <v>66439.0</v>
      </c>
      <c r="E22" s="15">
        <v>66098.0</v>
      </c>
      <c r="F22" s="15">
        <v>61022.0</v>
      </c>
      <c r="G22" s="15">
        <v>60392.0</v>
      </c>
      <c r="H22" s="23">
        <f t="shared" si="15"/>
        <v>0.9184665633</v>
      </c>
      <c r="I22" s="23">
        <f t="shared" si="16"/>
        <v>0.908984181</v>
      </c>
      <c r="J22" s="12" t="s">
        <v>44</v>
      </c>
      <c r="K22" s="15">
        <v>87589.0</v>
      </c>
      <c r="L22" s="15" t="s">
        <v>58</v>
      </c>
      <c r="M22" s="15">
        <v>86510.0</v>
      </c>
      <c r="N22" s="15">
        <f t="shared" si="17"/>
        <v>174099</v>
      </c>
      <c r="O22" s="23">
        <f t="shared" si="18"/>
        <v>0.5030988116</v>
      </c>
      <c r="P22" s="23">
        <f t="shared" si="19"/>
        <v>0.350501726</v>
      </c>
      <c r="Q22" s="23">
        <f t="shared" si="20"/>
        <v>0.3468830953</v>
      </c>
      <c r="R22" s="15">
        <v>38138.0</v>
      </c>
      <c r="S22" s="15">
        <v>21349.0</v>
      </c>
      <c r="T22" s="15">
        <f t="shared" si="21"/>
        <v>59487</v>
      </c>
    </row>
    <row r="23" ht="18.75" customHeight="1">
      <c r="A23" s="42">
        <v>2024.0</v>
      </c>
      <c r="B23" s="42" t="s">
        <v>49</v>
      </c>
      <c r="C23" s="42" t="s">
        <v>92</v>
      </c>
      <c r="D23" s="46">
        <v>142884.0</v>
      </c>
      <c r="E23" s="46">
        <v>142141.0</v>
      </c>
      <c r="F23" s="46">
        <v>128928.0</v>
      </c>
      <c r="G23" s="46">
        <v>127494.0</v>
      </c>
      <c r="H23" s="47">
        <f t="shared" si="15"/>
        <v>0.9023263626</v>
      </c>
      <c r="I23" s="47">
        <f t="shared" si="16"/>
        <v>0.8922902494</v>
      </c>
      <c r="J23" s="42" t="s">
        <v>44</v>
      </c>
      <c r="K23" s="46">
        <v>199626.0</v>
      </c>
      <c r="L23" s="46" t="s">
        <v>58</v>
      </c>
      <c r="M23" s="46">
        <v>203688.0</v>
      </c>
      <c r="N23" s="46">
        <f t="shared" si="17"/>
        <v>403314</v>
      </c>
      <c r="O23" s="47">
        <f t="shared" si="18"/>
        <v>0.4949642214</v>
      </c>
      <c r="P23" s="47">
        <f t="shared" si="19"/>
        <v>0.3196715214</v>
      </c>
      <c r="Q23" s="47">
        <f t="shared" si="20"/>
        <v>0.3161159791</v>
      </c>
      <c r="R23" s="46">
        <v>80909.0</v>
      </c>
      <c r="S23" s="46">
        <v>44560.0</v>
      </c>
      <c r="T23" s="46">
        <f t="shared" si="21"/>
        <v>125469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T1"/>
    <mergeCell ref="A2:T2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5.0"/>
    <col customWidth="1" min="3" max="3" width="22.0"/>
    <col customWidth="1" min="4" max="7" width="15.0"/>
    <col customWidth="1" min="8" max="9" width="18.0"/>
    <col customWidth="1" min="10" max="26" width="8.63"/>
  </cols>
  <sheetData>
    <row r="1" ht="13.5" customHeight="1">
      <c r="A1" s="1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6" t="s">
        <v>4</v>
      </c>
      <c r="B2" s="3"/>
      <c r="C2" s="3"/>
      <c r="D2" s="3"/>
      <c r="E2" s="3"/>
      <c r="F2" s="3"/>
      <c r="G2" s="3"/>
      <c r="H2" s="3"/>
      <c r="I2" s="4"/>
    </row>
    <row r="3" ht="13.5" customHeight="1">
      <c r="A3" s="7"/>
      <c r="B3" s="7"/>
      <c r="C3" s="7"/>
      <c r="D3" s="7"/>
      <c r="E3" s="7"/>
      <c r="F3" s="7"/>
      <c r="G3" s="7"/>
      <c r="H3" s="7"/>
      <c r="I3" s="7"/>
    </row>
    <row r="4" ht="13.5" customHeight="1">
      <c r="A4" s="8" t="s">
        <v>5</v>
      </c>
      <c r="B4" s="8" t="s">
        <v>6</v>
      </c>
      <c r="C4" s="8" t="s">
        <v>9</v>
      </c>
      <c r="D4" s="8" t="s">
        <v>7</v>
      </c>
      <c r="E4" s="8" t="s">
        <v>16</v>
      </c>
      <c r="F4" s="8" t="s">
        <v>8</v>
      </c>
      <c r="G4" s="8" t="s">
        <v>10</v>
      </c>
      <c r="H4" s="8" t="s">
        <v>17</v>
      </c>
      <c r="I4" s="8" t="s">
        <v>18</v>
      </c>
    </row>
    <row r="5">
      <c r="A5" s="12">
        <v>2020.0</v>
      </c>
      <c r="B5" s="13" t="s">
        <v>22</v>
      </c>
      <c r="C5" s="12" t="s">
        <v>24</v>
      </c>
      <c r="D5" s="14">
        <v>6241.0</v>
      </c>
      <c r="E5" s="14">
        <v>6209.0</v>
      </c>
      <c r="F5" s="14">
        <v>5589.0</v>
      </c>
      <c r="G5" s="15" t="s">
        <v>29</v>
      </c>
      <c r="H5" s="16">
        <v>0.896</v>
      </c>
      <c r="I5" s="17"/>
    </row>
    <row r="6">
      <c r="A6" s="12">
        <v>2020.0</v>
      </c>
      <c r="B6" s="13" t="s">
        <v>22</v>
      </c>
      <c r="C6" s="12" t="s">
        <v>31</v>
      </c>
      <c r="D6" s="14">
        <v>3445.0</v>
      </c>
      <c r="E6" s="14">
        <v>3421.0</v>
      </c>
      <c r="F6" s="14">
        <v>2696.0</v>
      </c>
      <c r="G6" s="15" t="s">
        <v>29</v>
      </c>
      <c r="H6" s="16">
        <v>0.783</v>
      </c>
      <c r="I6" s="17"/>
    </row>
    <row r="7">
      <c r="A7" s="12">
        <v>2020.0</v>
      </c>
      <c r="B7" s="13" t="s">
        <v>22</v>
      </c>
      <c r="C7" s="12" t="s">
        <v>34</v>
      </c>
      <c r="D7" s="14">
        <v>1268.0</v>
      </c>
      <c r="E7" s="14">
        <v>1242.0</v>
      </c>
      <c r="F7" s="14">
        <v>1014.0</v>
      </c>
      <c r="G7" s="15" t="s">
        <v>29</v>
      </c>
      <c r="H7" s="16">
        <v>0.8</v>
      </c>
      <c r="I7" s="17"/>
    </row>
    <row r="8" ht="13.5" customHeight="1">
      <c r="A8" s="12">
        <v>2020.0</v>
      </c>
      <c r="B8" s="12" t="s">
        <v>38</v>
      </c>
      <c r="C8" s="12" t="s">
        <v>24</v>
      </c>
      <c r="D8" s="15">
        <v>53589.0</v>
      </c>
      <c r="E8" s="15">
        <v>53299.0</v>
      </c>
      <c r="F8" s="15">
        <v>48487.0</v>
      </c>
      <c r="G8" s="15" t="s">
        <v>29</v>
      </c>
      <c r="H8" s="23">
        <v>0.9047938942693463</v>
      </c>
      <c r="I8" s="23"/>
    </row>
    <row r="9" ht="13.5" customHeight="1">
      <c r="A9" s="12">
        <v>2020.0</v>
      </c>
      <c r="B9" s="12" t="s">
        <v>38</v>
      </c>
      <c r="C9" s="12" t="s">
        <v>31</v>
      </c>
      <c r="D9" s="15">
        <v>21386.0</v>
      </c>
      <c r="E9" s="15">
        <v>21243.0</v>
      </c>
      <c r="F9" s="15">
        <v>17863.0</v>
      </c>
      <c r="G9" s="15" t="s">
        <v>29</v>
      </c>
      <c r="H9" s="23">
        <v>0.8352660619096606</v>
      </c>
      <c r="I9" s="23"/>
    </row>
    <row r="10" ht="13.5" customHeight="1">
      <c r="A10" s="12">
        <v>2020.0</v>
      </c>
      <c r="B10" s="12" t="s">
        <v>38</v>
      </c>
      <c r="C10" s="12" t="s">
        <v>34</v>
      </c>
      <c r="D10" s="15">
        <v>12353.0</v>
      </c>
      <c r="E10" s="15">
        <v>12265.0</v>
      </c>
      <c r="F10" s="15">
        <v>10747.0</v>
      </c>
      <c r="G10" s="15" t="s">
        <v>29</v>
      </c>
      <c r="H10" s="23">
        <v>0.8699910952804987</v>
      </c>
      <c r="I10" s="23"/>
    </row>
    <row r="11" ht="13.5" customHeight="1">
      <c r="A11" s="12">
        <v>2020.0</v>
      </c>
      <c r="B11" s="12" t="s">
        <v>45</v>
      </c>
      <c r="C11" s="12" t="s">
        <v>24</v>
      </c>
      <c r="D11" s="15">
        <v>8042.0</v>
      </c>
      <c r="E11" s="15">
        <v>8026.0</v>
      </c>
      <c r="F11" s="15">
        <v>7560.0</v>
      </c>
      <c r="G11" s="15" t="s">
        <v>29</v>
      </c>
      <c r="H11" s="23">
        <v>0.9400646605322059</v>
      </c>
      <c r="I11" s="23"/>
    </row>
    <row r="12" ht="13.5" customHeight="1">
      <c r="A12" s="12">
        <v>2020.0</v>
      </c>
      <c r="B12" s="12" t="s">
        <v>45</v>
      </c>
      <c r="C12" s="12" t="s">
        <v>31</v>
      </c>
      <c r="D12" s="15">
        <v>2766.0</v>
      </c>
      <c r="E12" s="15">
        <v>2758.0</v>
      </c>
      <c r="F12" s="15">
        <v>2487.0</v>
      </c>
      <c r="G12" s="15" t="s">
        <v>29</v>
      </c>
      <c r="H12" s="23">
        <v>0.8991323210412148</v>
      </c>
      <c r="I12" s="23"/>
    </row>
    <row r="13" ht="13.5" customHeight="1">
      <c r="A13" s="12">
        <v>2020.0</v>
      </c>
      <c r="B13" s="12" t="s">
        <v>45</v>
      </c>
      <c r="C13" s="12" t="s">
        <v>34</v>
      </c>
      <c r="D13" s="15">
        <v>1886.0</v>
      </c>
      <c r="E13" s="15">
        <v>1879.0</v>
      </c>
      <c r="F13" s="15">
        <v>1698.0</v>
      </c>
      <c r="G13" s="15" t="s">
        <v>29</v>
      </c>
      <c r="H13" s="23">
        <v>0.9003181336161188</v>
      </c>
      <c r="I13" s="23"/>
    </row>
    <row r="14" ht="13.5" customHeight="1">
      <c r="A14" s="12">
        <v>2020.0</v>
      </c>
      <c r="B14" s="12" t="s">
        <v>48</v>
      </c>
      <c r="C14" s="12" t="s">
        <v>24</v>
      </c>
      <c r="D14" s="15">
        <v>49522.0</v>
      </c>
      <c r="E14" s="15">
        <v>49518.0</v>
      </c>
      <c r="F14" s="15">
        <v>45426.0</v>
      </c>
      <c r="G14" s="15" t="s">
        <v>29</v>
      </c>
      <c r="H14" s="23">
        <v>0.9172892855700496</v>
      </c>
      <c r="I14" s="23"/>
    </row>
    <row r="15" ht="13.5" customHeight="1">
      <c r="A15" s="12">
        <v>2020.0</v>
      </c>
      <c r="B15" s="12" t="s">
        <v>48</v>
      </c>
      <c r="C15" s="12" t="s">
        <v>31</v>
      </c>
      <c r="D15" s="15">
        <v>20618.0</v>
      </c>
      <c r="E15" s="15">
        <v>20618.0</v>
      </c>
      <c r="F15" s="15">
        <v>17382.0</v>
      </c>
      <c r="G15" s="15" t="s">
        <v>29</v>
      </c>
      <c r="H15" s="23">
        <v>0.8430497623435833</v>
      </c>
      <c r="I15" s="23"/>
    </row>
    <row r="16" ht="13.5" customHeight="1">
      <c r="A16" s="12">
        <v>2020.0</v>
      </c>
      <c r="B16" s="12" t="s">
        <v>48</v>
      </c>
      <c r="C16" s="12" t="s">
        <v>34</v>
      </c>
      <c r="D16" s="15">
        <v>12620.0</v>
      </c>
      <c r="E16" s="15">
        <v>12614.0</v>
      </c>
      <c r="F16" s="15">
        <v>11075.0</v>
      </c>
      <c r="G16" s="15" t="s">
        <v>29</v>
      </c>
      <c r="H16" s="23">
        <v>0.8775752773375595</v>
      </c>
      <c r="I16" s="23"/>
    </row>
    <row r="17" ht="13.5" customHeight="1">
      <c r="A17" s="49">
        <v>2020.0</v>
      </c>
      <c r="B17" s="49" t="s">
        <v>49</v>
      </c>
      <c r="C17" s="49" t="s">
        <v>59</v>
      </c>
      <c r="D17" s="50">
        <v>193736.0</v>
      </c>
      <c r="E17" s="50">
        <v>193092.0</v>
      </c>
      <c r="F17" s="50">
        <v>172024.0</v>
      </c>
      <c r="G17" s="51" t="s">
        <v>29</v>
      </c>
      <c r="H17" s="52">
        <v>0.872166666667</v>
      </c>
      <c r="I17" s="53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ht="13.5" customHeight="1">
      <c r="A19" s="8" t="s">
        <v>5</v>
      </c>
      <c r="B19" s="8" t="s">
        <v>6</v>
      </c>
      <c r="C19" s="8" t="s">
        <v>9</v>
      </c>
      <c r="D19" s="8" t="s">
        <v>7</v>
      </c>
      <c r="E19" s="8" t="s">
        <v>16</v>
      </c>
      <c r="F19" s="8" t="s">
        <v>8</v>
      </c>
      <c r="G19" s="8" t="s">
        <v>10</v>
      </c>
      <c r="H19" s="8" t="s">
        <v>17</v>
      </c>
      <c r="I19" s="8" t="s">
        <v>18</v>
      </c>
    </row>
    <row r="20" ht="13.5" customHeight="1">
      <c r="A20" s="12">
        <v>2022.0</v>
      </c>
      <c r="B20" s="12" t="s">
        <v>52</v>
      </c>
      <c r="C20" s="12" t="s">
        <v>24</v>
      </c>
      <c r="D20" s="15">
        <v>3393.0</v>
      </c>
      <c r="E20" s="15">
        <v>3374.0</v>
      </c>
      <c r="F20" s="15">
        <v>3089.0</v>
      </c>
      <c r="G20" s="15" t="s">
        <v>29</v>
      </c>
      <c r="H20" s="23">
        <v>0.910403772472738</v>
      </c>
      <c r="I20" s="23"/>
    </row>
    <row r="21" ht="13.5" customHeight="1">
      <c r="A21" s="12">
        <v>2022.0</v>
      </c>
      <c r="B21" s="12" t="s">
        <v>52</v>
      </c>
      <c r="C21" s="12" t="s">
        <v>31</v>
      </c>
      <c r="D21" s="15">
        <v>1420.0</v>
      </c>
      <c r="E21" s="15">
        <v>1415.0</v>
      </c>
      <c r="F21" s="15">
        <v>1298.0</v>
      </c>
      <c r="G21" s="15" t="s">
        <v>29</v>
      </c>
      <c r="H21" s="23">
        <v>0.9140845070422535</v>
      </c>
      <c r="I21" s="23"/>
    </row>
    <row r="22" ht="13.5" customHeight="1">
      <c r="A22" s="12">
        <v>2022.0</v>
      </c>
      <c r="B22" s="12" t="s">
        <v>52</v>
      </c>
      <c r="C22" s="12" t="s">
        <v>34</v>
      </c>
      <c r="D22" s="15">
        <v>500.0</v>
      </c>
      <c r="E22" s="15">
        <v>495.0</v>
      </c>
      <c r="F22" s="15">
        <v>426.0</v>
      </c>
      <c r="G22" s="15" t="s">
        <v>29</v>
      </c>
      <c r="H22" s="23">
        <v>0.852</v>
      </c>
      <c r="I22" s="23"/>
    </row>
    <row r="23" ht="13.5" customHeight="1">
      <c r="A23" s="12">
        <v>2022.0</v>
      </c>
      <c r="B23" s="12" t="s">
        <v>38</v>
      </c>
      <c r="C23" s="12" t="s">
        <v>24</v>
      </c>
      <c r="D23" s="15">
        <v>27526.0</v>
      </c>
      <c r="E23" s="15">
        <v>27407.0</v>
      </c>
      <c r="F23" s="15">
        <v>24265.0</v>
      </c>
      <c r="G23" s="15" t="s">
        <v>29</v>
      </c>
      <c r="H23" s="23">
        <v>0.8815301896388869</v>
      </c>
      <c r="I23" s="23"/>
    </row>
    <row r="24" ht="13.5" customHeight="1">
      <c r="A24" s="12">
        <v>2022.0</v>
      </c>
      <c r="B24" s="12" t="s">
        <v>38</v>
      </c>
      <c r="C24" s="12" t="s">
        <v>31</v>
      </c>
      <c r="D24" s="15">
        <v>8580.0</v>
      </c>
      <c r="E24" s="15">
        <v>8556.0</v>
      </c>
      <c r="F24" s="15">
        <v>7557.0</v>
      </c>
      <c r="G24" s="15" t="s">
        <v>29</v>
      </c>
      <c r="H24" s="23">
        <v>0.8807692307692307</v>
      </c>
      <c r="I24" s="23"/>
    </row>
    <row r="25" ht="13.5" customHeight="1">
      <c r="A25" s="12">
        <v>2022.0</v>
      </c>
      <c r="B25" s="12" t="s">
        <v>38</v>
      </c>
      <c r="C25" s="12" t="s">
        <v>34</v>
      </c>
      <c r="D25" s="15">
        <v>4743.0</v>
      </c>
      <c r="E25" s="15">
        <v>4735.0</v>
      </c>
      <c r="F25" s="15">
        <v>3912.0</v>
      </c>
      <c r="G25" s="15" t="s">
        <v>29</v>
      </c>
      <c r="H25" s="23">
        <v>0.8247944339025933</v>
      </c>
      <c r="I25" s="23"/>
    </row>
    <row r="26" ht="13.5" customHeight="1">
      <c r="A26" s="12">
        <v>2022.0</v>
      </c>
      <c r="B26" s="12" t="s">
        <v>45</v>
      </c>
      <c r="C26" s="12" t="s">
        <v>24</v>
      </c>
      <c r="D26" s="15">
        <v>721.0</v>
      </c>
      <c r="E26" s="15">
        <v>720.0</v>
      </c>
      <c r="F26" s="15">
        <v>659.0</v>
      </c>
      <c r="G26" s="15" t="s">
        <v>29</v>
      </c>
      <c r="H26" s="23">
        <v>0.9140083217753121</v>
      </c>
      <c r="I26" s="23"/>
    </row>
    <row r="27" ht="13.5" customHeight="1">
      <c r="A27" s="12">
        <v>2022.0</v>
      </c>
      <c r="B27" s="12" t="s">
        <v>45</v>
      </c>
      <c r="C27" s="12" t="s">
        <v>31</v>
      </c>
      <c r="D27" s="15">
        <v>267.0</v>
      </c>
      <c r="E27" s="15">
        <v>267.0</v>
      </c>
      <c r="F27" s="15">
        <v>245.0</v>
      </c>
      <c r="G27" s="15" t="s">
        <v>29</v>
      </c>
      <c r="H27" s="23">
        <v>0.9176029962546817</v>
      </c>
      <c r="I27" s="23"/>
    </row>
    <row r="28" ht="13.5" customHeight="1">
      <c r="A28" s="12">
        <v>2022.0</v>
      </c>
      <c r="B28" s="12" t="s">
        <v>45</v>
      </c>
      <c r="C28" s="12" t="s">
        <v>34</v>
      </c>
      <c r="D28" s="15">
        <v>134.0</v>
      </c>
      <c r="E28" s="15">
        <v>134.0</v>
      </c>
      <c r="F28" s="15">
        <v>110.0</v>
      </c>
      <c r="G28" s="15" t="s">
        <v>29</v>
      </c>
      <c r="H28" s="23">
        <v>0.8208955223880597</v>
      </c>
      <c r="I28" s="23"/>
    </row>
    <row r="29" ht="13.5" customHeight="1">
      <c r="A29" s="12">
        <v>2022.0</v>
      </c>
      <c r="B29" s="12" t="s">
        <v>48</v>
      </c>
      <c r="C29" s="12" t="s">
        <v>24</v>
      </c>
      <c r="D29" s="15">
        <v>26711.0</v>
      </c>
      <c r="E29" s="15">
        <v>26652.0</v>
      </c>
      <c r="F29" s="15">
        <v>24624.0</v>
      </c>
      <c r="G29" s="15" t="s">
        <v>29</v>
      </c>
      <c r="H29" s="23">
        <v>0.9218673954550559</v>
      </c>
      <c r="I29" s="23"/>
    </row>
    <row r="30" ht="13.5" customHeight="1">
      <c r="A30" s="12">
        <v>2022.0</v>
      </c>
      <c r="B30" s="12" t="s">
        <v>48</v>
      </c>
      <c r="C30" s="12" t="s">
        <v>31</v>
      </c>
      <c r="D30" s="15">
        <v>8212.0</v>
      </c>
      <c r="E30" s="15">
        <v>8191.0</v>
      </c>
      <c r="F30" s="15">
        <v>7451.0</v>
      </c>
      <c r="G30" s="15" t="s">
        <v>29</v>
      </c>
      <c r="H30" s="23">
        <v>0.9073307355090112</v>
      </c>
      <c r="I30" s="23"/>
    </row>
    <row r="31" ht="13.5" customHeight="1">
      <c r="A31" s="12">
        <v>2022.0</v>
      </c>
      <c r="B31" s="12" t="s">
        <v>48</v>
      </c>
      <c r="C31" s="12" t="s">
        <v>34</v>
      </c>
      <c r="D31" s="15">
        <v>5089.0</v>
      </c>
      <c r="E31" s="15">
        <v>5079.0</v>
      </c>
      <c r="F31" s="15">
        <v>4451.0</v>
      </c>
      <c r="G31" s="15" t="s">
        <v>29</v>
      </c>
      <c r="H31" s="23">
        <v>0.87463155826292</v>
      </c>
      <c r="I31" s="23"/>
    </row>
    <row r="32" ht="13.5" customHeight="1">
      <c r="A32" s="49">
        <v>2022.0</v>
      </c>
      <c r="B32" s="49" t="s">
        <v>49</v>
      </c>
      <c r="C32" s="49" t="s">
        <v>59</v>
      </c>
      <c r="D32" s="51">
        <v>87296.0</v>
      </c>
      <c r="E32" s="51">
        <v>87025.0</v>
      </c>
      <c r="F32" s="51">
        <v>78087.0</v>
      </c>
      <c r="G32" s="51" t="s">
        <v>29</v>
      </c>
      <c r="H32" s="53">
        <v>0.8945083394428153</v>
      </c>
      <c r="I32" s="53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ht="13.5" customHeight="1">
      <c r="A34" s="8" t="s">
        <v>5</v>
      </c>
      <c r="B34" s="8" t="s">
        <v>6</v>
      </c>
      <c r="C34" s="8" t="s">
        <v>9</v>
      </c>
      <c r="D34" s="8" t="s">
        <v>7</v>
      </c>
      <c r="E34" s="8" t="s">
        <v>16</v>
      </c>
      <c r="F34" s="8" t="s">
        <v>8</v>
      </c>
      <c r="G34" s="8" t="s">
        <v>10</v>
      </c>
      <c r="H34" s="8" t="s">
        <v>17</v>
      </c>
      <c r="I34" s="8" t="s">
        <v>18</v>
      </c>
    </row>
    <row r="35" ht="13.5" customHeight="1">
      <c r="A35" s="12">
        <v>2024.0</v>
      </c>
      <c r="B35" s="12" t="s">
        <v>52</v>
      </c>
      <c r="C35" s="12" t="s">
        <v>24</v>
      </c>
      <c r="D35" s="15">
        <v>4070.0</v>
      </c>
      <c r="E35" s="15">
        <v>4041.0</v>
      </c>
      <c r="F35" s="15">
        <v>3596.0</v>
      </c>
      <c r="G35" s="15">
        <v>3581.0</v>
      </c>
      <c r="H35" s="23">
        <v>0.8835380835380835</v>
      </c>
      <c r="I35" s="23">
        <v>0.8798525798525798</v>
      </c>
    </row>
    <row r="36" ht="13.5" customHeight="1">
      <c r="A36" s="12">
        <v>2024.0</v>
      </c>
      <c r="B36" s="12" t="s">
        <v>52</v>
      </c>
      <c r="C36" s="12" t="s">
        <v>31</v>
      </c>
      <c r="D36" s="15">
        <v>3551.0</v>
      </c>
      <c r="E36" s="15">
        <v>3526.0</v>
      </c>
      <c r="F36" s="15">
        <v>2890.0</v>
      </c>
      <c r="G36" s="15">
        <v>2876.0</v>
      </c>
      <c r="H36" s="23">
        <v>0.8138552520416784</v>
      </c>
      <c r="I36" s="23">
        <v>0.8099127006477048</v>
      </c>
    </row>
    <row r="37" ht="13.5" customHeight="1">
      <c r="A37" s="12">
        <v>2024.0</v>
      </c>
      <c r="B37" s="12" t="s">
        <v>52</v>
      </c>
      <c r="C37" s="12" t="s">
        <v>34</v>
      </c>
      <c r="D37" s="15">
        <v>1084.0</v>
      </c>
      <c r="E37" s="15">
        <v>1074.0</v>
      </c>
      <c r="F37" s="15">
        <v>863.0</v>
      </c>
      <c r="G37" s="15">
        <v>856.0</v>
      </c>
      <c r="H37" s="23">
        <v>0.7961254612546126</v>
      </c>
      <c r="I37" s="23">
        <v>0.7896678966789668</v>
      </c>
    </row>
    <row r="38" ht="13.5" customHeight="1">
      <c r="A38" s="12">
        <v>2024.0</v>
      </c>
      <c r="B38" s="12" t="s">
        <v>38</v>
      </c>
      <c r="C38" s="12" t="s">
        <v>24</v>
      </c>
      <c r="D38" s="15">
        <v>35142.0</v>
      </c>
      <c r="E38" s="15">
        <v>34938.0</v>
      </c>
      <c r="F38" s="15">
        <v>31806.0</v>
      </c>
      <c r="G38" s="15">
        <v>31432.0</v>
      </c>
      <c r="H38" s="23">
        <v>0.9050708553867167</v>
      </c>
      <c r="I38" s="23">
        <v>0.8944283193899039</v>
      </c>
    </row>
    <row r="39" ht="13.5" customHeight="1">
      <c r="A39" s="12">
        <v>2024.0</v>
      </c>
      <c r="B39" s="12" t="s">
        <v>38</v>
      </c>
      <c r="C39" s="12" t="s">
        <v>31</v>
      </c>
      <c r="D39" s="15">
        <v>20668.0</v>
      </c>
      <c r="E39" s="15">
        <v>20579.0</v>
      </c>
      <c r="F39" s="15">
        <v>18467.0</v>
      </c>
      <c r="G39" s="15">
        <v>18202.0</v>
      </c>
      <c r="H39" s="23">
        <v>0.8935068705244823</v>
      </c>
      <c r="I39" s="23">
        <v>0.88068511708922</v>
      </c>
    </row>
    <row r="40" ht="13.5" customHeight="1">
      <c r="A40" s="12">
        <v>2024.0</v>
      </c>
      <c r="B40" s="12" t="s">
        <v>38</v>
      </c>
      <c r="C40" s="12" t="s">
        <v>34</v>
      </c>
      <c r="D40" s="15">
        <v>9694.0</v>
      </c>
      <c r="E40" s="15">
        <v>9649.0</v>
      </c>
      <c r="F40" s="15">
        <v>8241.0</v>
      </c>
      <c r="G40" s="15">
        <v>8123.0</v>
      </c>
      <c r="H40" s="23">
        <v>0.8501134722508769</v>
      </c>
      <c r="I40" s="23">
        <v>0.8379409944295441</v>
      </c>
    </row>
    <row r="41" ht="13.5" customHeight="1">
      <c r="A41" s="12">
        <v>2024.0</v>
      </c>
      <c r="B41" s="12" t="s">
        <v>45</v>
      </c>
      <c r="C41" s="12" t="s">
        <v>24</v>
      </c>
      <c r="D41" s="15">
        <v>1012.0</v>
      </c>
      <c r="E41" s="15">
        <v>1012.0</v>
      </c>
      <c r="F41" s="15">
        <v>941.0</v>
      </c>
      <c r="G41" s="15">
        <v>939.0</v>
      </c>
      <c r="H41" s="23">
        <v>0.9298418972332015</v>
      </c>
      <c r="I41" s="23">
        <v>0.9278656126482213</v>
      </c>
    </row>
    <row r="42" ht="13.5" customHeight="1">
      <c r="A42" s="12">
        <v>2024.0</v>
      </c>
      <c r="B42" s="12" t="s">
        <v>45</v>
      </c>
      <c r="C42" s="12" t="s">
        <v>31</v>
      </c>
      <c r="D42" s="15">
        <v>898.0</v>
      </c>
      <c r="E42" s="15">
        <v>898.0</v>
      </c>
      <c r="F42" s="15">
        <v>814.0</v>
      </c>
      <c r="G42" s="15">
        <v>809.0</v>
      </c>
      <c r="H42" s="23">
        <v>0.9064587973273942</v>
      </c>
      <c r="I42" s="23">
        <v>0.9008908685968819</v>
      </c>
    </row>
    <row r="43" ht="13.5" customHeight="1">
      <c r="A43" s="12">
        <v>2024.0</v>
      </c>
      <c r="B43" s="12" t="s">
        <v>45</v>
      </c>
      <c r="C43" s="12" t="s">
        <v>34</v>
      </c>
      <c r="D43" s="15">
        <v>326.0</v>
      </c>
      <c r="E43" s="15">
        <v>326.0</v>
      </c>
      <c r="F43" s="15">
        <v>288.0</v>
      </c>
      <c r="G43" s="15">
        <v>284.0</v>
      </c>
      <c r="H43" s="23">
        <v>0.8834355828220859</v>
      </c>
      <c r="I43" s="23">
        <v>0.8711656441717791</v>
      </c>
    </row>
    <row r="44" ht="13.5" customHeight="1">
      <c r="A44" s="12">
        <v>2024.0</v>
      </c>
      <c r="B44" s="12" t="s">
        <v>48</v>
      </c>
      <c r="C44" s="12" t="s">
        <v>24</v>
      </c>
      <c r="D44" s="15">
        <v>34817.0</v>
      </c>
      <c r="E44" s="15">
        <v>34608.0</v>
      </c>
      <c r="F44" s="15">
        <v>32178.0</v>
      </c>
      <c r="G44" s="15">
        <v>31892.0</v>
      </c>
      <c r="H44" s="23">
        <v>0.9242036935979551</v>
      </c>
      <c r="I44" s="23">
        <v>0.9159893155642359</v>
      </c>
    </row>
    <row r="45" ht="13.5" customHeight="1">
      <c r="A45" s="12">
        <v>2024.0</v>
      </c>
      <c r="B45" s="12" t="s">
        <v>48</v>
      </c>
      <c r="C45" s="12" t="s">
        <v>31</v>
      </c>
      <c r="D45" s="15">
        <v>21308.0</v>
      </c>
      <c r="E45" s="15">
        <v>21214.0</v>
      </c>
      <c r="F45" s="15">
        <v>19625.0</v>
      </c>
      <c r="G45" s="15">
        <v>19402.0</v>
      </c>
      <c r="H45" s="23">
        <v>0.9210155810024404</v>
      </c>
      <c r="I45" s="23">
        <v>0.9105500281584381</v>
      </c>
    </row>
    <row r="46" ht="13.5" customHeight="1">
      <c r="A46" s="12">
        <v>2024.0</v>
      </c>
      <c r="B46" s="12" t="s">
        <v>48</v>
      </c>
      <c r="C46" s="12" t="s">
        <v>34</v>
      </c>
      <c r="D46" s="57">
        <v>10314.0</v>
      </c>
      <c r="E46" s="57">
        <v>10276.0</v>
      </c>
      <c r="F46" s="57">
        <v>9219.0</v>
      </c>
      <c r="G46" s="57">
        <v>9098.0</v>
      </c>
      <c r="H46" s="58">
        <v>0.894</v>
      </c>
      <c r="I46" s="58">
        <v>0.882</v>
      </c>
      <c r="J46" s="59"/>
    </row>
    <row r="47" ht="13.5" customHeight="1">
      <c r="A47" s="49">
        <v>2024.0</v>
      </c>
      <c r="B47" s="49" t="s">
        <v>49</v>
      </c>
      <c r="C47" s="49" t="s">
        <v>59</v>
      </c>
      <c r="D47" s="60">
        <v>142884.0</v>
      </c>
      <c r="E47" s="60">
        <v>142141.0</v>
      </c>
      <c r="F47" s="60">
        <v>128928.0</v>
      </c>
      <c r="G47" s="60">
        <v>127494.0</v>
      </c>
      <c r="H47" s="61">
        <v>0.902</v>
      </c>
      <c r="I47" s="61">
        <v>0.892</v>
      </c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3.5" customHeight="1">
      <c r="A48" s="7"/>
      <c r="B48" s="7"/>
      <c r="C48" s="7"/>
      <c r="D48" s="59"/>
      <c r="E48" s="59"/>
      <c r="F48" s="59"/>
      <c r="G48" s="59"/>
      <c r="H48" s="59"/>
      <c r="I48" s="59"/>
    </row>
    <row r="49" ht="13.5" customHeight="1">
      <c r="A49" s="7"/>
      <c r="B49" s="54"/>
      <c r="C49" s="7"/>
      <c r="D49" s="59"/>
      <c r="E49" s="59"/>
      <c r="F49" s="59"/>
      <c r="G49" s="59"/>
      <c r="H49" s="59"/>
      <c r="I49" s="59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I1"/>
    <mergeCell ref="A2:I2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25.0"/>
    <col customWidth="1" min="4" max="5" width="20.0"/>
    <col customWidth="1" min="6" max="7" width="18.0"/>
    <col customWidth="1" min="8" max="8" width="34.0"/>
    <col customWidth="1" min="9" max="27" width="8.63"/>
  </cols>
  <sheetData>
    <row r="1" ht="13.5" customHeight="1">
      <c r="A1" s="1" t="s">
        <v>33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6" t="s">
        <v>36</v>
      </c>
      <c r="B2" s="3"/>
      <c r="C2" s="3"/>
      <c r="D2" s="3"/>
      <c r="E2" s="3"/>
      <c r="F2" s="3"/>
      <c r="G2" s="3"/>
      <c r="H2" s="4"/>
    </row>
    <row r="3" ht="13.5" customHeight="1"/>
    <row r="4" ht="13.5" customHeight="1">
      <c r="A4" s="8" t="s">
        <v>5</v>
      </c>
      <c r="B4" s="8" t="s">
        <v>6</v>
      </c>
      <c r="C4" s="22" t="s">
        <v>39</v>
      </c>
      <c r="D4" s="8" t="s">
        <v>40</v>
      </c>
      <c r="E4" s="8" t="s">
        <v>41</v>
      </c>
      <c r="F4" s="8" t="s">
        <v>42</v>
      </c>
      <c r="G4" s="8" t="s">
        <v>30</v>
      </c>
      <c r="H4" s="8" t="s">
        <v>43</v>
      </c>
    </row>
    <row r="5">
      <c r="A5" s="12">
        <v>2020.0</v>
      </c>
      <c r="B5" s="13" t="s">
        <v>22</v>
      </c>
      <c r="C5" s="26" t="s">
        <v>35</v>
      </c>
      <c r="D5" s="19">
        <v>4926.0</v>
      </c>
      <c r="E5" s="21" t="s">
        <v>37</v>
      </c>
      <c r="F5" s="19">
        <v>2682.0</v>
      </c>
      <c r="G5" s="19">
        <v>7608.0</v>
      </c>
      <c r="H5" s="20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3.5" customHeight="1">
      <c r="A6" s="27">
        <v>2020.0</v>
      </c>
      <c r="B6" s="27" t="s">
        <v>38</v>
      </c>
      <c r="C6" s="28" t="s">
        <v>44</v>
      </c>
      <c r="D6" s="29">
        <v>56508.0</v>
      </c>
      <c r="E6" s="29" t="s">
        <v>46</v>
      </c>
      <c r="F6" s="30">
        <v>18935.0</v>
      </c>
      <c r="G6" s="30">
        <v>75247.0</v>
      </c>
      <c r="H6" s="31" t="s">
        <v>47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ht="13.5" customHeight="1">
      <c r="A7" s="12">
        <v>2020.0</v>
      </c>
      <c r="B7" s="12" t="s">
        <v>45</v>
      </c>
      <c r="C7" s="33" t="s">
        <v>44</v>
      </c>
      <c r="D7" s="15">
        <v>8454.0</v>
      </c>
      <c r="E7" s="15" t="s">
        <v>46</v>
      </c>
      <c r="F7" s="34">
        <v>2738.0</v>
      </c>
      <c r="G7" s="34">
        <v>11258.0</v>
      </c>
      <c r="H7" s="35" t="s">
        <v>47</v>
      </c>
    </row>
    <row r="8" ht="13.5" customHeight="1">
      <c r="A8" s="27">
        <v>2020.0</v>
      </c>
      <c r="B8" s="27" t="s">
        <v>48</v>
      </c>
      <c r="C8" s="28" t="s">
        <v>44</v>
      </c>
      <c r="D8" s="29">
        <v>52247.0</v>
      </c>
      <c r="E8" s="29" t="s">
        <v>46</v>
      </c>
      <c r="F8" s="30">
        <v>20269.0</v>
      </c>
      <c r="G8" s="30">
        <v>72516.0</v>
      </c>
      <c r="H8" s="31" t="s">
        <v>47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ht="13.5" customHeight="1">
      <c r="A9" s="36">
        <v>2020.0</v>
      </c>
      <c r="B9" s="36" t="s">
        <v>49</v>
      </c>
      <c r="C9" s="37" t="s">
        <v>50</v>
      </c>
      <c r="D9" s="38">
        <v>117079.0</v>
      </c>
      <c r="E9" s="39" t="s">
        <v>46</v>
      </c>
      <c r="F9" s="38">
        <v>41942.0</v>
      </c>
      <c r="G9" s="38">
        <v>159021.0</v>
      </c>
      <c r="H9" s="40" t="s">
        <v>51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ht="13.5" customHeight="1">
      <c r="A10" s="43"/>
      <c r="B10" s="43"/>
      <c r="C10" s="45"/>
      <c r="D10" s="43"/>
      <c r="E10" s="43"/>
      <c r="F10" s="43"/>
      <c r="G10" s="43"/>
      <c r="H10" s="43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ht="13.5" customHeight="1">
      <c r="A11" s="12">
        <v>2022.0</v>
      </c>
      <c r="B11" s="12" t="s">
        <v>52</v>
      </c>
      <c r="C11" s="33" t="s">
        <v>44</v>
      </c>
      <c r="D11" s="15">
        <v>3296.0</v>
      </c>
      <c r="E11" s="15" t="s">
        <v>46</v>
      </c>
      <c r="F11" s="15">
        <v>1449.0</v>
      </c>
      <c r="G11" s="15">
        <v>4745.0</v>
      </c>
      <c r="H11" s="12" t="s">
        <v>53</v>
      </c>
    </row>
    <row r="12" ht="13.5" customHeight="1">
      <c r="A12" s="12">
        <v>2022.0</v>
      </c>
      <c r="B12" s="12" t="s">
        <v>38</v>
      </c>
      <c r="C12" s="33" t="s">
        <v>44</v>
      </c>
      <c r="D12" s="15">
        <v>28362.0</v>
      </c>
      <c r="E12" s="15" t="s">
        <v>46</v>
      </c>
      <c r="F12" s="15">
        <v>6995.0</v>
      </c>
      <c r="G12" s="15">
        <v>35357.0</v>
      </c>
      <c r="H12" s="12" t="s">
        <v>54</v>
      </c>
    </row>
    <row r="13" ht="13.5" customHeight="1">
      <c r="A13" s="12">
        <v>2022.0</v>
      </c>
      <c r="B13" s="12" t="s">
        <v>45</v>
      </c>
      <c r="C13" s="33" t="s">
        <v>44</v>
      </c>
      <c r="D13" s="15">
        <v>726.0</v>
      </c>
      <c r="E13" s="15" t="s">
        <v>46</v>
      </c>
      <c r="F13" s="15">
        <v>256.0</v>
      </c>
      <c r="G13" s="15">
        <v>982.0</v>
      </c>
      <c r="H13" s="12" t="s">
        <v>55</v>
      </c>
    </row>
    <row r="14" ht="13.5" customHeight="1">
      <c r="A14" s="12">
        <v>2022.0</v>
      </c>
      <c r="B14" s="12" t="s">
        <v>48</v>
      </c>
      <c r="C14" s="33" t="s">
        <v>44</v>
      </c>
      <c r="D14" s="15">
        <v>28352.0</v>
      </c>
      <c r="E14" s="15" t="s">
        <v>46</v>
      </c>
      <c r="F14" s="15">
        <v>7682.0</v>
      </c>
      <c r="G14" s="15">
        <v>36034.0</v>
      </c>
      <c r="H14" s="12" t="s">
        <v>56</v>
      </c>
    </row>
    <row r="15" ht="13.5" customHeight="1">
      <c r="A15" s="12">
        <v>2022.0</v>
      </c>
      <c r="B15" s="12" t="s">
        <v>49</v>
      </c>
      <c r="C15" s="33" t="s">
        <v>44</v>
      </c>
      <c r="D15" s="15">
        <v>60736.0</v>
      </c>
      <c r="E15" s="15" t="s">
        <v>46</v>
      </c>
      <c r="F15" s="15">
        <v>16382.0</v>
      </c>
      <c r="G15" s="15">
        <v>77118.0</v>
      </c>
      <c r="H15" s="12" t="s">
        <v>57</v>
      </c>
    </row>
    <row r="16" ht="13.5" customHeight="1">
      <c r="A16" s="43"/>
      <c r="B16" s="43"/>
      <c r="C16" s="45"/>
      <c r="D16" s="43"/>
      <c r="E16" s="43"/>
      <c r="F16" s="43"/>
      <c r="G16" s="43"/>
      <c r="H16" s="43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ht="13.5" customHeight="1">
      <c r="A17" s="12">
        <v>2024.0</v>
      </c>
      <c r="B17" s="12" t="s">
        <v>52</v>
      </c>
      <c r="C17" s="33" t="s">
        <v>44</v>
      </c>
      <c r="D17" s="15">
        <v>4022.0</v>
      </c>
      <c r="E17" s="15" t="s">
        <v>58</v>
      </c>
      <c r="F17" s="15">
        <v>3130.0</v>
      </c>
      <c r="G17" s="15">
        <v>7152.0</v>
      </c>
      <c r="H17" s="12" t="s">
        <v>53</v>
      </c>
    </row>
    <row r="18" ht="13.5" customHeight="1">
      <c r="A18" s="12">
        <v>2024.0</v>
      </c>
      <c r="B18" s="12" t="s">
        <v>38</v>
      </c>
      <c r="C18" s="33" t="s">
        <v>44</v>
      </c>
      <c r="D18" s="15">
        <v>37662.0</v>
      </c>
      <c r="E18" s="15" t="s">
        <v>58</v>
      </c>
      <c r="F18" s="15">
        <v>19173.0</v>
      </c>
      <c r="G18" s="15">
        <v>56835.0</v>
      </c>
      <c r="H18" s="12" t="s">
        <v>54</v>
      </c>
    </row>
    <row r="19" ht="13.5" customHeight="1">
      <c r="A19" s="12">
        <v>2024.0</v>
      </c>
      <c r="B19" s="12" t="s">
        <v>45</v>
      </c>
      <c r="C19" s="33" t="s">
        <v>44</v>
      </c>
      <c r="D19" s="15">
        <v>1087.0</v>
      </c>
      <c r="E19" s="15" t="s">
        <v>58</v>
      </c>
      <c r="F19" s="15">
        <v>908.0</v>
      </c>
      <c r="G19" s="15">
        <v>1995.0</v>
      </c>
      <c r="H19" s="12" t="s">
        <v>55</v>
      </c>
    </row>
    <row r="20" ht="13.5" customHeight="1">
      <c r="A20" s="12">
        <v>2024.0</v>
      </c>
      <c r="B20" s="12" t="s">
        <v>48</v>
      </c>
      <c r="C20" s="33" t="s">
        <v>44</v>
      </c>
      <c r="D20" s="15">
        <v>38138.0</v>
      </c>
      <c r="E20" s="15" t="s">
        <v>58</v>
      </c>
      <c r="F20" s="15">
        <v>21349.0</v>
      </c>
      <c r="G20" s="15">
        <v>59487.0</v>
      </c>
      <c r="H20" s="12" t="s">
        <v>56</v>
      </c>
    </row>
    <row r="21" ht="13.5" customHeight="1">
      <c r="A21" s="12">
        <v>2024.0</v>
      </c>
      <c r="B21" s="12" t="s">
        <v>49</v>
      </c>
      <c r="C21" s="33" t="s">
        <v>44</v>
      </c>
      <c r="D21" s="15">
        <v>80909.0</v>
      </c>
      <c r="E21" s="15" t="s">
        <v>58</v>
      </c>
      <c r="F21" s="15">
        <v>44560.0</v>
      </c>
      <c r="G21" s="15">
        <v>125469.0</v>
      </c>
      <c r="H21" s="12" t="s">
        <v>57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8.0"/>
    <col customWidth="1" min="4" max="4" width="38.0"/>
    <col customWidth="1" min="5" max="26" width="8.63"/>
  </cols>
  <sheetData>
    <row r="1" ht="13.5" customHeight="1">
      <c r="A1" s="1" t="s">
        <v>60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/>
    <row r="3" ht="13.5" customHeight="1">
      <c r="A3" s="9" t="s">
        <v>61</v>
      </c>
      <c r="B3" s="9" t="s">
        <v>62</v>
      </c>
      <c r="C3" s="9" t="s">
        <v>63</v>
      </c>
      <c r="D3" s="9" t="s">
        <v>64</v>
      </c>
    </row>
    <row r="4" ht="13.5" customHeight="1">
      <c r="A4" s="55" t="s">
        <v>65</v>
      </c>
      <c r="B4" s="55" t="s">
        <v>66</v>
      </c>
      <c r="C4" s="55" t="s">
        <v>66</v>
      </c>
      <c r="D4" s="55" t="s">
        <v>67</v>
      </c>
    </row>
    <row r="5" ht="13.5" customHeight="1">
      <c r="A5" s="55" t="s">
        <v>68</v>
      </c>
      <c r="B5" s="55" t="s">
        <v>66</v>
      </c>
      <c r="C5" s="55" t="s">
        <v>66</v>
      </c>
      <c r="D5" s="55" t="s">
        <v>69</v>
      </c>
    </row>
    <row r="6" ht="13.5" customHeight="1">
      <c r="A6" s="55" t="s">
        <v>70</v>
      </c>
      <c r="B6" s="55" t="s">
        <v>66</v>
      </c>
      <c r="C6" s="55" t="s">
        <v>66</v>
      </c>
      <c r="D6" s="55" t="s">
        <v>67</v>
      </c>
    </row>
    <row r="7" ht="13.5" customHeight="1">
      <c r="A7" s="55" t="s">
        <v>71</v>
      </c>
      <c r="B7" s="55" t="s">
        <v>72</v>
      </c>
      <c r="C7" s="55" t="s">
        <v>66</v>
      </c>
      <c r="D7" s="55" t="s">
        <v>73</v>
      </c>
    </row>
    <row r="8" ht="13.5" customHeight="1">
      <c r="A8" s="55" t="s">
        <v>74</v>
      </c>
      <c r="B8" s="55" t="s">
        <v>72</v>
      </c>
      <c r="C8" s="55" t="s">
        <v>66</v>
      </c>
      <c r="D8" s="55" t="s">
        <v>75</v>
      </c>
    </row>
    <row r="9" ht="13.5" customHeight="1">
      <c r="A9" s="55" t="s">
        <v>76</v>
      </c>
      <c r="B9" s="55" t="s">
        <v>77</v>
      </c>
      <c r="C9" s="55" t="s">
        <v>66</v>
      </c>
      <c r="D9" s="55" t="s">
        <v>78</v>
      </c>
    </row>
    <row r="10" ht="13.5" customHeight="1">
      <c r="A10" s="55" t="s">
        <v>79</v>
      </c>
      <c r="B10" s="55" t="s">
        <v>66</v>
      </c>
      <c r="C10" s="55" t="s">
        <v>72</v>
      </c>
      <c r="D10" s="55" t="s">
        <v>80</v>
      </c>
    </row>
    <row r="11" ht="13.5" customHeight="1">
      <c r="A11" s="55" t="s">
        <v>81</v>
      </c>
      <c r="B11" s="55" t="s">
        <v>82</v>
      </c>
      <c r="C11" s="55" t="s">
        <v>83</v>
      </c>
      <c r="D11" s="55" t="s">
        <v>84</v>
      </c>
    </row>
    <row r="12" ht="13.5" customHeight="1">
      <c r="A12" s="55" t="s">
        <v>85</v>
      </c>
      <c r="B12" s="55" t="s">
        <v>86</v>
      </c>
      <c r="C12" s="55" t="s">
        <v>87</v>
      </c>
      <c r="D12" s="55" t="s">
        <v>88</v>
      </c>
    </row>
    <row r="13" ht="13.5" customHeight="1"/>
    <row r="14" ht="13.5" customHeight="1">
      <c r="A14" s="56" t="s">
        <v>89</v>
      </c>
      <c r="B14" s="3"/>
      <c r="C14" s="3"/>
      <c r="D14" s="4"/>
    </row>
    <row r="15" ht="13.5" customHeight="1">
      <c r="A15" s="54" t="s">
        <v>90</v>
      </c>
      <c r="B15" s="10">
        <v>11.0</v>
      </c>
    </row>
    <row r="16" ht="13.5" customHeight="1">
      <c r="A16" s="54" t="s">
        <v>91</v>
      </c>
      <c r="B16" s="10" t="s">
        <v>66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D1"/>
    <mergeCell ref="A14:D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