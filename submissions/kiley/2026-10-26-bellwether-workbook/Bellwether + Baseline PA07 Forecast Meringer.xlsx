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Summary" sheetId="2" r:id="rId6"/>
    <sheet state="visible" name="Backtest 2022" sheetId="3" r:id="rId7"/>
    <sheet state="visible" name="Backtest 2024" sheetId="4" r:id="rId8"/>
    <sheet state="visible" name="Forecast 2026" sheetId="5" r:id="rId9"/>
    <sheet state="visible" name="Precinct Data" sheetId="6" r:id="rId10"/>
    <sheet state="visible" name="Baseline Rows" sheetId="7" r:id="rId11"/>
    <sheet state="visible" name="District" sheetId="8" r:id="rId12"/>
    <sheet state="visible" name="Reference v0.1" sheetId="9" r:id="rId13"/>
  </sheets>
  <definedNames/>
  <calcPr/>
</workbook>
</file>

<file path=xl/sharedStrings.xml><?xml version="1.0" encoding="utf-8"?>
<sst xmlns="http://schemas.openxmlformats.org/spreadsheetml/2006/main" count="3843" uniqueCount="994">
  <si>
    <t>PA-07 2026 Forecast: Baseline vs. Baseline + Bellwether</t>
  </si>
  <si>
    <t>Kiley Meringer · PSTD 400 · October 2026</t>
  </si>
  <si>
    <t>2024 backtest: 10 bellwethers chosen from 2020 and 2022 results</t>
  </si>
  <si>
    <t>Summary: baseline vs. baseline + bellwether</t>
  </si>
  <si>
    <t>2022 backtest: 10 bellwethers chosen from 2018 and 2020 results</t>
  </si>
  <si>
    <t>What this workbook does</t>
  </si>
  <si>
    <t>It compares two ways of forecasting the district’s Democratic share of the two-party House vote, and backtests both on 2022 and 2024:</t>
  </si>
  <si>
    <t>Baseline: the group’s precinct random forest (v11, Forecast A: full random forest), summed over all precincts.</t>
  </si>
  <si>
    <t>2024 results were not used to choose these precincts. The baseline forecast for 2024 comes from the v11 backtest forest trained only on earlier elections.</t>
  </si>
  <si>
    <t>Democratic (Brooks) share of the two-party House vote. Misses are estimate minus actual, in points.</t>
  </si>
  <si>
    <t>2022 results were not used to choose these precincts. The baseline forecast for 2022 comes from the v11 backtest forest trained only on earlier elections.</t>
  </si>
  <si>
    <t>Bellwether reading: the same model’s prediction for 10 bellwether precincts only, minus the set’s usual lean (offset).</t>
  </si>
  <si>
    <t>Baseline + bellwether: a weighted average of the two. The weight is an input on the Summary sheet (default 50/50).</t>
  </si>
  <si>
    <t>Why v11 is the baseline here</t>
  </si>
  <si>
    <t>Weight on the baseline (input; 1 = baseline only, 0 = bellwethers only)</t>
  </si>
  <si>
    <t>v11 is the only group model with honest forward backtests for both 2022 and 2024: each backtest forest was trained only on elections before the target, and turnout was projected rather than taken from actual results. The earlier v0.1 baseline (48.7%) has a 2024 backtest only, built with actual turnout; it is shown for reference on the Reference v0.1 sheet.</t>
  </si>
  <si>
    <t>Rank</t>
  </si>
  <si>
    <t>Bellwether selection rule (same for every election; applied by formula in Precinct Data)</t>
  </si>
  <si>
    <t>1. Use the two most recent general elections before the target: 2018 and 2020 for the 2022 backtest; 2020 and 2022 for 2024; 2022 and 2024 for the 2026 forecast.</t>
  </si>
  <si>
    <t>2. Eligible: at least 300 two-party House votes in both of those elections; the precinct still exists on the 2026 lines; and it has a comparable result in the target backtest.</t>
  </si>
  <si>
    <t>3. Gap = precinct Democratic two-party share minus the district’s (current map), in points. Score = the larger of the two gaps, ignoring sign.</t>
  </si>
  <si>
    <t>4. Bellwethers = the 10 lowest scores (ties go to more votes). No precinct is chosen by hand, and the target election’s result is never used to choose.</t>
  </si>
  <si>
    <t>5. Offset = the set’s average gap over the two selection elections. Bellwether reading = baseline’s predicted share for the set − offset.</t>
  </si>
  <si>
    <t>Scoring</t>
  </si>
  <si>
    <t>Misses are estimate minus actual, in points, over the precincts with a comparable result (the same rows v11 uses), so the baseline and the bellwether reading are scored against the same benchmark.</t>
  </si>
  <si>
    <t>Sheets</t>
  </si>
  <si>
    <t>Summary: weight input, backtest results, 2026 forecast and a weight sensitivity table.</t>
  </si>
  <si>
    <t>Backtest 2022 / Backtest 2024 / Forecast 2026: the 10 bellwethers chosen for each and the full calculation.</t>
  </si>
  <si>
    <t>Data row</t>
  </si>
  <si>
    <t>Precinct Data: election history, gaps, eligibility and ranks for all 378 in-district precincts.</t>
  </si>
  <si>
    <t>Precinct</t>
  </si>
  <si>
    <t>Baseline Rows: v11 predicted and actual votes for every precinct (2022 and 2024 backtests, 2026 forecast).</t>
  </si>
  <si>
    <t>County</t>
  </si>
  <si>
    <t>District: district shares used as the benchmark for gaps.</t>
  </si>
  <si>
    <t>Gap 2018</t>
  </si>
  <si>
    <t>Reference v0.1: the earlier baseline’s results, for comparison.</t>
  </si>
  <si>
    <t>Gap 2020</t>
  </si>
  <si>
    <t>Sources: data citations.</t>
  </si>
  <si>
    <t>D votes 2018</t>
  </si>
  <si>
    <t>Two-party votes 2018</t>
  </si>
  <si>
    <t>D votes 2020</t>
  </si>
  <si>
    <t>Two-party votes 2020</t>
  </si>
  <si>
    <t>Baseline pred D</t>
  </si>
  <si>
    <t>Baseline pred R</t>
  </si>
  <si>
    <t>Baseline pred D share</t>
  </si>
  <si>
    <t>Actual D</t>
  </si>
  <si>
    <t>Actual R</t>
  </si>
  <si>
    <t>Election</t>
  </si>
  <si>
    <t>Actual D share</t>
  </si>
  <si>
    <t>Actual</t>
  </si>
  <si>
    <t>Baseline</t>
  </si>
  <si>
    <t>Bellwether reading</t>
  </si>
  <si>
    <t>Gap 2022</t>
  </si>
  <si>
    <t>Baseline + bellwether</t>
  </si>
  <si>
    <t>Miss: baseline</t>
  </si>
  <si>
    <t>D votes 2022</t>
  </si>
  <si>
    <t>Miss: bellwether</t>
  </si>
  <si>
    <t>Two-party votes 2022</t>
  </si>
  <si>
    <t>Miss: combined</t>
  </si>
  <si>
    <t>Winner called correctly by combined?</t>
  </si>
  <si>
    <t>2022 backtest</t>
  </si>
  <si>
    <t>2024 backtest</t>
  </si>
  <si>
    <t>2026 forecast: 10 bellwethers chosen from 2022 and 2024 results</t>
  </si>
  <si>
    <t>Bellwether reading = baseline’s predicted share for these 10 precincts − the set’s usual lean (offset).</t>
  </si>
  <si>
    <t>Gap 2024</t>
  </si>
  <si>
    <t>D votes 2024</t>
  </si>
  <si>
    <t>Two-party votes 2024</t>
  </si>
  <si>
    <t>Baseline Brooks</t>
  </si>
  <si>
    <t>Baseline Mackenzie</t>
  </si>
  <si>
    <t>Average absolute miss, 2022 and 2024</t>
  </si>
  <si>
    <t>2026 forecast</t>
  </si>
  <si>
    <t>2026 margin, Brooks minus Mackenzie (pts)</t>
  </si>
  <si>
    <t>Weight sensitivity (fixed weights, independent of the input above)</t>
  </si>
  <si>
    <t>Weight on baseline</t>
  </si>
  <si>
    <t>2022 miss</t>
  </si>
  <si>
    <t>2024 miss</t>
  </si>
  <si>
    <t>Average absolute miss</t>
  </si>
  <si>
    <t>2026 Brooks share</t>
  </si>
  <si>
    <t>Reading the results</t>
  </si>
  <si>
    <t>In both backtests the baseline alone was closest to the actual result; adding the bellwether reading moved the estimate further away. The sensitivity table shows the miss growing as weight shifts to the bellwethers.</t>
  </si>
  <si>
    <t>The bellwethers chosen from earlier elections drifted from the district in the target year (Backtest sheets, “did the bellwethers stay bellwethers?”), and the baseline’s error on those 10 precincts did not cancel that drift.</t>
  </si>
  <si>
    <t>For 2026 the bellwether reading (about 50.0%) is more Democratic than the baseline (about 49.5%), so any weight on the bellwethers moves the forecast toward Brooks. The backtests do not support doing so; the bellwethers are better used as an election-night check.</t>
  </si>
  <si>
    <t>Two backtests are a small sample. Treat these as evidence, not proof.</t>
  </si>
  <si>
    <t>Set combined</t>
  </si>
  <si>
    <t>Set gap, 2018 (pts)</t>
  </si>
  <si>
    <t>Set gap, 2020 (pts)</t>
  </si>
  <si>
    <t>Offset: average of the two gaps (pts)</t>
  </si>
  <si>
    <t>Baseline prediction for the set</t>
  </si>
  <si>
    <t>Bellwether reading of the district (set prediction − offset)</t>
  </si>
  <si>
    <t>Set gap, 2022 (pts)</t>
  </si>
  <si>
    <t>Baseline district prediction (all precincts)</t>
  </si>
  <si>
    <t>Weight on baseline (from Summary)</t>
  </si>
  <si>
    <t>Actual district result (comparable precincts)</t>
  </si>
  <si>
    <t>Precinct key</t>
  </si>
  <si>
    <t>Municipality</t>
  </si>
  <si>
    <t>DOS code</t>
  </si>
  <si>
    <t>Exists on 2026 lines</t>
  </si>
  <si>
    <t>Name in 2022 backtest</t>
  </si>
  <si>
    <t>Name in 2024 backtest</t>
  </si>
  <si>
    <t>Name in 2026 forecast</t>
  </si>
  <si>
    <t>House D 2018</t>
  </si>
  <si>
    <t>House R 2018</t>
  </si>
  <si>
    <t>House D 2020</t>
  </si>
  <si>
    <t>House R 2020</t>
  </si>
  <si>
    <t>House D 2022</t>
  </si>
  <si>
    <t>House R 2022</t>
  </si>
  <si>
    <t>House D 2024</t>
  </si>
  <si>
    <t>House R 2024</t>
  </si>
  <si>
    <t>Votes 2018</t>
  </si>
  <si>
    <t>Votes 2020</t>
  </si>
  <si>
    <t>Votes 2022</t>
  </si>
  <si>
    <t>Votes 2024</t>
  </si>
  <si>
    <t>Score for 2022 (2018+2020)</t>
  </si>
  <si>
    <t>Miss: baseline (pts)</t>
  </si>
  <si>
    <t>Rank for 2022</t>
  </si>
  <si>
    <t>Score for 2024 (2020+2022)</t>
  </si>
  <si>
    <t>Rank for 2024</t>
  </si>
  <si>
    <t>Score for 2026 (2022+2024)</t>
  </si>
  <si>
    <t>Rank for 2026</t>
  </si>
  <si>
    <t>Carbon | BANKS | 10</t>
  </si>
  <si>
    <t>Carbon</t>
  </si>
  <si>
    <t>BANKS</t>
  </si>
  <si>
    <t>Yes</t>
  </si>
  <si>
    <t>BANKS TOWNSHIP</t>
  </si>
  <si>
    <t>Miss: bellwether reading (pts)</t>
  </si>
  <si>
    <t>Set gap, 2024 (pts)</t>
  </si>
  <si>
    <t>Miss: baseline + bellwether (pts)</t>
  </si>
  <si>
    <t>Set actual vs. district actual (pts): did the bellwethers stay bellwethers?</t>
  </si>
  <si>
    <t>Baseline miss on the set itself (pts)</t>
  </si>
  <si>
    <t>Carbon | BEAVER MEADOWS | 40</t>
  </si>
  <si>
    <t>BEAVER MEADOWS</t>
  </si>
  <si>
    <t>BEAVER MEADOWS BOROUGH</t>
  </si>
  <si>
    <t>Carbon | BOWMANSTOWN | 50</t>
  </si>
  <si>
    <t>BOWMANSTOWN</t>
  </si>
  <si>
    <t>BOWMANSTOWN BOROUGH</t>
  </si>
  <si>
    <t>2022 pred D</t>
  </si>
  <si>
    <t>2022 pred R</t>
  </si>
  <si>
    <t>2022 actual D</t>
  </si>
  <si>
    <t>2022 actual R</t>
  </si>
  <si>
    <t>2022 comparable</t>
  </si>
  <si>
    <t>2024 pred D</t>
  </si>
  <si>
    <t>2024 pred R</t>
  </si>
  <si>
    <t>2024 actual D</t>
  </si>
  <si>
    <t>2024 actual R</t>
  </si>
  <si>
    <t>2024 comparable</t>
  </si>
  <si>
    <t>2026 Brooks</t>
  </si>
  <si>
    <t>2026 Mackenzie</t>
  </si>
  <si>
    <t>District benchmark: Democratic share of the two-party House vote, current district lines</t>
  </si>
  <si>
    <t>Precinct Data share (all in-district precincts)</t>
  </si>
  <si>
    <t>Note</t>
  </si>
  <si>
    <t>2018 General</t>
  </si>
  <si>
    <t>2018 and 2020 include Carbon’s results from the old PA-09 race, as in v11’s current-map approach.</t>
  </si>
  <si>
    <t>2020 General</t>
  </si>
  <si>
    <t>EAST PENN TOWNSHIP</t>
  </si>
  <si>
    <t>EAST PENN TOWNSHIP-NORTH</t>
  </si>
  <si>
    <t>2022 General</t>
  </si>
  <si>
    <t>EAST PENN TOWNSHIP-SOUTH</t>
  </si>
  <si>
    <t>Matches certified district totals.</t>
  </si>
  <si>
    <t>2024 General</t>
  </si>
  <si>
    <t>EAST SIDE BOROUGH</t>
  </si>
  <si>
    <t>FRANKLIN TOWNSHIP</t>
  </si>
  <si>
    <t>FRANKLIN TOWNSHIP-HARRITY</t>
  </si>
  <si>
    <t>FRANKLIN TOWNSHIP-IND DIST</t>
  </si>
  <si>
    <t>Carbon | EAST PENN | 60</t>
  </si>
  <si>
    <t>EAST PENN</t>
  </si>
  <si>
    <t>FRANKLIN TOWNSHIP-LONG RUN</t>
  </si>
  <si>
    <t>JIM THORPE BOROUGH</t>
  </si>
  <si>
    <t>JIM THORPE BOROUGH-1ST</t>
  </si>
  <si>
    <t>JIM THORPE BOROUGH-2ND</t>
  </si>
  <si>
    <t>JIM THORPE BOROUGH-3RD</t>
  </si>
  <si>
    <t>Earlier baseline (v0.1, Oct. 4) for reference</t>
  </si>
  <si>
    <t>Measure</t>
  </si>
  <si>
    <t>v0.1 baseline</t>
  </si>
  <si>
    <t>Bellwether reading on v0.1</t>
  </si>
  <si>
    <t>JIM THORPE BOROUGH-4TH</t>
  </si>
  <si>
    <t>2024 backtest miss (pts)</t>
  </si>
  <si>
    <t>v0.1 counted 2024 votes with actual 2024 turnout; bellwethers chosen from 2022 only, offset-adjusted.</t>
  </si>
  <si>
    <t>2022 backtest miss (pts)</t>
  </si>
  <si>
    <t>JIM THORPE BOROUGH-5TH</t>
  </si>
  <si>
    <t>v0.1 has no 2022 backtest.</t>
  </si>
  <si>
    <t>2026 forecast, Brooks share</t>
  </si>
  <si>
    <t>v0.1 converts shares to votes with 2022 turnout; the gap to the bellwether reading is mostly that turnout assumption.</t>
  </si>
  <si>
    <t>Values are hardcoded from PA07_2026_Forecast_Precinct.xlsx (v0.1) and the earlier bellwether analysis.</t>
  </si>
  <si>
    <t>KIDDER TOWNSHIP</t>
  </si>
  <si>
    <t>KIDDER TOWNSHIP-NORTH</t>
  </si>
  <si>
    <t>KIDDER TOWNSHIP-SOUTH</t>
  </si>
  <si>
    <t>LANSFORD BOROUGH</t>
  </si>
  <si>
    <t>LANSFORD BOROUGH - EAST WARD</t>
  </si>
  <si>
    <t>LANSFORD BOROUGH-MIDDLE WARD</t>
  </si>
  <si>
    <t>LANSFORD BOROUGH-WEST WARD</t>
  </si>
  <si>
    <t>LAUSANNE TOWNSHIP</t>
  </si>
  <si>
    <t>LEHIGH TOWNSHIP</t>
  </si>
  <si>
    <t>LEHIGHTON BOROUGH</t>
  </si>
  <si>
    <t>LEHIGHTON BOROUGH-1ST</t>
  </si>
  <si>
    <t>LEHIGHTON BOROUGH-2ND</t>
  </si>
  <si>
    <t>LEHIGHTON BOROUGH-3RD</t>
  </si>
  <si>
    <t>LOWER TOWAMENSING TOWNSHIP</t>
  </si>
  <si>
    <t>LOWER TOWAMENSING TWP.-NORTH</t>
  </si>
  <si>
    <t>Carbon | EAST PENN | 65</t>
  </si>
  <si>
    <t>LOWER TOWAMENSING TWP.-SOUTH</t>
  </si>
  <si>
    <t>MAHONING TOWNSHIP</t>
  </si>
  <si>
    <t>MAHONING TOWNSHIP - NEW MAHONING</t>
  </si>
  <si>
    <t>MAHONING TOWNSHIP - PACKERTON/JAMESTOWN</t>
  </si>
  <si>
    <t>MAHONING TOWNSHIP-MAHONING</t>
  </si>
  <si>
    <t>NESQUEHONING BOROUGH</t>
  </si>
  <si>
    <t>NESQUEHONING BOROUGH-EAST</t>
  </si>
  <si>
    <t>NESQUEHONING BOROUGH-WEST</t>
  </si>
  <si>
    <t>PACKER TOWNSHIP</t>
  </si>
  <si>
    <t>PALMERTON BOROUGH</t>
  </si>
  <si>
    <t>PALMERTON BOROUGH-EASTERN</t>
  </si>
  <si>
    <t>PALMERTON BOROUGH-MIDDLE</t>
  </si>
  <si>
    <t>PALMERTON BOROUGH-WESTERN</t>
  </si>
  <si>
    <t>PARRYVILLE BOROUGH</t>
  </si>
  <si>
    <t>PENN FOREST TOWNSHIP</t>
  </si>
  <si>
    <t>PENN FOREST TOWNSHIP-EAST</t>
  </si>
  <si>
    <t>PENN FOREST TOWNSHIP-MIDDLE</t>
  </si>
  <si>
    <t>PENN FOREST TOWNSHIP-NORTH EAST</t>
  </si>
  <si>
    <t>PENN FOREST TOWNSHIP-NORTH WEST</t>
  </si>
  <si>
    <t>PENN FOREST TOWNSHIP-SOUTH WEST</t>
  </si>
  <si>
    <t>SUMMIT HILL BOROUGH</t>
  </si>
  <si>
    <t>SUMMIT HILL BOROUGH-1ST</t>
  </si>
  <si>
    <t>SUMMIT HILL BOROUGH-2ND</t>
  </si>
  <si>
    <t>SUMMIT HILL BOROUGH-3RD/2ND</t>
  </si>
  <si>
    <t>SUMMIT HILL-3RD/1ST DIST</t>
  </si>
  <si>
    <t>Carbon | EAST SIDE | 70</t>
  </si>
  <si>
    <t>EAST SIDE</t>
  </si>
  <si>
    <t>TOWAMENSING TOWNSHIP</t>
  </si>
  <si>
    <t>TOWAMENSING TOWNSHIP-NORTH</t>
  </si>
  <si>
    <t>TOWAMENSING TOWNSHIP-SOUTH-1</t>
  </si>
  <si>
    <t>TOWAMENSING TOWNSHIP-SOUTH-2</t>
  </si>
  <si>
    <t>WEATHERLY BOROUGH</t>
  </si>
  <si>
    <t>WEATHERLY BOROUGH-EAST</t>
  </si>
  <si>
    <t>WEATHERLY BOROUGH-WEST</t>
  </si>
  <si>
    <t>WEISSPORT BOROUGH</t>
  </si>
  <si>
    <t>Lehigh</t>
  </si>
  <si>
    <t>ALBURTIS</t>
  </si>
  <si>
    <t>ALLENTOWN</t>
  </si>
  <si>
    <t>ALLENTOWN 10TH WARD 1ST DIST</t>
  </si>
  <si>
    <t>ALLENTOWN 10TH WARD 3RD DIST</t>
  </si>
  <si>
    <t>ALLENTOWN 10TH WARD 4TH DIST</t>
  </si>
  <si>
    <t>ALLENTOWN 11TH WARD 1ST DIST</t>
  </si>
  <si>
    <t>ALLENTOWN 11TH WARD 2ND DIST</t>
  </si>
  <si>
    <t>ALLENTOWN 11TH WARD 3RD DIST</t>
  </si>
  <si>
    <t>ALLENTOWN 11TH WARD 4TH DIST</t>
  </si>
  <si>
    <t>ALLENTOWN 11TH WARD 5TH DIST</t>
  </si>
  <si>
    <t>ALLENTOWN 11TH WARD 6TH DIST</t>
  </si>
  <si>
    <t>ALLENTOWN 11TH WARD 7TH DIST</t>
  </si>
  <si>
    <t>Carbon | FRANKLIN | 80</t>
  </si>
  <si>
    <t>ALLENTOWN 12TH WARD 1ST DIST</t>
  </si>
  <si>
    <t>FRANKLIN</t>
  </si>
  <si>
    <t>ALLENTOWN 12TH WARD 2ND DIST</t>
  </si>
  <si>
    <t>ALLENTOWN 12TH WARD 3RD DIST</t>
  </si>
  <si>
    <t>ALLENTOWN 12TH WARD 4TH DIST</t>
  </si>
  <si>
    <t>ALLENTOWN 12TH WARD 5TH DIST</t>
  </si>
  <si>
    <t>ALLENTOWN 13TH WARD 1ST DIST</t>
  </si>
  <si>
    <t>ALLENTOWN 13TH WARD 2ND DIST</t>
  </si>
  <si>
    <t>ALLENTOWN 13TH WARD 3RD DIST</t>
  </si>
  <si>
    <t>ALLENTOWN 13TH WARD 4TH DIST</t>
  </si>
  <si>
    <t>ALLENTOWN 14TH WARD 1ST DIST</t>
  </si>
  <si>
    <t>ALLENTOWN 14TH WARD 2ND DIST</t>
  </si>
  <si>
    <t>Carbon | FRANKLIN | 90</t>
  </si>
  <si>
    <t>ALLENTOWN 15TH WARD 1ST DIST</t>
  </si>
  <si>
    <t>ALLENTOWN 15TH WARD 2ND DIST</t>
  </si>
  <si>
    <t>ALLENTOWN 15TH WARD 3RD DIST</t>
  </si>
  <si>
    <t>ALLENTOWN 15TH WARD 4TH DIST</t>
  </si>
  <si>
    <t>ALLENTOWN 16TH WARD 1ST DIST</t>
  </si>
  <si>
    <t>ALLENTOWN 16TH WARD 2ND DIST</t>
  </si>
  <si>
    <t>ALLENTOWN 17TH WARD 1ST DIST</t>
  </si>
  <si>
    <t>ALLENTOWN 17TH WARD 2ND DIST</t>
  </si>
  <si>
    <t>Carbon | FRANKLIN | 100</t>
  </si>
  <si>
    <t>ALLENTOWN 17TH WARD 3RD DIST</t>
  </si>
  <si>
    <t>ALLENTOWN 17TH WARD 4TH DIST</t>
  </si>
  <si>
    <t>ALLENTOWN 17TH WD 4TH DT PARK</t>
  </si>
  <si>
    <t>ALLENTOWN 18TH WARD 1ST DIST</t>
  </si>
  <si>
    <t>ALLENTOWN 18TH WARD 2ND DIST</t>
  </si>
  <si>
    <t>ALLENTOWN 18TH WD 2ND DT PARK</t>
  </si>
  <si>
    <t>ALLENTOWN 19TH WARD 1ST DIST</t>
  </si>
  <si>
    <t>ALLENTOWN 19TH WARD 2ND DIST</t>
  </si>
  <si>
    <t>ALLENTOWN 19TH WARD 3RD DIST</t>
  </si>
  <si>
    <t>ALLENTOWN 19TH WARD 4TH DIST</t>
  </si>
  <si>
    <t>Carbon | JIM THORPE | 110</t>
  </si>
  <si>
    <t>JIM THORPE</t>
  </si>
  <si>
    <t>ALLENTOWN 19TH WARD 5TH DIST</t>
  </si>
  <si>
    <t>ALLENTOWN 19TH WARD 5TH DT SAL</t>
  </si>
  <si>
    <t>ALLENTOWN 19TH WARD 6TH DIST</t>
  </si>
  <si>
    <t>ALLENTOWN 1ST WARD</t>
  </si>
  <si>
    <t>ALLENTOWN 2ND WARD</t>
  </si>
  <si>
    <t>ALLENTOWN 3RD WARD</t>
  </si>
  <si>
    <t>ALLENTOWN 4TH WARD</t>
  </si>
  <si>
    <t>ALLENTOWN 5TH WARD</t>
  </si>
  <si>
    <t>ALLENTOWN 6TH WARD 1ST DIST</t>
  </si>
  <si>
    <t>Carbon | JIM THORPE | 120</t>
  </si>
  <si>
    <t>ALLENTOWN 6TH WARD 2ND DIST</t>
  </si>
  <si>
    <t>ALLENTOWN 7TH WARD</t>
  </si>
  <si>
    <t>ALLENTOWN 8TH WARD 1ST DIST</t>
  </si>
  <si>
    <t>ALLENTOWN 8TH WARD 2ND DIST</t>
  </si>
  <si>
    <t>ALLENTOWN 8TH WARD 3RD DIST</t>
  </si>
  <si>
    <t>ALLENTOWN 8TH WARD 4TH DIST</t>
  </si>
  <si>
    <t>ALLENTOWN 8TH WARD 5TH DIST</t>
  </si>
  <si>
    <t>ALLENTOWN 8TH WARD 6TH DIST</t>
  </si>
  <si>
    <t>ALLENTOWN 8TH WARD 7TH DIST</t>
  </si>
  <si>
    <t>ALLENTOWN 9TH WARD</t>
  </si>
  <si>
    <t>Carbon | JIM THORPE | 130</t>
  </si>
  <si>
    <t>BETHLEHEM</t>
  </si>
  <si>
    <t>BETHLEHEM 10TH WARD</t>
  </si>
  <si>
    <t>BETHLEHEM 11TH WARD</t>
  </si>
  <si>
    <t>BETHLEHEM 12TH WARD 1ST DIST</t>
  </si>
  <si>
    <t>BETHLEHEM 12TH WARD 2ND DIST</t>
  </si>
  <si>
    <t>BETHLEHEM 13TH WARD 1ST DIST</t>
  </si>
  <si>
    <t>BETHLEHEM 13TH WARD 2ND DIST</t>
  </si>
  <si>
    <t>BETHLEHEM 13TH WARD 3RD DIST</t>
  </si>
  <si>
    <t>BETHLEHEM 13TH WARD 4TH DIST</t>
  </si>
  <si>
    <t>Carbon | JIM THORPE | 140</t>
  </si>
  <si>
    <t>BETHLEHEM 13TH WARD 5TH DIST</t>
  </si>
  <si>
    <t>BETHLEHEM 13TH WARD 6TH DIST</t>
  </si>
  <si>
    <t>BETHLEHEM 13TH WARD 7TH DIST</t>
  </si>
  <si>
    <t>BETHLEHEM 13TH WARD 8TH DIST</t>
  </si>
  <si>
    <t>CATASAUQUA</t>
  </si>
  <si>
    <t>CATASAUQUA 1ST DIST</t>
  </si>
  <si>
    <t>CATASAUQUA 2ND DIST</t>
  </si>
  <si>
    <t>CATASAUQUA 3RD DIST</t>
  </si>
  <si>
    <t>COOPERSBURG</t>
  </si>
  <si>
    <t>COPLAY</t>
  </si>
  <si>
    <t>COPLAY 1ST DISTRICT</t>
  </si>
  <si>
    <t>Carbon | JIM THORPE | 150</t>
  </si>
  <si>
    <t>COPLAY 2ND DISTRICT</t>
  </si>
  <si>
    <t>EMMAUS</t>
  </si>
  <si>
    <t>EMMAUS 1ST DISTRICT</t>
  </si>
  <si>
    <t>EMMAUS 2ND DISTRICT</t>
  </si>
  <si>
    <t>EMMAUS 3RD DISTRICT</t>
  </si>
  <si>
    <t>EMMAUS 4TH DISTRICT</t>
  </si>
  <si>
    <t>EMMAUS 5TH DISTRICT</t>
  </si>
  <si>
    <t>EMMAUS 6TH DISTRICT</t>
  </si>
  <si>
    <t>FOUNTAIN HILL</t>
  </si>
  <si>
    <t>FOUNTAIN HILL 1ST DIST</t>
  </si>
  <si>
    <t>FOUNTAIN HILL 2ND DIST</t>
  </si>
  <si>
    <t>FOUNTAIN HILL 3RD DIST</t>
  </si>
  <si>
    <t>Carbon | KIDDER | 160</t>
  </si>
  <si>
    <t>KIDDER</t>
  </si>
  <si>
    <t>HANOVER</t>
  </si>
  <si>
    <t>HEIDELBERG</t>
  </si>
  <si>
    <t>LOWER MACUNGIE</t>
  </si>
  <si>
    <t>LOWER MACUNGIE 10TH DISTRICT</t>
  </si>
  <si>
    <t>LOWER MACUNGIE 1ST DISTRICT</t>
  </si>
  <si>
    <t>LOWER MACUNGIE 2ND DISTRICT</t>
  </si>
  <si>
    <t>LOWER MACUNGIE 3RD DISTRICT</t>
  </si>
  <si>
    <t>LOWER MACUNGIE 4TH DISTRICT</t>
  </si>
  <si>
    <t>LOWER MACUNGIE 5TH DISTRICT</t>
  </si>
  <si>
    <t>LOWER MACUNGIE 6TH DISTRICT</t>
  </si>
  <si>
    <t>Carbon | KIDDER | 170</t>
  </si>
  <si>
    <t>LOWER MACUNGIE 7TH DISTRICT</t>
  </si>
  <si>
    <t>LOWER MACUNGIE 8TH DISTRICT</t>
  </si>
  <si>
    <t>LOWER MACUNGIE 9TH DISTRICT</t>
  </si>
  <si>
    <t>LOWER MILFORD</t>
  </si>
  <si>
    <t>LOWHILL</t>
  </si>
  <si>
    <t>LYNN</t>
  </si>
  <si>
    <t>LYNN JACKSONVILLE DISTRICT</t>
  </si>
  <si>
    <t>LYNN LYNNVILLE DISTRICT</t>
  </si>
  <si>
    <t>LYNN NEW TRIPOLI DISTRICT</t>
  </si>
  <si>
    <t>MACUNGIE</t>
  </si>
  <si>
    <t>Carbon | LANSFORD | 180</t>
  </si>
  <si>
    <t>LANSFORD</t>
  </si>
  <si>
    <t>NORTH WHITEHALL</t>
  </si>
  <si>
    <t>NORTH WHITEHALL 1ST DISTRICT</t>
  </si>
  <si>
    <t>NORTH WHITEHALL 2ND DISTRICT</t>
  </si>
  <si>
    <t>NORTH WHITEHALL 3RD DISTRICT</t>
  </si>
  <si>
    <t>NORTH WHITEHALL 4TH DISTRICT</t>
  </si>
  <si>
    <t>NORTH WHITEHALL 5TH DISTRICT</t>
  </si>
  <si>
    <t>NORTH WHITEHALL 6TH DISTRICT</t>
  </si>
  <si>
    <t>SALISBURY</t>
  </si>
  <si>
    <t>SALISBURY 1ST WARD</t>
  </si>
  <si>
    <t>SALISBURY 2ND WARD</t>
  </si>
  <si>
    <t>Carbon | LANSFORD | 190</t>
  </si>
  <si>
    <t>SALISBURY 3RD WARD 1ST DIST</t>
  </si>
  <si>
    <t>SALISBURY 3RD WARD 2ND DIST</t>
  </si>
  <si>
    <t>SALISBURY 4TH WARD 1ST DIST</t>
  </si>
  <si>
    <t>SALISBURY 4TH WARD 2ND DIST</t>
  </si>
  <si>
    <t>SALISBURY 5TH WARD 1ST DIST</t>
  </si>
  <si>
    <t>SALISBURY 5TH WARD 2ND DIST</t>
  </si>
  <si>
    <t>SLATINGTON</t>
  </si>
  <si>
    <t>SLATINGTON 1ST DIST</t>
  </si>
  <si>
    <t>SLATINGTON 2ND DIST</t>
  </si>
  <si>
    <t>Carbon | LANSFORD | 200</t>
  </si>
  <si>
    <t>SLATINGTON 3RD DIST</t>
  </si>
  <si>
    <t>SOUTH WHITEHALL</t>
  </si>
  <si>
    <t>SOUTH WHITEHALL 1ST DISTRICT</t>
  </si>
  <si>
    <t>SOUTH WHITEHALL 2ND DISTRICT</t>
  </si>
  <si>
    <t>SOUTH WHITEHALL 3RD DISTRICT</t>
  </si>
  <si>
    <t>SOUTH WHITEHALL 4TH DISTRICT</t>
  </si>
  <si>
    <t>SOUTH WHITEHALL 5TH DISTRICT</t>
  </si>
  <si>
    <t>SOUTH WHITEHALL 6TH DISTRICT</t>
  </si>
  <si>
    <t>SOUTH WHITEHALL 7TH DISTRICT</t>
  </si>
  <si>
    <t>Carbon | LAUSANNE | 210</t>
  </si>
  <si>
    <t>LAUSANNE</t>
  </si>
  <si>
    <t>SOUTH WHITEHALL 8TH DISTRICT</t>
  </si>
  <si>
    <t>UPPER MACUNGIE</t>
  </si>
  <si>
    <t>UPPER MACUNGIE 1ST DISTRICT</t>
  </si>
  <si>
    <t>UPPER MACUNGIE 2ND DISTRICT</t>
  </si>
  <si>
    <t>UPPER MACUNGIE 3RD DISTRICT</t>
  </si>
  <si>
    <t>UPPER MACUNGIE 4TH DISTRICT</t>
  </si>
  <si>
    <t>UPPER MACUNGIE 5TH DISTRICT</t>
  </si>
  <si>
    <t>UPPER MACUNGIE 6TH DISTRICT</t>
  </si>
  <si>
    <t>Carbon | LEHIGH | 220</t>
  </si>
  <si>
    <t>LEHIGH</t>
  </si>
  <si>
    <t>UPPER MACUNGIE 7TH DISTRICT</t>
  </si>
  <si>
    <t>UPPER MACUNGIE 8TH DISTRICT</t>
  </si>
  <si>
    <t>UPPER MILFORD</t>
  </si>
  <si>
    <t>UPPER MILFORD EASTERN DISTRICT</t>
  </si>
  <si>
    <t>UPPER MILFORD WESTERN DISTRICT</t>
  </si>
  <si>
    <t>UPPER SAUCON</t>
  </si>
  <si>
    <t>UPPER SAUCON 1ST DISTRICT</t>
  </si>
  <si>
    <t>UPPER SAUCON 2ND DISTRICT</t>
  </si>
  <si>
    <t>UPPER SAUCON 3RD DISTRICT</t>
  </si>
  <si>
    <t>UPPER SAUCON 4TH DISTRICT</t>
  </si>
  <si>
    <t>Carbon | LEHIGHTON | 230</t>
  </si>
  <si>
    <t>UPPER SAUCON 5TH DISTRICT</t>
  </si>
  <si>
    <t>LEHIGHTON</t>
  </si>
  <si>
    <t>UPPER SAUCON 6TH DISTRICT</t>
  </si>
  <si>
    <t>WASHINGTON</t>
  </si>
  <si>
    <t>WASHINGTON EASTERN DISTRICT</t>
  </si>
  <si>
    <t>WASHINGTON SOUTHERN DISTRICT</t>
  </si>
  <si>
    <t>WASHINGTON WESTERN DISTRICT</t>
  </si>
  <si>
    <t>WEISENBERG</t>
  </si>
  <si>
    <t>WHITEHALL</t>
  </si>
  <si>
    <t>WHITEHALL 10TH DISTRICT</t>
  </si>
  <si>
    <t>WHITEHALL 11TH DISTRICT</t>
  </si>
  <si>
    <t>WHITEHALL 12TH DISTRICT</t>
  </si>
  <si>
    <t>WHITEHALL 1ST DISTRICT</t>
  </si>
  <si>
    <t>Carbon | LEHIGHTON | 240</t>
  </si>
  <si>
    <t>WHITEHALL 2ND DISTRICT</t>
  </si>
  <si>
    <t>WHITEHALL 3RD DISTRICT</t>
  </si>
  <si>
    <t>WHITEHALL 4TH DISTRICT</t>
  </si>
  <si>
    <t>WHITEHALL 5TH DISTRICT</t>
  </si>
  <si>
    <t>WHITEHALL 6TH DISTRICT</t>
  </si>
  <si>
    <t>WHITEHALL 7TH DISTRICT</t>
  </si>
  <si>
    <t>WHITEHALL 8TH DISTRICT</t>
  </si>
  <si>
    <t>WHITEHALL 9TH DISTRICT</t>
  </si>
  <si>
    <t>Monroe</t>
  </si>
  <si>
    <t>Carbon | LEHIGHTON | 250</t>
  </si>
  <si>
    <t>ELDRED TOWNSHIP</t>
  </si>
  <si>
    <t>ELDRED</t>
  </si>
  <si>
    <t>POLK TOWNSHIP</t>
  </si>
  <si>
    <t>POLK</t>
  </si>
  <si>
    <t>ROSS TOWNSHIP</t>
  </si>
  <si>
    <t>ROSS 1</t>
  </si>
  <si>
    <t>Northampton</t>
  </si>
  <si>
    <t>ALLEN</t>
  </si>
  <si>
    <t>ALLEN TWSP - NORTH</t>
  </si>
  <si>
    <t>ALLEN TWSP - SOUTH</t>
  </si>
  <si>
    <t>BANGOR</t>
  </si>
  <si>
    <t>BANGOR — historical precinct 20</t>
  </si>
  <si>
    <t>BANGOR — historical precinct 30</t>
  </si>
  <si>
    <t>BANGOR — historical precinct 40</t>
  </si>
  <si>
    <t>BANGOR — historical precinct 50</t>
  </si>
  <si>
    <t>BATH</t>
  </si>
  <si>
    <t>BATH BORO</t>
  </si>
  <si>
    <t>BETHLEHEM 14TH WARD 1ST DISTRICT</t>
  </si>
  <si>
    <t>BETHLEHEM 14TH WARD 2ND DISTRICT</t>
  </si>
  <si>
    <t>BETHLEHEM 14TH WARD 3RD DISTRICT</t>
  </si>
  <si>
    <t>Carbon | LOWER TOWAMENSING | 260</t>
  </si>
  <si>
    <t>LOWER TOWAMENSING</t>
  </si>
  <si>
    <t>BETHLEHEM 14TH WARD 4TH DISTRICT</t>
  </si>
  <si>
    <t>BETHLEHEM 14TH WARD 5TH DISTRICT</t>
  </si>
  <si>
    <t>BETHLEHEM 14TH WARD 6TH DISTRICT</t>
  </si>
  <si>
    <t>BETHLEHEM 14TH WARD 7TH DISTRICT</t>
  </si>
  <si>
    <t>BETHLEHEM 14TH WARD 8TH DISTRICT</t>
  </si>
  <si>
    <t>BETHLEHEM 15TH WARD 1ST DISTRICT</t>
  </si>
  <si>
    <t>BETHLEHEM 15TH WARD 2ND DISTRICT</t>
  </si>
  <si>
    <t>BETHLEHEM 15TH WARD 3RD DISTRICT</t>
  </si>
  <si>
    <t>BETHLEHEM 16TH WARD</t>
  </si>
  <si>
    <t>BETHLEHEM 17TH WARD</t>
  </si>
  <si>
    <t>BETHLEHEM 1ST WARD - NORTHERN</t>
  </si>
  <si>
    <t>Carbon | LOWER TOWAMENSING | 265</t>
  </si>
  <si>
    <t>BETHLEHEM 1ST WARD - SOUTHERN</t>
  </si>
  <si>
    <t>BETHLEHEM 2ND WARD</t>
  </si>
  <si>
    <t>BETHLEHEM 3RD WARD</t>
  </si>
  <si>
    <t>BETHLEHEM 4TH WARD</t>
  </si>
  <si>
    <t>BETHLEHEM 5TH WARD</t>
  </si>
  <si>
    <t>BETHLEHEM 6TH WARD</t>
  </si>
  <si>
    <t>BETHLEHEM 7TH WARD</t>
  </si>
  <si>
    <t>BETHLEHEM 8TH WARD</t>
  </si>
  <si>
    <t>BETHLEHEM 9TH WARD EAST</t>
  </si>
  <si>
    <t>BETHLEHEM 9TH WARD WEST</t>
  </si>
  <si>
    <t>BETHLEHEM TOWNSHIP</t>
  </si>
  <si>
    <t>BETHLEHEM TWSP 1ST WARD 1ST DISTRICT</t>
  </si>
  <si>
    <t>BETHLEHEM TWSP 1ST WARD 2ND DISTRICT</t>
  </si>
  <si>
    <t>Carbon | MAHONING | 270</t>
  </si>
  <si>
    <t>MAHONING</t>
  </si>
  <si>
    <t>BETHLEHEM TWSP 1ST WARD 3RD DISTRICT</t>
  </si>
  <si>
    <t>BETHLEHEM TWSP 1ST WARD 4TH DISTRICT</t>
  </si>
  <si>
    <t>BETHLEHEM TWSP 2ND WARD 1ST DISTRICT</t>
  </si>
  <si>
    <t>BETHLEHEM TWSP 2ND WARD 2ND DISTRICT</t>
  </si>
  <si>
    <t>BETHLEHEM TWSP 2ND WARD 3RD DISTRICT</t>
  </si>
  <si>
    <t>BETHLEHEM TWSP 2ND WARD 4TH DISTRICT</t>
  </si>
  <si>
    <t>BETHLEHEM TWSP 3RD WARD 1ST DISTRICT</t>
  </si>
  <si>
    <t>BETHLEHEM TWSP 3RD WARD 2ND DISTRICT</t>
  </si>
  <si>
    <t>BETHLEHEM TWSP 3RD WARD 3RD DISTRICT</t>
  </si>
  <si>
    <t>Carbon | MAHONING | 280</t>
  </si>
  <si>
    <t>BETHLEHEM TWSP 3RD WARD 4TH DISTRICT</t>
  </si>
  <si>
    <t>BETHLEHEM TWSP 3RD WARD 5TH DISTRICT</t>
  </si>
  <si>
    <t>BETHLEHEM TWSP 4TH WARD 1ST DISTRICT</t>
  </si>
  <si>
    <t>BETHLEHEM TWSP 4TH WARD 2ND DISTRICT</t>
  </si>
  <si>
    <t>BETHLEHEM TWSP 4TH WARD 3RD DISTRICT</t>
  </si>
  <si>
    <t>BETHLEHEM TWSP 4TH WARD 4TH DISTRICT</t>
  </si>
  <si>
    <t>BUSHKILL</t>
  </si>
  <si>
    <t>BUSHKILL TWSP - BUSHKILL CENTER</t>
  </si>
  <si>
    <t>BUSHKILL TWSP - CHERRY HILL</t>
  </si>
  <si>
    <t>BUSHKILL TWSP - CLEARFIELD</t>
  </si>
  <si>
    <t>CHAPMAN</t>
  </si>
  <si>
    <t>EAST ALLEN</t>
  </si>
  <si>
    <t>EAST ALLEN TWSP - EASTERN</t>
  </si>
  <si>
    <t>Carbon | MAHONING | 290</t>
  </si>
  <si>
    <t>EAST ALLEN TWSP - WESTERN</t>
  </si>
  <si>
    <t>EAST BANGOR</t>
  </si>
  <si>
    <t>EASTON</t>
  </si>
  <si>
    <t>EASTON 10TH WARD</t>
  </si>
  <si>
    <t>EASTON 11TH WARD</t>
  </si>
  <si>
    <t>EASTON 2ND WARD</t>
  </si>
  <si>
    <t>EASTON 3RD WARD 2ND DISTRICT</t>
  </si>
  <si>
    <t>EASTON 3RD WARD 3RD DISTRICT</t>
  </si>
  <si>
    <t>EASTON 3RD WARD 4TH DISTRICT</t>
  </si>
  <si>
    <t>EASTON 4TH WARD</t>
  </si>
  <si>
    <t>EASTON 5TH WARD</t>
  </si>
  <si>
    <t>EASTON 6TH WARD</t>
  </si>
  <si>
    <t>Carbon | NESQUEHONING | 300</t>
  </si>
  <si>
    <t>NESQUEHONING</t>
  </si>
  <si>
    <t>EASTON 7TH WARD</t>
  </si>
  <si>
    <t>EASTON 8TH WARD</t>
  </si>
  <si>
    <t>EASTON 9TH WARD</t>
  </si>
  <si>
    <t>FORKS</t>
  </si>
  <si>
    <t>FORKS — historical precinct 594</t>
  </si>
  <si>
    <t>FORKS — historical precinct 601</t>
  </si>
  <si>
    <t>FORKS — historical precinct 608</t>
  </si>
  <si>
    <t>FORKS — historical precinct 615</t>
  </si>
  <si>
    <t>Carbon | NESQUEHONING | 310</t>
  </si>
  <si>
    <t>FREEMANSBURG</t>
  </si>
  <si>
    <t>GLENDON</t>
  </si>
  <si>
    <t>HANOVER #1</t>
  </si>
  <si>
    <t>HANOVER #2</t>
  </si>
  <si>
    <t>HANOVER #3</t>
  </si>
  <si>
    <t>HANOVER #4</t>
  </si>
  <si>
    <t>HANOVER #5</t>
  </si>
  <si>
    <t>HANOVER #6</t>
  </si>
  <si>
    <t>HELLERTOWN</t>
  </si>
  <si>
    <t>HELLERTOWN BORO 1ST WARD</t>
  </si>
  <si>
    <t>Carbon | PACKER | 320</t>
  </si>
  <si>
    <t>PACKER</t>
  </si>
  <si>
    <t>HELLERTOWN BORO 2ND WARD</t>
  </si>
  <si>
    <t>HELLERTOWN BORO 3RD WARD</t>
  </si>
  <si>
    <t>LEHIGH TWSP - CENTRAL</t>
  </si>
  <si>
    <t>LEHIGH TWSP - DANIELSVILLE</t>
  </si>
  <si>
    <t>LEHIGH TWSP - NORTHWESTERN</t>
  </si>
  <si>
    <t>LEHIGH TWSP - PENNSVILLE</t>
  </si>
  <si>
    <t>LEHIGH TWSP - TREICHLERS</t>
  </si>
  <si>
    <t>LOWER MOUNT BETHEL</t>
  </si>
  <si>
    <t>LOWER MT BETHEL - LOWER</t>
  </si>
  <si>
    <t>LOWER MT BETHEL - UPPER</t>
  </si>
  <si>
    <t>Carbon | PALMERTON | 330</t>
  </si>
  <si>
    <t>PALMERTON</t>
  </si>
  <si>
    <t>LOWER NAZARETH</t>
  </si>
  <si>
    <t>LOWER NAZARETH — historical precinct 780</t>
  </si>
  <si>
    <t>LOWER NAZARETH — historical precinct 790</t>
  </si>
  <si>
    <t>LOWER SAUCON</t>
  </si>
  <si>
    <t>LOWER SAUCON — historical precinct 800</t>
  </si>
  <si>
    <t>LOWER SAUCON — historical precinct 810</t>
  </si>
  <si>
    <t>LOWER SAUCON — historical precinct 820</t>
  </si>
  <si>
    <t>LOWER SAUCON — historical precinct 830</t>
  </si>
  <si>
    <t>LOWER SAUCON — historical precinct 833</t>
  </si>
  <si>
    <t>LOWER SAUCON — historical precinct 837</t>
  </si>
  <si>
    <t>LOWER SAUCON — historical precinct 840</t>
  </si>
  <si>
    <t>Carbon | PALMERTON | 340</t>
  </si>
  <si>
    <t>LOWER SAUCON — historical precinct 850</t>
  </si>
  <si>
    <t>MOORE</t>
  </si>
  <si>
    <t>MOORE TWSP - BEERSVILLE</t>
  </si>
  <si>
    <t>MOORE TWSP - EASTERN</t>
  </si>
  <si>
    <t>MOORE TWSP - KLECKNERSVILLE</t>
  </si>
  <si>
    <t>MOORE TWSP - POINT PHILLIPS</t>
  </si>
  <si>
    <t>NAZARETH</t>
  </si>
  <si>
    <t>NAZARETH BORO 1ST WARD</t>
  </si>
  <si>
    <t>NAZARETH BORO 2ND WARD</t>
  </si>
  <si>
    <t>NAZARETH BORO 3RD WARD</t>
  </si>
  <si>
    <t>NORTH CATASAUQUA</t>
  </si>
  <si>
    <t>NORTH CATASAUQUA 1ST WARD</t>
  </si>
  <si>
    <t>Carbon | PALMERTON | 350</t>
  </si>
  <si>
    <t>NORTH CATASAUQUA 2ND WARD</t>
  </si>
  <si>
    <t>NORTHAMPTON</t>
  </si>
  <si>
    <t>NORTHAMPTON BORO 1ST WARD</t>
  </si>
  <si>
    <t>NORTHAMPTON BORO 2ND WARD</t>
  </si>
  <si>
    <t>NORTHAMPTON BORO 3RD WARD</t>
  </si>
  <si>
    <t>NORTHAMPTON BORO 4TH WARD</t>
  </si>
  <si>
    <t>PALMER</t>
  </si>
  <si>
    <t>PALMER — historical precinct 1000</t>
  </si>
  <si>
    <t>PALMER — historical precinct 1010</t>
  </si>
  <si>
    <t>PALMER — historical precinct 1020</t>
  </si>
  <si>
    <t>PALMER — historical precinct 1030</t>
  </si>
  <si>
    <t>Carbon | PARRYVILLE | 360</t>
  </si>
  <si>
    <t>PARRYVILLE</t>
  </si>
  <si>
    <t>PALMER — historical precinct 1040</t>
  </si>
  <si>
    <t>PALMER — historical precinct 1050</t>
  </si>
  <si>
    <t>PALMER — historical precinct 990</t>
  </si>
  <si>
    <t>PEN ARGYL</t>
  </si>
  <si>
    <t>PEN ARGYL BORO 1ST WARD</t>
  </si>
  <si>
    <t>PEN ARGYL BORO 2ND WARD</t>
  </si>
  <si>
    <t>PEN ARGYL BORO 3RD WARD</t>
  </si>
  <si>
    <t>PEN ARGYL BORO 4TH WARD</t>
  </si>
  <si>
    <t>PLAINFIELD</t>
  </si>
  <si>
    <t>PLAINFIELD TWSP - BELFAST</t>
  </si>
  <si>
    <t>PLAINFIELD TWSP - DELABOLE</t>
  </si>
  <si>
    <t>PLAINFIELD TWSP - KESSLERSVILLE</t>
  </si>
  <si>
    <t>Carbon | PENN FOREST | 370</t>
  </si>
  <si>
    <t>PENN FOREST</t>
  </si>
  <si>
    <t>PLAINFIELD TWSP - PLAINFIELD CHURCH</t>
  </si>
  <si>
    <t>PORTLAND</t>
  </si>
  <si>
    <t>PORTLAND BORO</t>
  </si>
  <si>
    <t>ROSETO</t>
  </si>
  <si>
    <t>ROSETO BORO</t>
  </si>
  <si>
    <t>STOCKERTOWN</t>
  </si>
  <si>
    <t>STOCKERTOWN BORO</t>
  </si>
  <si>
    <t>TATAMY</t>
  </si>
  <si>
    <t>TATAMY BORO</t>
  </si>
  <si>
    <t>UPPER MOUNT BETHEL</t>
  </si>
  <si>
    <t>UPPER MT BETHEL TWSP - CENTERVILLE</t>
  </si>
  <si>
    <t>UPPER MT BETHEL TWSP - JOHNSONVILLE</t>
  </si>
  <si>
    <t>UPPER MT BETHEL TWSP - NORTH BANGOR</t>
  </si>
  <si>
    <t>UPPER MT BETHEL TWSP - SLATEFORD</t>
  </si>
  <si>
    <t>Carbon | PENN FOREST | 373</t>
  </si>
  <si>
    <t>UPPER MT BETHEL TWSP - WILLIAMSBURG</t>
  </si>
  <si>
    <t>UPPER NAZARETH</t>
  </si>
  <si>
    <t>UPPER NAZARETH — historical precinct 1230</t>
  </si>
  <si>
    <t>UPPER NAZARETH — historical precinct 1240</t>
  </si>
  <si>
    <t>WALNUTPORT</t>
  </si>
  <si>
    <t>WALNUTPORT BORO</t>
  </si>
  <si>
    <t>WASHINGTON TWSP - LOWER</t>
  </si>
  <si>
    <t>WASHINGTON TWSP - UPPER</t>
  </si>
  <si>
    <t>WEST EASTON</t>
  </si>
  <si>
    <t>WILLIAMS TOWNSHIP</t>
  </si>
  <si>
    <t>WILLAMS TWSP - EASTERN</t>
  </si>
  <si>
    <t>WILLIAMS TWSP - MIDDLE</t>
  </si>
  <si>
    <t>Carbon | PENN FOREST | 375</t>
  </si>
  <si>
    <t>WILLIAMS TWSP - UPPER</t>
  </si>
  <si>
    <t>WILLIAMS TWSP - WESTERN</t>
  </si>
  <si>
    <t>WILSON</t>
  </si>
  <si>
    <t>WILSON BORO 1ST WARD</t>
  </si>
  <si>
    <t>WILSON BORO 2ND WARD</t>
  </si>
  <si>
    <t>WILSON BORO 3RD WARD</t>
  </si>
  <si>
    <t>WIND GAP</t>
  </si>
  <si>
    <t>Carbon | PENN FOREST | 377</t>
  </si>
  <si>
    <t>Carbon | PENN FOREST | 379</t>
  </si>
  <si>
    <t>Carbon | SUMMIT HILL | 380</t>
  </si>
  <si>
    <t>SUMMIT HILL</t>
  </si>
  <si>
    <t>Carbon | SUMMIT HILL | 390</t>
  </si>
  <si>
    <t>Carbon | SUMMIT HILL | 400</t>
  </si>
  <si>
    <t>Carbon | SUMMIT HILL | 410</t>
  </si>
  <si>
    <t>Carbon | TOWAMENSING | 420</t>
  </si>
  <si>
    <t>TOWAMENSING</t>
  </si>
  <si>
    <t>Carbon | TOWAMENSING | 430</t>
  </si>
  <si>
    <t>Carbon | TOWAMENSING | 435</t>
  </si>
  <si>
    <t>Carbon | WEATHERLY | 440</t>
  </si>
  <si>
    <t>WEATHERLY</t>
  </si>
  <si>
    <t>Carbon | WEATHERLY | 450</t>
  </si>
  <si>
    <t>Carbon | WEISSPORT | 460</t>
  </si>
  <si>
    <t>WEISSPORT</t>
  </si>
  <si>
    <t>Lehigh | ALBURTIS | 10</t>
  </si>
  <si>
    <t>Lehigh | ALLENTOWN | 20</t>
  </si>
  <si>
    <t>Lehigh | ALLENTOWN | 30</t>
  </si>
  <si>
    <t>Lehigh | ALLENTOWN | 40</t>
  </si>
  <si>
    <t>Lehigh | ALLENTOWN | 50</t>
  </si>
  <si>
    <t>Lehigh | ALLENTOWN | 60</t>
  </si>
  <si>
    <t>Lehigh | ALLENTOWN | 70</t>
  </si>
  <si>
    <t>Lehigh | ALLENTOWN | 80</t>
  </si>
  <si>
    <t>Lehigh | ALLENTOWN | 90</t>
  </si>
  <si>
    <t>Lehigh | ALLENTOWN | 110</t>
  </si>
  <si>
    <t>Lehigh | ALLENTOWN | 120</t>
  </si>
  <si>
    <t>Lehigh | ALLENTOWN | 130</t>
  </si>
  <si>
    <t>Lehigh | ALLENTOWN | 140</t>
  </si>
  <si>
    <t>Lehigh | ALLENTOWN | 150</t>
  </si>
  <si>
    <t>Lehigh | ALLENTOWN | 160</t>
  </si>
  <si>
    <t>Lehigh | ALLENTOWN | 170</t>
  </si>
  <si>
    <t>Lehigh | ALLENTOWN | 180</t>
  </si>
  <si>
    <t>Lehigh | ALLENTOWN | 190</t>
  </si>
  <si>
    <t>Lehigh | ALLENTOWN | 200</t>
  </si>
  <si>
    <t>Lehigh | ALLENTOWN | 210</t>
  </si>
  <si>
    <t>Lehigh | ALLENTOWN | 220</t>
  </si>
  <si>
    <t>Lehigh | ALLENTOWN | 230</t>
  </si>
  <si>
    <t>Lehigh | ALLENTOWN | 240</t>
  </si>
  <si>
    <t>Lehigh | ALLENTOWN | 250</t>
  </si>
  <si>
    <t>Lehigh | ALLENTOWN | 260</t>
  </si>
  <si>
    <t>Lehigh | ALLENTOWN | 270</t>
  </si>
  <si>
    <t>Lehigh | ALLENTOWN | 280</t>
  </si>
  <si>
    <t>Lehigh | ALLENTOWN | 290</t>
  </si>
  <si>
    <t>Lehigh | ALLENTOWN | 300</t>
  </si>
  <si>
    <t>Lehigh | ALLENTOWN | 310</t>
  </si>
  <si>
    <t>Lehigh | ALLENTOWN | 320</t>
  </si>
  <si>
    <t>Lehigh | ALLENTOWN | 330</t>
  </si>
  <si>
    <t>Lehigh | ALLENTOWN | 340</t>
  </si>
  <si>
    <t>Lehigh | ALLENTOWN | 350</t>
  </si>
  <si>
    <t>Lehigh | ALLENTOWN | 360</t>
  </si>
  <si>
    <t>Lehigh | ALLENTOWN | 370</t>
  </si>
  <si>
    <t>Lehigh | ALLENTOWN | 380</t>
  </si>
  <si>
    <t>Lehigh | ALLENTOWN | 390</t>
  </si>
  <si>
    <t>Lehigh | ALLENTOWN | 400</t>
  </si>
  <si>
    <t>Lehigh | ALLENTOWN | 410</t>
  </si>
  <si>
    <t>Lehigh | ALLENTOWN | 420</t>
  </si>
  <si>
    <t>Lehigh | ALLENTOWN | 430</t>
  </si>
  <si>
    <t>Lehigh | ALLENTOWN | 440</t>
  </si>
  <si>
    <t>Lehigh | ALLENTOWN | 450</t>
  </si>
  <si>
    <t>Lehigh | ALLENTOWN | 460</t>
  </si>
  <si>
    <t>Lehigh | ALLENTOWN | 470</t>
  </si>
  <si>
    <t>Lehigh | ALLENTOWN | 480</t>
  </si>
  <si>
    <t>Lehigh | ALLENTOWN | 490</t>
  </si>
  <si>
    <t>Lehigh | ALLENTOWN | 495</t>
  </si>
  <si>
    <t>Lehigh | ALLENTOWN | 500</t>
  </si>
  <si>
    <t>Lehigh | ALLENTOWN | 510</t>
  </si>
  <si>
    <t>Lehigh | ALLENTOWN | 515</t>
  </si>
  <si>
    <t>Lehigh | ALLENTOWN | 520</t>
  </si>
  <si>
    <t>Lehigh | ALLENTOWN | 530</t>
  </si>
  <si>
    <t>Lehigh | ALLENTOWN | 540</t>
  </si>
  <si>
    <t>Lehigh | ALLENTOWN | 550</t>
  </si>
  <si>
    <t>Lehigh | ALLENTOWN | 560</t>
  </si>
  <si>
    <t>Lehigh | ALLENTOWN | 570</t>
  </si>
  <si>
    <t>Lehigh | BETHLEHEM | 580</t>
  </si>
  <si>
    <t>Lehigh | BETHLEHEM | 590</t>
  </si>
  <si>
    <t>Lehigh | BETHLEHEM | 600</t>
  </si>
  <si>
    <t>Lehigh | BETHLEHEM | 610</t>
  </si>
  <si>
    <t>Lehigh | BETHLEHEM | 620</t>
  </si>
  <si>
    <t>Lehigh | BETHLEHEM | 630</t>
  </si>
  <si>
    <t>Lehigh | BETHLEHEM | 640</t>
  </si>
  <si>
    <t>Lehigh | BETHLEHEM | 650</t>
  </si>
  <si>
    <t>Lehigh | BETHLEHEM | 660</t>
  </si>
  <si>
    <t>Lehigh | BETHLEHEM | 670</t>
  </si>
  <si>
    <t>Lehigh | BETHLEHEM | 680</t>
  </si>
  <si>
    <t>Lehigh | BETHLEHEM | 690</t>
  </si>
  <si>
    <t>Lehigh | CATASAUQUA | 700</t>
  </si>
  <si>
    <t>Lehigh | CATASAUQUA | 710</t>
  </si>
  <si>
    <t>Lehigh | CATASAUQUA | 720</t>
  </si>
  <si>
    <t>Lehigh | COOPERSBURG | 730</t>
  </si>
  <si>
    <t>Lehigh | COPLAY | 740</t>
  </si>
  <si>
    <t>Lehigh | COPLAY | 750</t>
  </si>
  <si>
    <t>Lehigh | EMMAUS | 760</t>
  </si>
  <si>
    <t>Lehigh | EMMAUS | 770</t>
  </si>
  <si>
    <t>Lehigh | EMMAUS | 780</t>
  </si>
  <si>
    <t>Lehigh | EMMAUS | 790</t>
  </si>
  <si>
    <t>Lehigh | EMMAUS | 800</t>
  </si>
  <si>
    <t>Lehigh | EMMAUS | 810</t>
  </si>
  <si>
    <t>Lehigh | FOUNTAIN HILL | 820</t>
  </si>
  <si>
    <t>Lehigh | FOUNTAIN HILL | 830</t>
  </si>
  <si>
    <t>Lehigh | FOUNTAIN HILL | 840</t>
  </si>
  <si>
    <t>Lehigh | HANOVER | 850</t>
  </si>
  <si>
    <t>Lehigh | HEIDELBERG | 860</t>
  </si>
  <si>
    <t>Lehigh | LOWER MACUNGIE | 870</t>
  </si>
  <si>
    <t>Lehigh | LOWER MACUNGIE | 880</t>
  </si>
  <si>
    <t>Lehigh | LOWER MACUNGIE | 890</t>
  </si>
  <si>
    <t>Lehigh | LOWER MACUNGIE | 900</t>
  </si>
  <si>
    <t>Lehigh | LOWER MACUNGIE | 910</t>
  </si>
  <si>
    <t>Lehigh | LOWER MACUNGIE | 920</t>
  </si>
  <si>
    <t>Lehigh | LOWER MACUNGIE | 922</t>
  </si>
  <si>
    <t>Lehigh | LOWER MACUNGIE | 924</t>
  </si>
  <si>
    <t>Lehigh | LOWER MACUNGIE | 926</t>
  </si>
  <si>
    <t>Lehigh | LOWER MACUNGIE | 928</t>
  </si>
  <si>
    <t>Lehigh | LOWER MILFORD | 930</t>
  </si>
  <si>
    <t>Lehigh | LOWHILL | 940</t>
  </si>
  <si>
    <t>Lehigh | LYNN | 950</t>
  </si>
  <si>
    <t>Lehigh | LYNN | 960</t>
  </si>
  <si>
    <t>Lehigh | LYNN | 970</t>
  </si>
  <si>
    <t>Lehigh | MACUNGIE | 980</t>
  </si>
  <si>
    <t>Lehigh | NORTH WHITEHALL | 990</t>
  </si>
  <si>
    <t>Lehigh | NORTH WHITEHALL | 1000</t>
  </si>
  <si>
    <t>Lehigh | NORTH WHITEHALL | 1010</t>
  </si>
  <si>
    <t>Lehigh | NORTH WHITEHALL | 1020</t>
  </si>
  <si>
    <t>Lehigh | NORTH WHITEHALL | 1022</t>
  </si>
  <si>
    <t>Lehigh | NORTH WHITEHALL | 1025</t>
  </si>
  <si>
    <t>Lehigh | SALISBURY | 1030</t>
  </si>
  <si>
    <t>Lehigh | SALISBURY | 1040</t>
  </si>
  <si>
    <t>Lehigh | SALISBURY | 1050</t>
  </si>
  <si>
    <t>Lehigh | SALISBURY | 1055</t>
  </si>
  <si>
    <t>Lehigh | SALISBURY | 1060</t>
  </si>
  <si>
    <t>Lehigh | SALISBURY | 1070</t>
  </si>
  <si>
    <t>Lehigh | SALISBURY | 1085</t>
  </si>
  <si>
    <t>Lehigh | SALISBURY | 1090</t>
  </si>
  <si>
    <t>Lehigh | SLATINGTON | 1100</t>
  </si>
  <si>
    <t>Lehigh | SLATINGTON | 1110</t>
  </si>
  <si>
    <t>Lehigh | SLATINGTON | 1120</t>
  </si>
  <si>
    <t>Lehigh | SOUTH WHITEHALL | 1130</t>
  </si>
  <si>
    <t>Lehigh | SOUTH WHITEHALL | 1140</t>
  </si>
  <si>
    <t>Lehigh | SOUTH WHITEHALL | 1150</t>
  </si>
  <si>
    <t>Lehigh | SOUTH WHITEHALL | 1160</t>
  </si>
  <si>
    <t>Lehigh | SOUTH WHITEHALL | 1170</t>
  </si>
  <si>
    <t>Lehigh | SOUTH WHITEHALL | 1180</t>
  </si>
  <si>
    <t>Lehigh | SOUTH WHITEHALL | 1190</t>
  </si>
  <si>
    <t>Lehigh | SOUTH WHITEHALL | 1200</t>
  </si>
  <si>
    <t>Lehigh | UPPER MACUNGIE | 1210</t>
  </si>
  <si>
    <t>Lehigh | UPPER MACUNGIE | 1220</t>
  </si>
  <si>
    <t>Lehigh | UPPER MACUNGIE | 1230</t>
  </si>
  <si>
    <t>Lehigh | UPPER MACUNGIE | 1240</t>
  </si>
  <si>
    <t>Lehigh | UPPER MACUNGIE | 1245</t>
  </si>
  <si>
    <t>Lehigh | UPPER MACUNGIE | 1246</t>
  </si>
  <si>
    <t>Lehigh | UPPER MACUNGIE | 1247</t>
  </si>
  <si>
    <t>Lehigh | UPPER MACUNGIE | 1248</t>
  </si>
  <si>
    <t>Lehigh | UPPER MILFORD | 1250</t>
  </si>
  <si>
    <t>Lehigh | UPPER MILFORD | 1260</t>
  </si>
  <si>
    <t>Lehigh | UPPER SAUCON | 1270</t>
  </si>
  <si>
    <t>Lehigh | UPPER SAUCON | 1280</t>
  </si>
  <si>
    <t>Lehigh | UPPER SAUCON | 1290</t>
  </si>
  <si>
    <t>Lehigh | UPPER SAUCON | 1300</t>
  </si>
  <si>
    <t>Lehigh | UPPER SAUCON | 1302</t>
  </si>
  <si>
    <t>Lehigh | UPPER SAUCON | 1305</t>
  </si>
  <si>
    <t>Lehigh | WASHINGTON | 1310</t>
  </si>
  <si>
    <t>Lehigh | WASHINGTON | 1320</t>
  </si>
  <si>
    <t>Lehigh | WASHINGTON | 1330</t>
  </si>
  <si>
    <t>Lehigh | WEISENBERG | 1340</t>
  </si>
  <si>
    <t>Lehigh | WHITEHALL | 1350</t>
  </si>
  <si>
    <t>Lehigh | WHITEHALL | 1360</t>
  </si>
  <si>
    <t>Lehigh | WHITEHALL | 1370</t>
  </si>
  <si>
    <t>Lehigh | WHITEHALL | 1380</t>
  </si>
  <si>
    <t>Lehigh | WHITEHALL | 1390</t>
  </si>
  <si>
    <t>Lehigh | WHITEHALL | 1400</t>
  </si>
  <si>
    <t>Lehigh | WHITEHALL | 1410</t>
  </si>
  <si>
    <t>Lehigh | WHITEHALL | 1420</t>
  </si>
  <si>
    <t>Lehigh | WHITEHALL | 1430</t>
  </si>
  <si>
    <t>Lehigh | WHITEHALL | 1440</t>
  </si>
  <si>
    <t>Lehigh | WHITEHALL | 1450</t>
  </si>
  <si>
    <t>Lehigh | WHITEHALL | 1460</t>
  </si>
  <si>
    <t>Monroe | ELDRED | 130</t>
  </si>
  <si>
    <t>Monroe | POLK | 220</t>
  </si>
  <si>
    <t>Monroe | ROSS (USC 7) | 235</t>
  </si>
  <si>
    <t>ROSS (USC 7)</t>
  </si>
  <si>
    <t>Northampton | ALLEN | 10</t>
  </si>
  <si>
    <t>Northampton | ALLEN | 15</t>
  </si>
  <si>
    <t>Northampton | BANGOR | 20</t>
  </si>
  <si>
    <t>No</t>
  </si>
  <si>
    <t>Northampton | BANGOR | 30</t>
  </si>
  <si>
    <t>Northampton | BANGOR | 40</t>
  </si>
  <si>
    <t>Northampton | BANGOR | 50</t>
  </si>
  <si>
    <t>Northampton | BATH | 60</t>
  </si>
  <si>
    <t>Northampton | BETHLEHEM | 65</t>
  </si>
  <si>
    <t>Northampton | BETHLEHEM | 70</t>
  </si>
  <si>
    <t>Northampton | BETHLEHEM | 83</t>
  </si>
  <si>
    <t>Northampton | BETHLEHEM | 90</t>
  </si>
  <si>
    <t>Northampton | BETHLEHEM | 115</t>
  </si>
  <si>
    <t>Northampton | BETHLEHEM | 130</t>
  </si>
  <si>
    <t>Northampton | BETHLEHEM | 140</t>
  </si>
  <si>
    <t>Northampton | BETHLEHEM | 150</t>
  </si>
  <si>
    <t>Northampton | BETHLEHEM | 160</t>
  </si>
  <si>
    <t>Northampton | BETHLEHEM | 170</t>
  </si>
  <si>
    <t>Northampton | BETHLEHEM | 180</t>
  </si>
  <si>
    <t>Northampton | BETHLEHEM | 190</t>
  </si>
  <si>
    <t>Northampton | BETHLEHEM | 200</t>
  </si>
  <si>
    <t>Northampton | BETHLEHEM | 210</t>
  </si>
  <si>
    <t>Northampton | BETHLEHEM | 220</t>
  </si>
  <si>
    <t>Northampton | BETHLEHEM | 230</t>
  </si>
  <si>
    <t>Northampton | BETHLEHEM | 240</t>
  </si>
  <si>
    <t>Northampton | BETHLEHEM | 250</t>
  </si>
  <si>
    <t>Northampton | BETHLEHEM | 255</t>
  </si>
  <si>
    <t>Northampton | BETHLEHEM | 260</t>
  </si>
  <si>
    <t>Northampton | BETHLEHEM | 270</t>
  </si>
  <si>
    <t>Northampton | BETHLEHEM | 280</t>
  </si>
  <si>
    <t>Northampton | BETHLEHEM | 290</t>
  </si>
  <si>
    <t>Northampton | BETHLEHEM | 300</t>
  </si>
  <si>
    <t>Northampton | BETHLEHEM | 310</t>
  </si>
  <si>
    <t>Northampton | BETHLEHEM | 320</t>
  </si>
  <si>
    <t>Northampton | BETHLEHEM | 330</t>
  </si>
  <si>
    <t>Northampton | BETHLEHEM | 336</t>
  </si>
  <si>
    <t>Northampton | BETHLEHEM | 338</t>
  </si>
  <si>
    <t>Northampton | BETHLEHEM | 340</t>
  </si>
  <si>
    <t>Northampton | BETHLEHEM | 346</t>
  </si>
  <si>
    <t>Northampton | BETHLEHEM | 348</t>
  </si>
  <si>
    <t>Northampton | BETHLEHEM | 349</t>
  </si>
  <si>
    <t>Northampton | BETHLEHEM | 350</t>
  </si>
  <si>
    <t>Northampton | BETHLEHEM | 360</t>
  </si>
  <si>
    <t>Northampton | BETHLEHEM | 363</t>
  </si>
  <si>
    <t>Northampton | BETHLEHEM | 366</t>
  </si>
  <si>
    <t>Northampton | BETHLEHEM | 368</t>
  </si>
  <si>
    <t>Northampton | BETHLEHEM | 370</t>
  </si>
  <si>
    <t>Northampton | BETHLEHEM | 375</t>
  </si>
  <si>
    <t>Northampton | BETHLEHEM | 377</t>
  </si>
  <si>
    <t>Northampton | BETHLEHEM | 378</t>
  </si>
  <si>
    <t>Northampton | BUSHKILL | 380</t>
  </si>
  <si>
    <t>Northampton | BUSHKILL | 390</t>
  </si>
  <si>
    <t>Northampton | BUSHKILL | 400</t>
  </si>
  <si>
    <t>Northampton | CHAPMAN | 410</t>
  </si>
  <si>
    <t>Northampton | EAST ALLEN | 420</t>
  </si>
  <si>
    <t>Northampton | EAST ALLEN | 430</t>
  </si>
  <si>
    <t>Northampton | EAST BANGOR | 440</t>
  </si>
  <si>
    <t>Northampton | EASTON | 450</t>
  </si>
  <si>
    <t>Northampton | EASTON | 460</t>
  </si>
  <si>
    <t>Northampton | EASTON | 470</t>
  </si>
  <si>
    <t>Northampton | EASTON | 480</t>
  </si>
  <si>
    <t>Northampton | EASTON | 490</t>
  </si>
  <si>
    <t>Northampton | EASTON | 500</t>
  </si>
  <si>
    <t>Northampton | EASTON | 510</t>
  </si>
  <si>
    <t>Northampton | EASTON | 520</t>
  </si>
  <si>
    <t>Northampton | EASTON | 530</t>
  </si>
  <si>
    <t>Northampton | EASTON | 540</t>
  </si>
  <si>
    <t>Northampton | EASTON | 550</t>
  </si>
  <si>
    <t>Northampton | EASTON | 560</t>
  </si>
  <si>
    <t>Northampton | EASTON | 570</t>
  </si>
  <si>
    <t>Northampton | EASTON | 580</t>
  </si>
  <si>
    <t>Northampton | EASTON | 590</t>
  </si>
  <si>
    <t>Northampton | FORKS | 594</t>
  </si>
  <si>
    <t>Northampton | FORKS | 598</t>
  </si>
  <si>
    <t>Northampton | FORKS | 601</t>
  </si>
  <si>
    <t>Northampton | FORKS | 605</t>
  </si>
  <si>
    <t>Northampton | FORKS | 608</t>
  </si>
  <si>
    <t>Northampton | FORKS | 612</t>
  </si>
  <si>
    <t>Northampton | FORKS | 615</t>
  </si>
  <si>
    <t>Northampton | FREEMANSBURG | 620</t>
  </si>
  <si>
    <t>Northampton | GLENDON | 630</t>
  </si>
  <si>
    <t>Northampton | HANOVER | 640</t>
  </si>
  <si>
    <t>Northampton | HANOVER | 650</t>
  </si>
  <si>
    <t>Northampton | HANOVER | 660</t>
  </si>
  <si>
    <t>Northampton | HANOVER | 670</t>
  </si>
  <si>
    <t>Northampton | HANOVER | 673</t>
  </si>
  <si>
    <t>Northampton | HANOVER | 677</t>
  </si>
  <si>
    <t>Northampton | HELLERTOWN | 680</t>
  </si>
  <si>
    <t>Northampton | HELLERTOWN | 690</t>
  </si>
  <si>
    <t>Northampton | HELLERTOWN | 700</t>
  </si>
  <si>
    <t>Northampton | LEHIGH | 710</t>
  </si>
  <si>
    <t>Northampton | LEHIGH | 720</t>
  </si>
  <si>
    <t>Northampton | LEHIGH | 730</t>
  </si>
  <si>
    <t>Northampton | LEHIGH | 740</t>
  </si>
  <si>
    <t>Northampton | LEHIGH | 750</t>
  </si>
  <si>
    <t>Northampton | LOWER MT BETHEL | 760</t>
  </si>
  <si>
    <t>LOWER MT BETHEL</t>
  </si>
  <si>
    <t>Northampton | LOWER MT BETHEL | 770</t>
  </si>
  <si>
    <t>Northampton | LOWER MT BETHEL | 775</t>
  </si>
  <si>
    <t>Northampton | LOWER NAZARETH | 780</t>
  </si>
  <si>
    <t>Northampton | LOWER NAZARETH | 785</t>
  </si>
  <si>
    <t>Northampton | LOWER NAZARETH | 790</t>
  </si>
  <si>
    <t>Northampton | LOWER NAZARETH | 795</t>
  </si>
  <si>
    <t>Northampton | LOWER SAUCON | 800</t>
  </si>
  <si>
    <t>Northampton | LOWER SAUCON | 810</t>
  </si>
  <si>
    <t>Northampton | LOWER SAUCON | 820</t>
  </si>
  <si>
    <t>Northampton | LOWER SAUCON | 830</t>
  </si>
  <si>
    <t>Northampton | LOWER SAUCON | 833</t>
  </si>
  <si>
    <t>Northampton | LOWER SAUCON | 837</t>
  </si>
  <si>
    <t>Northampton | LOWER SAUCON | 840</t>
  </si>
  <si>
    <t>Northampton | LOWER SAUCON | 850</t>
  </si>
  <si>
    <t>Northampton | MOORE | 860</t>
  </si>
  <si>
    <t>Northampton | MOORE | 870</t>
  </si>
  <si>
    <t>Northampton | MOORE | 880</t>
  </si>
  <si>
    <t>Northampton | MOORE | 890</t>
  </si>
  <si>
    <t>Northampton | NAZARETH | 900</t>
  </si>
  <si>
    <t>Northampton | NAZARETH | 910</t>
  </si>
  <si>
    <t>Northampton | NAZARETH | 920</t>
  </si>
  <si>
    <t>Northampton | NORTH CATASAUQUA | 930</t>
  </si>
  <si>
    <t>Northampton | NORTH CATASAUQUA | 940</t>
  </si>
  <si>
    <t>Northampton | NORTHAMPTON | 950</t>
  </si>
  <si>
    <t>Northampton | NORTHAMPTON | 960</t>
  </si>
  <si>
    <t>Northampton | NORTHAMPTON | 970</t>
  </si>
  <si>
    <t>Northampton | NORTHAMPTON | 980</t>
  </si>
  <si>
    <t>Northampton | PALMER | 990</t>
  </si>
  <si>
    <t>Northampton | PALMER | 1000</t>
  </si>
  <si>
    <t>Northampton | PALMER | 1005</t>
  </si>
  <si>
    <t>Northampton | PALMER | 1010</t>
  </si>
  <si>
    <t>Northampton | PALMER | 1020</t>
  </si>
  <si>
    <t>Northampton | PALMER | 1030</t>
  </si>
  <si>
    <t>Northampton | PALMER | 1040</t>
  </si>
  <si>
    <t>Northampton | PALMER | 1045</t>
  </si>
  <si>
    <t>Northampton | PALMER | 1050</t>
  </si>
  <si>
    <t>Northampton | PEN ARGYL | 1060</t>
  </si>
  <si>
    <t>Northampton | PEN ARGYL | 1070</t>
  </si>
  <si>
    <t>Northampton | PEN ARGYL | 1080</t>
  </si>
  <si>
    <t>Northampton | PEN ARGYL | 1090</t>
  </si>
  <si>
    <t>Northampton | PLAINFIELD | 1100</t>
  </si>
  <si>
    <t>Northampton | PLAINFIELD | 1110</t>
  </si>
  <si>
    <t>Northampton | PLAINFIELD | 1120</t>
  </si>
  <si>
    <t>Northampton | PLAINFIELD | 1130</t>
  </si>
  <si>
    <t>Northampton | PORTLAND | 1140</t>
  </si>
  <si>
    <t>Northampton | ROSETO | 1150</t>
  </si>
  <si>
    <t>Northampton | STOCKERTOWN | 1160</t>
  </si>
  <si>
    <t>Northampton | TATAMY | 1170</t>
  </si>
  <si>
    <t>Northampton | UPPER MT BETHEL | 1180</t>
  </si>
  <si>
    <t>UPPER MT BETHEL</t>
  </si>
  <si>
    <t>Northampton | UPPER MT BETHEL | 1190</t>
  </si>
  <si>
    <t>Northampton | UPPER MT BETHEL | 1200</t>
  </si>
  <si>
    <t>Northampton | UPPER MT BETHEL | 1210</t>
  </si>
  <si>
    <t>Northampton | UPPER MT BETHEL | 1220</t>
  </si>
  <si>
    <t>Northampton | UPPER NAZARETH | 1230</t>
  </si>
  <si>
    <t>Northampton | UPPER NAZARETH | 1235</t>
  </si>
  <si>
    <t>Northampton | UPPER NAZARETH | 1240</t>
  </si>
  <si>
    <t>Northampton | UPPER NAZARETH | 1245</t>
  </si>
  <si>
    <t>Northampton | WALNUTPORT | 1250</t>
  </si>
  <si>
    <t>Northampton | WASHINGTON | 1260</t>
  </si>
  <si>
    <t>Northampton | WASHINGTON | 1270</t>
  </si>
  <si>
    <t>Northampton | WEST EASTON | 1280</t>
  </si>
  <si>
    <t>Northampton | WILLIAMS | 1290</t>
  </si>
  <si>
    <t>WILLIAMS</t>
  </si>
  <si>
    <t>Northampton | WILLIAMS | 1300</t>
  </si>
  <si>
    <t>Northampton | WILLIAMS | 1310</t>
  </si>
  <si>
    <t>Northampton | WILLIAMS | 1320</t>
  </si>
  <si>
    <t>Northampton | WILSON | 1330</t>
  </si>
  <si>
    <t>Northampton | WILSON | 1340</t>
  </si>
  <si>
    <t>Northampton | WILSON | 1350</t>
  </si>
  <si>
    <t>Northampton | WIND GAP | 1360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</si>
</sst>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0.0"/>
    <numFmt numFmtId="166" formatCode="0.000"/>
  </numFmts>
  <fonts count="6">
    <font>
      <sz val="11.0"/>
      <color theme="1"/>
      <name val="Calibri"/>
      <scheme val="minor"/>
    </font>
    <font>
      <b/>
      <sz val="13.0"/>
      <color theme="1"/>
      <name val="Arial"/>
    </font>
    <font>
      <sz val="10.0"/>
      <color theme="1"/>
      <name val="Arial"/>
    </font>
    <font>
      <b/>
      <sz val="10.0"/>
      <color theme="1"/>
      <name val="Arial"/>
    </font>
    <font>
      <sz val="11.0"/>
      <color theme="1"/>
      <name val="Calibri"/>
    </font>
    <font>
      <sz val="10.0"/>
      <color rgb="FF0000FF"/>
      <name val="Arial"/>
    </font>
  </fonts>
  <fills count="5">
    <fill>
      <patternFill patternType="none"/>
    </fill>
    <fill>
      <patternFill patternType="lightGray"/>
    </fill>
    <fill>
      <patternFill patternType="solid">
        <fgColor rgb="FFDDE4EC"/>
        <bgColor rgb="FFDDE4EC"/>
      </patternFill>
    </fill>
    <fill>
      <patternFill patternType="solid">
        <fgColor rgb="FFFFF7D6"/>
        <bgColor rgb="FFFFF7D6"/>
      </patternFill>
    </fill>
    <fill>
      <patternFill patternType="solid">
        <fgColor rgb="FFEEEEEE"/>
        <bgColor rgb="FFEEEEEE"/>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1"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shrinkToFit="0" vertical="bottom" wrapText="0"/>
    </xf>
    <xf borderId="1" fillId="2" fontId="3" numFmtId="0" xfId="0" applyAlignment="1" applyBorder="1" applyFill="1" applyFont="1">
      <alignment shrinkToFit="0" vertical="bottom" wrapText="1"/>
    </xf>
    <xf borderId="1" fillId="3" fontId="5" numFmtId="9" xfId="0" applyAlignment="1" applyBorder="1" applyFill="1" applyFont="1" applyNumberFormat="1">
      <alignment shrinkToFit="0" vertical="bottom" wrapText="0"/>
    </xf>
    <xf borderId="0" fillId="0" fontId="2" numFmtId="10" xfId="0" applyAlignment="1" applyFont="1" applyNumberFormat="1">
      <alignment shrinkToFit="0" vertical="bottom" wrapText="0"/>
    </xf>
    <xf borderId="0" fillId="0" fontId="2" numFmtId="164" xfId="0" applyAlignment="1" applyFont="1" applyNumberFormat="1">
      <alignment shrinkToFit="0" vertical="bottom" wrapText="0"/>
    </xf>
    <xf borderId="0" fillId="0" fontId="2" numFmtId="3" xfId="0" applyAlignment="1" applyFont="1" applyNumberFormat="1">
      <alignment shrinkToFit="0" vertical="bottom" wrapText="0"/>
    </xf>
    <xf borderId="1" fillId="4" fontId="3" numFmtId="0" xfId="0" applyAlignment="1" applyBorder="1" applyFill="1" applyFont="1">
      <alignment shrinkToFit="0" vertical="bottom" wrapText="0"/>
    </xf>
    <xf borderId="1" fillId="4" fontId="2" numFmtId="0" xfId="0" applyAlignment="1" applyBorder="1" applyFill="1" applyFont="1">
      <alignment shrinkToFit="0" vertical="bottom" wrapText="0"/>
    </xf>
    <xf borderId="1" fillId="4" fontId="2" numFmtId="2" xfId="0" applyAlignment="1" applyBorder="1" applyFill="1" applyFont="1" applyNumberFormat="1">
      <alignment shrinkToFit="0" vertical="bottom" wrapText="0"/>
    </xf>
    <xf borderId="1" fillId="4" fontId="2" numFmtId="10" xfId="0" applyAlignment="1" applyBorder="1" applyFill="1" applyFont="1" applyNumberFormat="1">
      <alignment shrinkToFit="0" vertical="bottom" wrapText="0"/>
    </xf>
    <xf borderId="1" fillId="4" fontId="2" numFmtId="164" xfId="0" applyAlignment="1" applyBorder="1" applyFill="1" applyFont="1" applyNumberFormat="1">
      <alignment shrinkToFit="0" vertical="bottom" wrapText="0"/>
    </xf>
    <xf borderId="1" fillId="4" fontId="2" numFmtId="165" xfId="0" applyAlignment="1" applyBorder="1" applyFill="1" applyFont="1" applyNumberFormat="1">
      <alignment shrinkToFit="0" vertical="bottom" wrapText="0"/>
    </xf>
    <xf borderId="0" fillId="0" fontId="4" numFmtId="3" xfId="0" applyAlignment="1" applyFont="1" applyNumberFormat="1">
      <alignment shrinkToFit="0" vertical="bottom" wrapText="0"/>
    </xf>
    <xf borderId="0" fillId="0" fontId="4" numFmtId="10" xfId="0" applyAlignment="1" applyFont="1" applyNumberFormat="1">
      <alignment shrinkToFit="0" vertical="bottom" wrapText="0"/>
    </xf>
    <xf borderId="0" fillId="0" fontId="3" numFmtId="0" xfId="0" applyAlignment="1" applyFont="1">
      <alignment shrinkToFit="0" vertical="bottom" wrapText="0"/>
    </xf>
    <xf borderId="0" fillId="0" fontId="2" numFmtId="9" xfId="0" applyAlignment="1" applyFont="1" applyNumberFormat="1">
      <alignment shrinkToFit="0" vertical="bottom" wrapText="0"/>
    </xf>
    <xf borderId="0" fillId="0" fontId="2" numFmtId="2" xfId="0" applyAlignment="1" applyFont="1" applyNumberFormat="1">
      <alignment shrinkToFit="0" vertical="bottom" wrapText="0"/>
    </xf>
    <xf borderId="1" fillId="4" fontId="3" numFmtId="164" xfId="0" applyAlignment="1" applyBorder="1" applyFill="1" applyFont="1" applyNumberFormat="1">
      <alignment shrinkToFit="0" vertical="bottom" wrapText="0"/>
    </xf>
    <xf borderId="1" fillId="4" fontId="3" numFmtId="3" xfId="0" applyAlignment="1" applyBorder="1" applyFill="1" applyFont="1" applyNumberFormat="1">
      <alignment shrinkToFit="0" vertical="bottom" wrapText="0"/>
    </xf>
    <xf borderId="1" fillId="4" fontId="3" numFmtId="10" xfId="0" applyAlignment="1" applyBorder="1" applyFill="1" applyFont="1" applyNumberFormat="1">
      <alignment shrinkToFit="0" vertical="bottom" wrapText="0"/>
    </xf>
    <xf borderId="0" fillId="0" fontId="3" numFmtId="10" xfId="0" applyAlignment="1" applyFont="1" applyNumberFormat="1">
      <alignment shrinkToFit="0" vertical="bottom" wrapText="0"/>
    </xf>
    <xf borderId="0" fillId="0" fontId="3" numFmtId="164" xfId="0" applyAlignment="1" applyFont="1" applyNumberFormat="1">
      <alignment shrinkToFit="0" vertical="bottom" wrapText="0"/>
    </xf>
    <xf borderId="0" fillId="0" fontId="2" numFmtId="166" xfId="0" applyAlignment="1" applyFont="1" applyNumberFormat="1">
      <alignment shrinkToFit="0" vertical="bottom" wrapText="0"/>
    </xf>
    <xf borderId="0" fillId="0" fontId="5" numFmtId="164" xfId="0" applyAlignment="1" applyFont="1" applyNumberFormat="1">
      <alignment shrinkToFit="0" vertical="bottom" wrapText="0"/>
    </xf>
    <xf borderId="0" fillId="0" fontId="5"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26" width="8.71"/>
  </cols>
  <sheetData>
    <row r="1">
      <c r="A1" s="1" t="s">
        <v>0</v>
      </c>
    </row>
    <row r="2">
      <c r="A2" s="2" t="s">
        <v>1</v>
      </c>
    </row>
    <row r="3">
      <c r="A3" s="2"/>
    </row>
    <row r="4">
      <c r="A4" s="3" t="s">
        <v>5</v>
      </c>
    </row>
    <row r="5">
      <c r="A5" s="2" t="s">
        <v>6</v>
      </c>
    </row>
    <row r="6">
      <c r="A6" s="2" t="s">
        <v>7</v>
      </c>
    </row>
    <row r="7">
      <c r="A7" s="2" t="s">
        <v>11</v>
      </c>
    </row>
    <row r="8">
      <c r="A8" s="2" t="s">
        <v>12</v>
      </c>
    </row>
    <row r="9">
      <c r="A9" s="2"/>
    </row>
    <row r="10">
      <c r="A10" s="3" t="s">
        <v>13</v>
      </c>
    </row>
    <row r="11">
      <c r="A11" s="2" t="s">
        <v>15</v>
      </c>
    </row>
    <row r="12">
      <c r="A12" s="2"/>
    </row>
    <row r="13">
      <c r="A13" s="3" t="s">
        <v>17</v>
      </c>
    </row>
    <row r="14">
      <c r="A14" s="2" t="s">
        <v>18</v>
      </c>
    </row>
    <row r="15">
      <c r="A15" s="2" t="s">
        <v>19</v>
      </c>
    </row>
    <row r="16">
      <c r="A16" s="2" t="s">
        <v>20</v>
      </c>
    </row>
    <row r="17">
      <c r="A17" s="2" t="s">
        <v>21</v>
      </c>
    </row>
    <row r="18">
      <c r="A18" s="2" t="s">
        <v>22</v>
      </c>
    </row>
    <row r="19">
      <c r="A19" s="2"/>
    </row>
    <row r="20">
      <c r="A20" s="3" t="s">
        <v>23</v>
      </c>
    </row>
    <row r="21" ht="15.75" customHeight="1">
      <c r="A21" s="2" t="s">
        <v>24</v>
      </c>
    </row>
    <row r="22" ht="15.75" customHeight="1">
      <c r="A22" s="2"/>
    </row>
    <row r="23" ht="15.75" customHeight="1">
      <c r="A23" s="3" t="s">
        <v>25</v>
      </c>
    </row>
    <row r="24" ht="15.75" customHeight="1">
      <c r="A24" s="2" t="s">
        <v>26</v>
      </c>
    </row>
    <row r="25" ht="15.75" customHeight="1">
      <c r="A25" s="2" t="s">
        <v>27</v>
      </c>
    </row>
    <row r="26" ht="15.75" customHeight="1">
      <c r="A26" s="2" t="s">
        <v>29</v>
      </c>
    </row>
    <row r="27" ht="15.75" customHeight="1">
      <c r="A27" s="2" t="s">
        <v>31</v>
      </c>
    </row>
    <row r="28" ht="15.75" customHeight="1">
      <c r="A28" s="2" t="s">
        <v>33</v>
      </c>
    </row>
    <row r="29" ht="15.75" customHeight="1">
      <c r="A29" s="2" t="s">
        <v>35</v>
      </c>
    </row>
    <row r="30" ht="15.75" customHeight="1">
      <c r="A30" s="2" t="s">
        <v>37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12.0"/>
    <col customWidth="1" min="3" max="9" width="15.0"/>
    <col customWidth="1" min="10" max="26" width="8.71"/>
  </cols>
  <sheetData>
    <row r="1">
      <c r="A1" s="4" t="s">
        <v>3</v>
      </c>
    </row>
    <row r="2">
      <c r="A2" s="5" t="s">
        <v>9</v>
      </c>
    </row>
    <row r="5">
      <c r="A5" s="6" t="s">
        <v>14</v>
      </c>
      <c r="C5" s="8">
        <v>0.5</v>
      </c>
    </row>
    <row r="7" ht="42.0" customHeight="1">
      <c r="A7" s="7" t="s">
        <v>47</v>
      </c>
      <c r="B7" s="7" t="s">
        <v>49</v>
      </c>
      <c r="C7" s="7" t="s">
        <v>50</v>
      </c>
      <c r="D7" s="7" t="s">
        <v>51</v>
      </c>
      <c r="E7" s="7" t="s">
        <v>53</v>
      </c>
      <c r="F7" s="7" t="s">
        <v>54</v>
      </c>
      <c r="G7" s="7" t="s">
        <v>56</v>
      </c>
      <c r="H7" s="7" t="s">
        <v>58</v>
      </c>
      <c r="I7" s="7" t="s">
        <v>59</v>
      </c>
    </row>
    <row r="8">
      <c r="A8" s="5" t="s">
        <v>60</v>
      </c>
      <c r="B8" s="9">
        <f>'Backtest 2022'!C26</f>
        <v>0.5077529998</v>
      </c>
      <c r="C8" s="9">
        <f>'Backtest 2022'!C23</f>
        <v>0.5079600662</v>
      </c>
      <c r="D8" s="9">
        <f>'Backtest 2022'!C22</f>
        <v>0.5104234938</v>
      </c>
      <c r="E8" s="9">
        <f>'Backtest 2022'!C25</f>
        <v>0.50919178</v>
      </c>
      <c r="F8" s="10">
        <f>'Backtest 2022'!C27</f>
        <v>0.02070664038</v>
      </c>
      <c r="G8" s="10">
        <f>'Backtest 2022'!C28</f>
        <v>0.2670493958</v>
      </c>
      <c r="H8" s="10">
        <f>'Backtest 2022'!C29</f>
        <v>0.1438780181</v>
      </c>
      <c r="I8" s="5" t="str">
        <f t="shared" ref="I8:I9" si="1">IF((E8&gt;0.5)=(B8&gt;0.5),"Yes","No")</f>
        <v>Yes</v>
      </c>
    </row>
    <row r="9">
      <c r="A9" s="5" t="s">
        <v>61</v>
      </c>
      <c r="B9" s="9">
        <f>'Backtest 2024'!C26</f>
        <v>0.4926249069</v>
      </c>
      <c r="C9" s="9">
        <f>'Backtest 2024'!C23</f>
        <v>0.4908407334</v>
      </c>
      <c r="D9" s="9">
        <f>'Backtest 2024'!C22</f>
        <v>0.4875202787</v>
      </c>
      <c r="E9" s="9">
        <f>'Backtest 2024'!C25</f>
        <v>0.489180506</v>
      </c>
      <c r="F9" s="10">
        <f>'Backtest 2024'!C27</f>
        <v>-0.178417353</v>
      </c>
      <c r="G9" s="10">
        <f>'Backtest 2024'!C28</f>
        <v>-0.5104628176</v>
      </c>
      <c r="H9" s="10">
        <f>'Backtest 2024'!C29</f>
        <v>-0.3444400853</v>
      </c>
      <c r="I9" s="5" t="str">
        <f t="shared" si="1"/>
        <v>Yes</v>
      </c>
    </row>
    <row r="10">
      <c r="A10" s="12" t="s">
        <v>69</v>
      </c>
      <c r="B10" s="13"/>
      <c r="C10" s="13"/>
      <c r="D10" s="13"/>
      <c r="E10" s="13"/>
      <c r="F10" s="14">
        <f t="shared" ref="F10:H10" si="2">AVERAGE(ABS(F8),ABS(F9))</f>
        <v>0.09956199667</v>
      </c>
      <c r="G10" s="14">
        <f t="shared" si="2"/>
        <v>0.3887561067</v>
      </c>
      <c r="H10" s="14">
        <f t="shared" si="2"/>
        <v>0.2441590517</v>
      </c>
      <c r="I10" s="13"/>
    </row>
    <row r="11">
      <c r="A11" s="12" t="s">
        <v>70</v>
      </c>
      <c r="B11" s="15"/>
      <c r="C11" s="15">
        <f>'Forecast 2026'!C23</f>
        <v>0.4949430153</v>
      </c>
      <c r="D11" s="15">
        <f>'Forecast 2026'!C22</f>
        <v>0.5001107445</v>
      </c>
      <c r="E11" s="15">
        <f>'Forecast 2026'!C25</f>
        <v>0.4975268799</v>
      </c>
      <c r="F11" s="16"/>
      <c r="G11" s="16"/>
      <c r="H11" s="16"/>
      <c r="I11" s="13" t="str">
        <f>IF(E11&gt;0.5,"Brooks","Mackenzie")</f>
        <v>Mackenzie</v>
      </c>
    </row>
    <row r="12">
      <c r="A12" s="12" t="s">
        <v>71</v>
      </c>
      <c r="B12" s="13"/>
      <c r="C12" s="17">
        <f t="shared" ref="C12:E12" si="3">(2*C11-1)*100</f>
        <v>-1.011396939</v>
      </c>
      <c r="D12" s="17">
        <f t="shared" si="3"/>
        <v>0.02214889239</v>
      </c>
      <c r="E12" s="17">
        <f t="shared" si="3"/>
        <v>-0.4946240234</v>
      </c>
      <c r="F12" s="13"/>
      <c r="G12" s="13"/>
      <c r="H12" s="13"/>
      <c r="I12" s="13"/>
    </row>
    <row r="13">
      <c r="A13" s="5"/>
      <c r="B13" s="5"/>
      <c r="C13" s="5"/>
      <c r="D13" s="5"/>
      <c r="E13" s="5"/>
      <c r="F13" s="5"/>
      <c r="G13" s="5"/>
      <c r="H13" s="5"/>
      <c r="I13" s="5"/>
    </row>
    <row r="14">
      <c r="A14" s="20" t="s">
        <v>72</v>
      </c>
      <c r="B14" s="5"/>
      <c r="C14" s="5"/>
      <c r="D14" s="5"/>
      <c r="E14" s="5"/>
      <c r="F14" s="5"/>
      <c r="G14" s="5"/>
      <c r="H14" s="5"/>
      <c r="I14" s="5"/>
    </row>
    <row r="15" ht="42.0" customHeight="1">
      <c r="A15" s="7" t="s">
        <v>73</v>
      </c>
      <c r="B15" s="7" t="s">
        <v>74</v>
      </c>
      <c r="C15" s="7" t="s">
        <v>75</v>
      </c>
      <c r="D15" s="7" t="s">
        <v>76</v>
      </c>
      <c r="E15" s="7" t="s">
        <v>77</v>
      </c>
      <c r="F15" s="5"/>
      <c r="G15" s="5"/>
      <c r="H15" s="5"/>
      <c r="I15" s="5"/>
    </row>
    <row r="16">
      <c r="A16" s="21">
        <v>1.0</v>
      </c>
      <c r="B16" s="10">
        <f>(A16*'Backtest 2022'!C23+(1-A16)*'Backtest 2022'!C22-'Backtest 2022'!C26)*100</f>
        <v>0.02070664038</v>
      </c>
      <c r="C16" s="10">
        <f>(A16*'Backtest 2024'!C23+(1-A16)*'Backtest 2024'!C22-'Backtest 2024'!C26)*100</f>
        <v>-0.178417353</v>
      </c>
      <c r="D16" s="22">
        <f t="shared" ref="D16:D20" si="4">AVERAGE(ABS(B16),ABS(C16))</f>
        <v>0.09956199667</v>
      </c>
      <c r="E16" s="9">
        <f>A16*'Forecast 2026'!C23+(1-A16)*'Forecast 2026'!C22</f>
        <v>0.4949430153</v>
      </c>
      <c r="F16" s="5"/>
      <c r="G16" s="5"/>
      <c r="H16" s="5"/>
      <c r="I16" s="5"/>
    </row>
    <row r="17">
      <c r="A17" s="21">
        <v>0.75</v>
      </c>
      <c r="B17" s="10">
        <f>(A17*'Backtest 2022'!C23+(1-A17)*'Backtest 2022'!C22-'Backtest 2022'!C26)*100</f>
        <v>0.08229232924</v>
      </c>
      <c r="C17" s="10">
        <f>(A17*'Backtest 2024'!C23+(1-A17)*'Backtest 2024'!C22-'Backtest 2024'!C26)*100</f>
        <v>-0.2614287191</v>
      </c>
      <c r="D17" s="22">
        <f t="shared" si="4"/>
        <v>0.1718605242</v>
      </c>
      <c r="E17" s="9">
        <f>A17*'Forecast 2026'!C23+(1-A17)*'Forecast 2026'!C22</f>
        <v>0.4962349476</v>
      </c>
      <c r="F17" s="5"/>
      <c r="G17" s="5"/>
      <c r="H17" s="5"/>
      <c r="I17" s="5"/>
    </row>
    <row r="18">
      <c r="A18" s="21">
        <v>0.5</v>
      </c>
      <c r="B18" s="10">
        <f>(A18*'Backtest 2022'!C23+(1-A18)*'Backtest 2022'!C22-'Backtest 2022'!C26)*100</f>
        <v>0.1438780181</v>
      </c>
      <c r="C18" s="10">
        <f>(A18*'Backtest 2024'!C23+(1-A18)*'Backtest 2024'!C22-'Backtest 2024'!C26)*100</f>
        <v>-0.3444400853</v>
      </c>
      <c r="D18" s="22">
        <f t="shared" si="4"/>
        <v>0.2441590517</v>
      </c>
      <c r="E18" s="9">
        <f>A18*'Forecast 2026'!C23+(1-A18)*'Forecast 2026'!C22</f>
        <v>0.4975268799</v>
      </c>
      <c r="F18" s="5"/>
      <c r="G18" s="5"/>
      <c r="H18" s="5"/>
      <c r="I18" s="5"/>
    </row>
    <row r="19">
      <c r="A19" s="21">
        <v>0.25</v>
      </c>
      <c r="B19" s="10">
        <f>(A19*'Backtest 2022'!C23+(1-A19)*'Backtest 2022'!C22-'Backtest 2022'!C26)*100</f>
        <v>0.205463707</v>
      </c>
      <c r="C19" s="10">
        <f>(A19*'Backtest 2024'!C23+(1-A19)*'Backtest 2024'!C22-'Backtest 2024'!C26)*100</f>
        <v>-0.4274514514</v>
      </c>
      <c r="D19" s="22">
        <f t="shared" si="4"/>
        <v>0.3164575792</v>
      </c>
      <c r="E19" s="9">
        <f>A19*'Forecast 2026'!C23+(1-A19)*'Forecast 2026'!C22</f>
        <v>0.4988188122</v>
      </c>
      <c r="F19" s="5"/>
      <c r="G19" s="5"/>
      <c r="H19" s="5"/>
      <c r="I19" s="5"/>
    </row>
    <row r="20">
      <c r="A20" s="21">
        <v>0.0</v>
      </c>
      <c r="B20" s="10">
        <f>(A20*'Backtest 2022'!C23+(1-A20)*'Backtest 2022'!C22-'Backtest 2022'!C26)*100</f>
        <v>0.2670493958</v>
      </c>
      <c r="C20" s="10">
        <f>(A20*'Backtest 2024'!C23+(1-A20)*'Backtest 2024'!C22-'Backtest 2024'!C26)*100</f>
        <v>-0.5104628176</v>
      </c>
      <c r="D20" s="22">
        <f t="shared" si="4"/>
        <v>0.3887561067</v>
      </c>
      <c r="E20" s="9">
        <f>A20*'Forecast 2026'!C23+(1-A20)*'Forecast 2026'!C22</f>
        <v>0.5001107445</v>
      </c>
      <c r="F20" s="5"/>
      <c r="G20" s="5"/>
      <c r="H20" s="5"/>
      <c r="I20" s="5"/>
    </row>
    <row r="21" ht="15.75" customHeight="1"/>
    <row r="22" ht="15.75" customHeight="1">
      <c r="A22" s="20" t="s">
        <v>78</v>
      </c>
    </row>
    <row r="23" ht="30.0" customHeight="1">
      <c r="A23" s="2" t="s">
        <v>79</v>
      </c>
    </row>
    <row r="24" ht="30.0" customHeight="1">
      <c r="A24" s="2" t="s">
        <v>80</v>
      </c>
    </row>
    <row r="25" ht="30.0" customHeight="1">
      <c r="A25" s="2" t="s">
        <v>81</v>
      </c>
    </row>
    <row r="26" ht="30.0" customHeight="1">
      <c r="A26" s="2" t="s">
        <v>82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5:B5"/>
    <mergeCell ref="A23:I23"/>
    <mergeCell ref="A24:I24"/>
    <mergeCell ref="A25:I25"/>
    <mergeCell ref="A26:I2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6.0"/>
    <col customWidth="1" min="3" max="3" width="36.0"/>
    <col customWidth="1" min="4" max="16" width="12.0"/>
    <col customWidth="1" min="17" max="26" width="8.71"/>
  </cols>
  <sheetData>
    <row r="1">
      <c r="A1" s="4" t="s">
        <v>4</v>
      </c>
    </row>
    <row r="2">
      <c r="A2" s="5" t="s">
        <v>10</v>
      </c>
    </row>
    <row r="4" ht="42.0" customHeight="1">
      <c r="A4" s="7" t="s">
        <v>16</v>
      </c>
      <c r="B4" s="7" t="s">
        <v>28</v>
      </c>
      <c r="C4" s="7" t="s">
        <v>30</v>
      </c>
      <c r="D4" s="7" t="s">
        <v>32</v>
      </c>
      <c r="E4" s="7" t="s">
        <v>34</v>
      </c>
      <c r="F4" s="7" t="s">
        <v>36</v>
      </c>
      <c r="G4" s="7" t="s">
        <v>38</v>
      </c>
      <c r="H4" s="7" t="s">
        <v>39</v>
      </c>
      <c r="I4" s="7" t="s">
        <v>40</v>
      </c>
      <c r="J4" s="7" t="s">
        <v>41</v>
      </c>
      <c r="K4" s="7" t="s">
        <v>42</v>
      </c>
      <c r="L4" s="7" t="s">
        <v>43</v>
      </c>
      <c r="M4" s="7" t="s">
        <v>44</v>
      </c>
      <c r="N4" s="7" t="s">
        <v>45</v>
      </c>
      <c r="O4" s="7" t="s">
        <v>46</v>
      </c>
      <c r="P4" s="7" t="s">
        <v>48</v>
      </c>
    </row>
    <row r="5">
      <c r="A5" s="5">
        <v>1.0</v>
      </c>
      <c r="B5" s="5">
        <f>MATCH(A5,'Precinct Data'!$Z$1:$Z$379,0)</f>
        <v>133</v>
      </c>
      <c r="C5" s="5" t="str">
        <f t="array" ref="C5">INDEX('Precinct Data'!$F$1:$F$379,$B5)</f>
        <v>EMMAUS 5TH DISTRICT</v>
      </c>
      <c r="D5" s="5" t="str">
        <f t="array" ref="D5">INDEX('Precinct Data'!$B$1:$B$379,$B5)</f>
        <v>Lehigh</v>
      </c>
      <c r="E5" s="10">
        <f t="array" ref="E5">INDEX('Precinct Data'!$U$1:$U$379,$B5)</f>
        <v>-0.5550907683</v>
      </c>
      <c r="F5" s="10">
        <f t="array" ref="F5">INDEX('Precinct Data'!$V$1:$V$379,$B5)</f>
        <v>-0.432824395</v>
      </c>
      <c r="G5" s="11">
        <f t="array" ref="G5">INDEX('Precinct Data'!$I$1:$I$379,$B5)</f>
        <v>259</v>
      </c>
      <c r="H5" s="11">
        <f t="array" ref="H5">INDEX('Precinct Data'!$Q$1:$Q$379,$B5)</f>
        <v>490</v>
      </c>
      <c r="I5" s="11">
        <f t="array" ref="I5">INDEX('Precinct Data'!$K$1:$K$379,$B5)</f>
        <v>325</v>
      </c>
      <c r="J5" s="11">
        <f t="array" ref="J5">INDEX('Precinct Data'!$R$1:$R$379,$B5)</f>
        <v>659</v>
      </c>
      <c r="K5" s="11">
        <f t="array" ref="K5">INDEX('Baseline Rows'!$D$1:$D$366,MATCH($C5,'Baseline Rows'!$C$1:$C$366,0))</f>
        <v>261</v>
      </c>
      <c r="L5" s="11">
        <f t="array" ref="L5">INDEX('Baseline Rows'!$E$1:$E$366,MATCH($C5,'Baseline Rows'!$C$1:$C$366,0))</f>
        <v>247</v>
      </c>
      <c r="M5" s="9">
        <f t="shared" ref="M5:M15" si="1">K5/(K5+L5)</f>
        <v>0.5137795276</v>
      </c>
      <c r="N5" s="11">
        <f t="array" ref="N5">INDEX('Baseline Rows'!$F$1:$F$366,MATCH($C5,'Baseline Rows'!$C$1:$C$366,0))</f>
        <v>294</v>
      </c>
      <c r="O5" s="11">
        <f t="array" ref="O5">INDEX('Baseline Rows'!$G$1:$G$366,MATCH($C5,'Baseline Rows'!$C$1:$C$366,0))</f>
        <v>260</v>
      </c>
      <c r="P5" s="9">
        <f t="shared" ref="P5:P15" si="2">N5/(N5+O5)</f>
        <v>0.5306859206</v>
      </c>
    </row>
    <row r="6">
      <c r="A6" s="5">
        <v>2.0</v>
      </c>
      <c r="B6" s="5">
        <f>MATCH(A6,'Precinct Data'!$Z$1:$Z$379,0)</f>
        <v>180</v>
      </c>
      <c r="C6" s="5" t="str">
        <f t="array" ref="C6">INDEX('Precinct Data'!$F$1:$F$379,$B6)</f>
        <v>SOUTH WHITEHALL 8TH DISTRICT</v>
      </c>
      <c r="D6" s="5" t="str">
        <f t="array" ref="D6">INDEX('Precinct Data'!$B$1:$B$379,$B6)</f>
        <v>Lehigh</v>
      </c>
      <c r="E6" s="10">
        <f t="array" ref="E6">INDEX('Precinct Data'!$U$1:$U$379,$B6)</f>
        <v>-0.5939942334</v>
      </c>
      <c r="F6" s="10">
        <f t="array" ref="F6">INDEX('Precinct Data'!$V$1:$V$379,$B6)</f>
        <v>-0.7147366884</v>
      </c>
      <c r="G6" s="11">
        <f t="array" ref="G6">INDEX('Precinct Data'!$I$1:$I$379,$B6)</f>
        <v>834</v>
      </c>
      <c r="H6" s="11">
        <f t="array" ref="H6">INDEX('Precinct Data'!$Q$1:$Q$379,$B6)</f>
        <v>1579</v>
      </c>
      <c r="I6" s="11">
        <f t="array" ref="I6">INDEX('Precinct Data'!$K$1:$K$379,$B6)</f>
        <v>1169</v>
      </c>
      <c r="J6" s="11">
        <f t="array" ref="J6">INDEX('Precinct Data'!$R$1:$R$379,$B6)</f>
        <v>2384</v>
      </c>
      <c r="K6" s="11">
        <f t="array" ref="K6">INDEX('Baseline Rows'!$D$1:$D$366,MATCH($C6,'Baseline Rows'!$C$1:$C$366,0))</f>
        <v>920</v>
      </c>
      <c r="L6" s="11">
        <f t="array" ref="L6">INDEX('Baseline Rows'!$E$1:$E$366,MATCH($C6,'Baseline Rows'!$C$1:$C$366,0))</f>
        <v>920</v>
      </c>
      <c r="M6" s="9">
        <f t="shared" si="1"/>
        <v>0.5</v>
      </c>
      <c r="N6" s="11">
        <f t="array" ref="N6">INDEX('Baseline Rows'!$F$1:$F$366,MATCH($C6,'Baseline Rows'!$C$1:$C$366,0))</f>
        <v>1062</v>
      </c>
      <c r="O6" s="11">
        <f t="array" ref="O6">INDEX('Baseline Rows'!$G$1:$G$366,MATCH($C6,'Baseline Rows'!$C$1:$C$366,0))</f>
        <v>971</v>
      </c>
      <c r="P6" s="9">
        <f t="shared" si="2"/>
        <v>0.5223807182</v>
      </c>
    </row>
    <row r="7">
      <c r="A7" s="5">
        <v>3.0</v>
      </c>
      <c r="B7" s="5">
        <f>MATCH(A7,'Precinct Data'!$Z$1:$Z$379,0)</f>
        <v>162</v>
      </c>
      <c r="C7" s="5" t="str">
        <f t="array" ref="C7">INDEX('Precinct Data'!$F$1:$F$379,$B7)</f>
        <v>SALISBURY 1ST WARD</v>
      </c>
      <c r="D7" s="5" t="str">
        <f t="array" ref="D7">INDEX('Precinct Data'!$B$1:$B$379,$B7)</f>
        <v>Lehigh</v>
      </c>
      <c r="E7" s="10">
        <f t="array" ref="E7">INDEX('Precinct Data'!$U$1:$U$379,$B7)</f>
        <v>0.8888416434</v>
      </c>
      <c r="F7" s="10">
        <f t="array" ref="F7">INDEX('Precinct Data'!$V$1:$V$379,$B7)</f>
        <v>0.5735366798</v>
      </c>
      <c r="G7" s="11">
        <f t="array" ref="G7">INDEX('Precinct Data'!$I$1:$I$379,$B7)</f>
        <v>505</v>
      </c>
      <c r="H7" s="11">
        <f t="array" ref="H7">INDEX('Precinct Data'!$Q$1:$Q$379,$B7)</f>
        <v>930</v>
      </c>
      <c r="I7" s="11">
        <f t="array" ref="I7">INDEX('Precinct Data'!$K$1:$K$379,$B7)</f>
        <v>700</v>
      </c>
      <c r="J7" s="11">
        <f t="array" ref="J7">INDEX('Precinct Data'!$R$1:$R$379,$B7)</f>
        <v>1391</v>
      </c>
      <c r="K7" s="11">
        <f t="array" ref="K7">INDEX('Baseline Rows'!$D$1:$D$366,MATCH($C7,'Baseline Rows'!$C$1:$C$366,0))</f>
        <v>505</v>
      </c>
      <c r="L7" s="11">
        <f t="array" ref="L7">INDEX('Baseline Rows'!$E$1:$E$366,MATCH($C7,'Baseline Rows'!$C$1:$C$366,0))</f>
        <v>460</v>
      </c>
      <c r="M7" s="9">
        <f t="shared" si="1"/>
        <v>0.5233160622</v>
      </c>
      <c r="N7" s="11">
        <f t="array" ref="N7">INDEX('Baseline Rows'!$F$1:$F$366,MATCH($C7,'Baseline Rows'!$C$1:$C$366,0))</f>
        <v>504</v>
      </c>
      <c r="O7" s="11">
        <f t="array" ref="O7">INDEX('Baseline Rows'!$G$1:$G$366,MATCH($C7,'Baseline Rows'!$C$1:$C$366,0))</f>
        <v>501</v>
      </c>
      <c r="P7" s="9">
        <f t="shared" si="2"/>
        <v>0.5014925373</v>
      </c>
    </row>
    <row r="8">
      <c r="A8" s="5">
        <v>4.0</v>
      </c>
      <c r="B8" s="5">
        <f>MATCH(A8,'Precinct Data'!$Z$1:$Z$379,0)</f>
        <v>163</v>
      </c>
      <c r="C8" s="5" t="str">
        <f t="array" ref="C8">INDEX('Precinct Data'!$F$1:$F$379,$B8)</f>
        <v>SALISBURY 2ND WARD</v>
      </c>
      <c r="D8" s="5" t="str">
        <f t="array" ref="D8">INDEX('Precinct Data'!$B$1:$B$379,$B8)</f>
        <v>Lehigh</v>
      </c>
      <c r="E8" s="10">
        <f t="array" ref="E8">INDEX('Precinct Data'!$U$1:$U$379,$B8)</f>
        <v>0.9146894515</v>
      </c>
      <c r="F8" s="10">
        <f t="array" ref="F8">INDEX('Precinct Data'!$V$1:$V$379,$B8)</f>
        <v>0.4391835195</v>
      </c>
      <c r="G8" s="11">
        <f t="array" ref="G8">INDEX('Precinct Data'!$I$1:$I$379,$B8)</f>
        <v>565</v>
      </c>
      <c r="H8" s="11">
        <f t="array" ref="H8">INDEX('Precinct Data'!$Q$1:$Q$379,$B8)</f>
        <v>1040</v>
      </c>
      <c r="I8" s="11">
        <f t="array" ref="I8">INDEX('Precinct Data'!$K$1:$K$379,$B8)</f>
        <v>796</v>
      </c>
      <c r="J8" s="11">
        <f t="array" ref="J8">INDEX('Precinct Data'!$R$1:$R$379,$B8)</f>
        <v>1586</v>
      </c>
      <c r="K8" s="11">
        <f t="array" ref="K8">INDEX('Baseline Rows'!$D$1:$D$366,MATCH($C8,'Baseline Rows'!$C$1:$C$366,0))</f>
        <v>568</v>
      </c>
      <c r="L8" s="11">
        <f t="array" ref="L8">INDEX('Baseline Rows'!$E$1:$E$366,MATCH($C8,'Baseline Rows'!$C$1:$C$366,0))</f>
        <v>526</v>
      </c>
      <c r="M8" s="9">
        <f t="shared" si="1"/>
        <v>0.5191956124</v>
      </c>
      <c r="N8" s="11">
        <f t="array" ref="N8">INDEX('Baseline Rows'!$F$1:$F$366,MATCH($C8,'Baseline Rows'!$C$1:$C$366,0))</f>
        <v>602</v>
      </c>
      <c r="O8" s="11">
        <f t="array" ref="O8">INDEX('Baseline Rows'!$G$1:$G$366,MATCH($C8,'Baseline Rows'!$C$1:$C$366,0))</f>
        <v>577</v>
      </c>
      <c r="P8" s="9">
        <f t="shared" si="2"/>
        <v>0.5106022053</v>
      </c>
    </row>
    <row r="9">
      <c r="A9" s="5">
        <v>5.0</v>
      </c>
      <c r="B9" s="5">
        <f>MATCH(A9,'Precinct Data'!$Z$1:$Z$379,0)</f>
        <v>254</v>
      </c>
      <c r="C9" s="5" t="str">
        <f t="array" ref="C9">INDEX('Precinct Data'!$F$1:$F$379,$B9)</f>
        <v>BETHLEHEM TWSP 2ND WARD 3RD DISTRICT</v>
      </c>
      <c r="D9" s="5" t="str">
        <f t="array" ref="D9">INDEX('Precinct Data'!$B$1:$B$379,$B9)</f>
        <v>Northampton</v>
      </c>
      <c r="E9" s="10">
        <f t="array" ref="E9">INDEX('Precinct Data'!$U$1:$U$379,$B9)</f>
        <v>1.0455977</v>
      </c>
      <c r="F9" s="10">
        <f t="array" ref="F9">INDEX('Precinct Data'!$V$1:$V$379,$B9)</f>
        <v>0.9631821366</v>
      </c>
      <c r="G9" s="11">
        <f t="array" ref="G9">INDEX('Precinct Data'!$I$1:$I$379,$B9)</f>
        <v>226</v>
      </c>
      <c r="H9" s="11">
        <f t="array" ref="H9">INDEX('Precinct Data'!$Q$1:$Q$379,$B9)</f>
        <v>415</v>
      </c>
      <c r="I9" s="11">
        <f t="array" ref="I9">INDEX('Precinct Data'!$K$1:$K$379,$B9)</f>
        <v>320</v>
      </c>
      <c r="J9" s="11">
        <f t="array" ref="J9">INDEX('Precinct Data'!$R$1:$R$379,$B9)</f>
        <v>631</v>
      </c>
      <c r="K9" s="11">
        <f t="array" ref="K9">INDEX('Baseline Rows'!$D$1:$D$366,MATCH($C9,'Baseline Rows'!$C$1:$C$366,0))</f>
        <v>227</v>
      </c>
      <c r="L9" s="11">
        <f t="array" ref="L9">INDEX('Baseline Rows'!$E$1:$E$366,MATCH($C9,'Baseline Rows'!$C$1:$C$366,0))</f>
        <v>210</v>
      </c>
      <c r="M9" s="9">
        <f t="shared" si="1"/>
        <v>0.5194508009</v>
      </c>
      <c r="N9" s="11">
        <f t="array" ref="N9">INDEX('Baseline Rows'!$F$1:$F$366,MATCH($C9,'Baseline Rows'!$C$1:$C$366,0))</f>
        <v>279</v>
      </c>
      <c r="O9" s="11">
        <f t="array" ref="O9">INDEX('Baseline Rows'!$G$1:$G$366,MATCH($C9,'Baseline Rows'!$C$1:$C$366,0))</f>
        <v>214</v>
      </c>
      <c r="P9" s="9">
        <f t="shared" si="2"/>
        <v>0.5659229209</v>
      </c>
    </row>
    <row r="10">
      <c r="A10" s="5">
        <v>6.0</v>
      </c>
      <c r="B10" s="5">
        <f>MATCH(A10,'Precinct Data'!$Z$1:$Z$379,0)</f>
        <v>173</v>
      </c>
      <c r="C10" s="5" t="str">
        <f t="array" ref="C10">INDEX('Precinct Data'!$F$1:$F$379,$B10)</f>
        <v>SOUTH WHITEHALL 1ST DISTRICT</v>
      </c>
      <c r="D10" s="5" t="str">
        <f t="array" ref="D10">INDEX('Precinct Data'!$B$1:$B$379,$B10)</f>
        <v>Lehigh</v>
      </c>
      <c r="E10" s="10">
        <f t="array" ref="E10">INDEX('Precinct Data'!$U$1:$U$379,$B10)</f>
        <v>1.332864414</v>
      </c>
      <c r="F10" s="10">
        <f t="array" ref="F10">INDEX('Precinct Data'!$V$1:$V$379,$B10)</f>
        <v>-0.9999715877</v>
      </c>
      <c r="G10" s="11">
        <f t="array" ref="G10">INDEX('Precinct Data'!$I$1:$I$379,$B10)</f>
        <v>698</v>
      </c>
      <c r="H10" s="11">
        <f t="array" ref="H10">INDEX('Precinct Data'!$Q$1:$Q$379,$B10)</f>
        <v>1275</v>
      </c>
      <c r="I10" s="11">
        <f t="array" ref="I10">INDEX('Precinct Data'!$K$1:$K$379,$B10)</f>
        <v>897</v>
      </c>
      <c r="J10" s="11">
        <f t="array" ref="J10">INDEX('Precinct Data'!$R$1:$R$379,$B10)</f>
        <v>1840</v>
      </c>
      <c r="K10" s="11">
        <f t="array" ref="K10">INDEX('Baseline Rows'!$D$1:$D$366,MATCH($C10,'Baseline Rows'!$C$1:$C$366,0))</f>
        <v>679</v>
      </c>
      <c r="L10" s="11">
        <f t="array" ref="L10">INDEX('Baseline Rows'!$E$1:$E$366,MATCH($C10,'Baseline Rows'!$C$1:$C$366,0))</f>
        <v>662</v>
      </c>
      <c r="M10" s="9">
        <f t="shared" si="1"/>
        <v>0.5063385533</v>
      </c>
      <c r="N10" s="11">
        <f t="array" ref="N10">INDEX('Baseline Rows'!$F$1:$F$366,MATCH($C10,'Baseline Rows'!$C$1:$C$366,0))</f>
        <v>745</v>
      </c>
      <c r="O10" s="11">
        <f t="array" ref="O10">INDEX('Baseline Rows'!$G$1:$G$366,MATCH($C10,'Baseline Rows'!$C$1:$C$366,0))</f>
        <v>675</v>
      </c>
      <c r="P10" s="9">
        <f t="shared" si="2"/>
        <v>0.5246478873</v>
      </c>
    </row>
    <row r="11">
      <c r="A11" s="5">
        <v>7.0</v>
      </c>
      <c r="B11" s="5">
        <f>MATCH(A11,'Precinct Data'!$Z$1:$Z$379,0)</f>
        <v>165</v>
      </c>
      <c r="C11" s="5" t="str">
        <f t="array" ref="C11">INDEX('Precinct Data'!$F$1:$F$379,$B11)</f>
        <v>SALISBURY 3RD WARD 2ND DIST</v>
      </c>
      <c r="D11" s="5" t="str">
        <f t="array" ref="D11">INDEX('Precinct Data'!$B$1:$B$379,$B11)</f>
        <v>Lehigh</v>
      </c>
      <c r="E11" s="10">
        <f t="array" ref="E11">INDEX('Precinct Data'!$U$1:$U$379,$B11)</f>
        <v>-1.049284665</v>
      </c>
      <c r="F11" s="10">
        <f t="array" ref="F11">INDEX('Precinct Data'!$V$1:$V$379,$B11)</f>
        <v>1.383529672</v>
      </c>
      <c r="G11" s="11">
        <f t="array" ref="G11">INDEX('Precinct Data'!$I$1:$I$379,$B11)</f>
        <v>277</v>
      </c>
      <c r="H11" s="11">
        <f t="array" ref="H11">INDEX('Precinct Data'!$Q$1:$Q$379,$B11)</f>
        <v>529</v>
      </c>
      <c r="I11" s="11">
        <f t="array" ref="I11">INDEX('Precinct Data'!$K$1:$K$379,$B11)</f>
        <v>406</v>
      </c>
      <c r="J11" s="11">
        <f t="array" ref="J11">INDEX('Precinct Data'!$R$1:$R$379,$B11)</f>
        <v>794</v>
      </c>
      <c r="K11" s="11">
        <f t="array" ref="K11">INDEX('Baseline Rows'!$D$1:$D$366,MATCH($C11,'Baseline Rows'!$C$1:$C$366,0))</f>
        <v>279</v>
      </c>
      <c r="L11" s="11">
        <f t="array" ref="L11">INDEX('Baseline Rows'!$E$1:$E$366,MATCH($C11,'Baseline Rows'!$C$1:$C$366,0))</f>
        <v>272</v>
      </c>
      <c r="M11" s="9">
        <f t="shared" si="1"/>
        <v>0.5063520871</v>
      </c>
      <c r="N11" s="11">
        <f t="array" ref="N11">INDEX('Baseline Rows'!$F$1:$F$366,MATCH($C11,'Baseline Rows'!$C$1:$C$366,0))</f>
        <v>331</v>
      </c>
      <c r="O11" s="11">
        <f t="array" ref="O11">INDEX('Baseline Rows'!$G$1:$G$366,MATCH($C11,'Baseline Rows'!$C$1:$C$366,0))</f>
        <v>297</v>
      </c>
      <c r="P11" s="9">
        <f t="shared" si="2"/>
        <v>0.5270700637</v>
      </c>
    </row>
    <row r="12">
      <c r="A12" s="5">
        <v>8.0</v>
      </c>
      <c r="B12" s="5">
        <f>MATCH(A12,'Precinct Data'!$Z$1:$Z$379,0)</f>
        <v>299</v>
      </c>
      <c r="C12" s="5" t="str">
        <f t="array" ref="C12">INDEX('Precinct Data'!$F$1:$F$379,$B12)</f>
        <v>HANOVER #4</v>
      </c>
      <c r="D12" s="5" t="str">
        <f t="array" ref="D12">INDEX('Precinct Data'!$B$1:$B$379,$B12)</f>
        <v>Northampton</v>
      </c>
      <c r="E12" s="10">
        <f t="array" ref="E12">INDEX('Precinct Data'!$U$1:$U$379,$B12)</f>
        <v>-1.494829496</v>
      </c>
      <c r="F12" s="10">
        <f t="array" ref="F12">INDEX('Precinct Data'!$V$1:$V$379,$B12)</f>
        <v>1.471242648</v>
      </c>
      <c r="G12" s="11">
        <f t="array" ref="G12">INDEX('Precinct Data'!$I$1:$I$379,$B12)</f>
        <v>528</v>
      </c>
      <c r="H12" s="11">
        <f t="array" ref="H12">INDEX('Precinct Data'!$Q$1:$Q$379,$B12)</f>
        <v>1017</v>
      </c>
      <c r="I12" s="11">
        <f t="array" ref="I12">INDEX('Precinct Data'!$K$1:$K$379,$B12)</f>
        <v>734</v>
      </c>
      <c r="J12" s="11">
        <f t="array" ref="J12">INDEX('Precinct Data'!$R$1:$R$379,$B12)</f>
        <v>1433</v>
      </c>
      <c r="K12" s="11">
        <f t="array" ref="K12">INDEX('Baseline Rows'!$D$1:$D$366,MATCH($C12,'Baseline Rows'!$C$1:$C$366,0))</f>
        <v>521</v>
      </c>
      <c r="L12" s="11">
        <f t="array" ref="L12">INDEX('Baseline Rows'!$E$1:$E$366,MATCH($C12,'Baseline Rows'!$C$1:$C$366,0))</f>
        <v>497</v>
      </c>
      <c r="M12" s="9">
        <f t="shared" si="1"/>
        <v>0.5117878193</v>
      </c>
      <c r="N12" s="11">
        <f t="array" ref="N12">INDEX('Baseline Rows'!$F$1:$F$366,MATCH($C12,'Baseline Rows'!$C$1:$C$366,0))</f>
        <v>603</v>
      </c>
      <c r="O12" s="11">
        <f t="array" ref="O12">INDEX('Baseline Rows'!$G$1:$G$366,MATCH($C12,'Baseline Rows'!$C$1:$C$366,0))</f>
        <v>543</v>
      </c>
      <c r="P12" s="9">
        <f t="shared" si="2"/>
        <v>0.5261780105</v>
      </c>
    </row>
    <row r="13">
      <c r="A13" s="5">
        <v>9.0</v>
      </c>
      <c r="B13" s="5">
        <f>MATCH(A13,'Precinct Data'!$Z$1:$Z$379,0)</f>
        <v>181</v>
      </c>
      <c r="C13" s="5" t="str">
        <f t="array" ref="C13">INDEX('Precinct Data'!$F$1:$F$379,$B13)</f>
        <v>UPPER MACUNGIE 1ST DISTRICT</v>
      </c>
      <c r="D13" s="5" t="str">
        <f t="array" ref="D13">INDEX('Precinct Data'!$B$1:$B$379,$B13)</f>
        <v>Lehigh</v>
      </c>
      <c r="E13" s="10">
        <f t="array" ref="E13">INDEX('Precinct Data'!$U$1:$U$379,$B13)</f>
        <v>-1.51531165</v>
      </c>
      <c r="F13" s="10">
        <f t="array" ref="F13">INDEX('Precinct Data'!$V$1:$V$379,$B13)</f>
        <v>0.607901623</v>
      </c>
      <c r="G13" s="11">
        <f t="array" ref="G13">INDEX('Precinct Data'!$I$1:$I$379,$B13)</f>
        <v>725</v>
      </c>
      <c r="H13" s="11">
        <f t="array" ref="H13">INDEX('Precinct Data'!$Q$1:$Q$379,$B13)</f>
        <v>1397</v>
      </c>
      <c r="I13" s="11">
        <f t="array" ref="I13">INDEX('Precinct Data'!$K$1:$K$379,$B13)</f>
        <v>985</v>
      </c>
      <c r="J13" s="11">
        <f t="array" ref="J13">INDEX('Precinct Data'!$R$1:$R$379,$B13)</f>
        <v>1956</v>
      </c>
      <c r="K13" s="11">
        <f t="array" ref="K13">INDEX('Baseline Rows'!$D$1:$D$366,MATCH($C13,'Baseline Rows'!$C$1:$C$366,0))</f>
        <v>754</v>
      </c>
      <c r="L13" s="11">
        <f t="array" ref="L13">INDEX('Baseline Rows'!$E$1:$E$366,MATCH($C13,'Baseline Rows'!$C$1:$C$366,0))</f>
        <v>723</v>
      </c>
      <c r="M13" s="9">
        <f t="shared" si="1"/>
        <v>0.5104942451</v>
      </c>
      <c r="N13" s="11">
        <f t="array" ref="N13">INDEX('Baseline Rows'!$F$1:$F$366,MATCH($C13,'Baseline Rows'!$C$1:$C$366,0))</f>
        <v>812</v>
      </c>
      <c r="O13" s="11">
        <f t="array" ref="O13">INDEX('Baseline Rows'!$G$1:$G$366,MATCH($C13,'Baseline Rows'!$C$1:$C$366,0))</f>
        <v>703</v>
      </c>
      <c r="P13" s="9">
        <f t="shared" si="2"/>
        <v>0.5359735974</v>
      </c>
    </row>
    <row r="14">
      <c r="A14" s="5">
        <v>10.0</v>
      </c>
      <c r="B14" s="5">
        <f>MATCH(A14,'Precinct Data'!$Z$1:$Z$379,0)</f>
        <v>164</v>
      </c>
      <c r="C14" s="5" t="str">
        <f t="array" ref="C14">INDEX('Precinct Data'!$F$1:$F$379,$B14)</f>
        <v>SALISBURY 3RD WARD 1ST DIST</v>
      </c>
      <c r="D14" s="5" t="str">
        <f t="array" ref="D14">INDEX('Precinct Data'!$B$1:$B$379,$B14)</f>
        <v>Lehigh</v>
      </c>
      <c r="E14" s="10">
        <f t="array" ref="E14">INDEX('Precinct Data'!$U$1:$U$379,$B14)</f>
        <v>-1.666853749</v>
      </c>
      <c r="F14" s="10">
        <f t="array" ref="F14">INDEX('Precinct Data'!$V$1:$V$379,$B14)</f>
        <v>-0.7010585442</v>
      </c>
      <c r="G14" s="11">
        <f t="array" ref="G14">INDEX('Precinct Data'!$I$1:$I$379,$B14)</f>
        <v>252</v>
      </c>
      <c r="H14" s="11">
        <f t="array" ref="H14">INDEX('Precinct Data'!$Q$1:$Q$379,$B14)</f>
        <v>487</v>
      </c>
      <c r="I14" s="11">
        <f t="array" ref="I14">INDEX('Precinct Data'!$K$1:$K$379,$B14)</f>
        <v>361</v>
      </c>
      <c r="J14" s="11">
        <f t="array" ref="J14">INDEX('Precinct Data'!$R$1:$R$379,$B14)</f>
        <v>736</v>
      </c>
      <c r="K14" s="11">
        <f t="array" ref="K14">INDEX('Baseline Rows'!$D$1:$D$366,MATCH($C14,'Baseline Rows'!$C$1:$C$366,0))</f>
        <v>248</v>
      </c>
      <c r="L14" s="11">
        <f t="array" ref="L14">INDEX('Baseline Rows'!$E$1:$E$366,MATCH($C14,'Baseline Rows'!$C$1:$C$366,0))</f>
        <v>251</v>
      </c>
      <c r="M14" s="9">
        <f t="shared" si="1"/>
        <v>0.496993988</v>
      </c>
      <c r="N14" s="11">
        <f t="array" ref="N14">INDEX('Baseline Rows'!$F$1:$F$366,MATCH($C14,'Baseline Rows'!$C$1:$C$366,0))</f>
        <v>292</v>
      </c>
      <c r="O14" s="11">
        <f t="array" ref="O14">INDEX('Baseline Rows'!$G$1:$G$366,MATCH($C14,'Baseline Rows'!$C$1:$C$366,0))</f>
        <v>268</v>
      </c>
      <c r="P14" s="9">
        <f t="shared" si="2"/>
        <v>0.5214285714</v>
      </c>
    </row>
    <row r="15">
      <c r="A15" s="12"/>
      <c r="B15" s="12"/>
      <c r="C15" s="12" t="s">
        <v>83</v>
      </c>
      <c r="D15" s="12"/>
      <c r="E15" s="23"/>
      <c r="F15" s="23"/>
      <c r="G15" s="24">
        <f t="shared" ref="G15:L15" si="3">SUM(G5:G14)</f>
        <v>4869</v>
      </c>
      <c r="H15" s="24">
        <f t="shared" si="3"/>
        <v>9159</v>
      </c>
      <c r="I15" s="24">
        <f t="shared" si="3"/>
        <v>6693</v>
      </c>
      <c r="J15" s="24">
        <f t="shared" si="3"/>
        <v>13410</v>
      </c>
      <c r="K15" s="24">
        <f t="shared" si="3"/>
        <v>4962</v>
      </c>
      <c r="L15" s="24">
        <f t="shared" si="3"/>
        <v>4768</v>
      </c>
      <c r="M15" s="25">
        <f t="shared" si="1"/>
        <v>0.5099691675</v>
      </c>
      <c r="N15" s="24">
        <f t="shared" ref="N15:O15" si="4">SUM(N5:N14)</f>
        <v>5524</v>
      </c>
      <c r="O15" s="24">
        <f t="shared" si="4"/>
        <v>5009</v>
      </c>
      <c r="P15" s="25">
        <f t="shared" si="2"/>
        <v>0.5244469762</v>
      </c>
    </row>
    <row r="16">
      <c r="A16" s="5"/>
      <c r="B16" s="5"/>
      <c r="C16" s="5"/>
      <c r="D16" s="5"/>
      <c r="E16" s="5"/>
      <c r="F16" s="5"/>
      <c r="G16" s="5"/>
      <c r="H16" s="5"/>
      <c r="I16" s="5"/>
      <c r="J16" s="5"/>
      <c r="K16" s="5"/>
      <c r="L16" s="5"/>
      <c r="M16" s="5"/>
      <c r="N16" s="5"/>
      <c r="O16" s="5"/>
      <c r="P16" s="5"/>
    </row>
    <row r="17">
      <c r="A17" s="5"/>
      <c r="B17" s="5"/>
      <c r="C17" s="5"/>
      <c r="D17" s="5"/>
      <c r="E17" s="5"/>
      <c r="F17" s="5"/>
      <c r="G17" s="5"/>
      <c r="H17" s="5"/>
      <c r="I17" s="5"/>
      <c r="J17" s="5"/>
      <c r="K17" s="5"/>
      <c r="L17" s="5"/>
      <c r="M17" s="5"/>
      <c r="N17" s="5"/>
      <c r="O17" s="5"/>
      <c r="P17" s="5"/>
    </row>
    <row r="18">
      <c r="A18" s="5" t="s">
        <v>84</v>
      </c>
      <c r="C18" s="10">
        <f>(G15/H15-District!B4)*100</f>
        <v>-0.2514082078</v>
      </c>
      <c r="D18" s="5"/>
      <c r="E18" s="5"/>
      <c r="F18" s="5"/>
      <c r="G18" s="5"/>
      <c r="H18" s="5"/>
      <c r="I18" s="5"/>
      <c r="J18" s="5"/>
      <c r="K18" s="5"/>
      <c r="L18" s="5"/>
      <c r="M18" s="5"/>
      <c r="N18" s="5"/>
      <c r="O18" s="5"/>
      <c r="P18" s="5"/>
    </row>
    <row r="19">
      <c r="A19" s="5" t="s">
        <v>85</v>
      </c>
      <c r="C19" s="10">
        <f>(I15/J15-District!B5)*100</f>
        <v>0.1605429537</v>
      </c>
      <c r="D19" s="5"/>
      <c r="E19" s="5"/>
      <c r="F19" s="5"/>
      <c r="G19" s="5"/>
      <c r="H19" s="5"/>
      <c r="I19" s="5"/>
      <c r="J19" s="5"/>
      <c r="K19" s="5"/>
      <c r="L19" s="5"/>
      <c r="M19" s="5"/>
      <c r="N19" s="5"/>
      <c r="O19" s="5"/>
      <c r="P19" s="5"/>
    </row>
    <row r="20">
      <c r="A20" s="5" t="s">
        <v>86</v>
      </c>
      <c r="C20" s="10">
        <f>AVERAGE(C18:C19)</f>
        <v>-0.04543262706</v>
      </c>
      <c r="D20" s="5"/>
      <c r="E20" s="5"/>
      <c r="F20" s="5"/>
      <c r="G20" s="5"/>
      <c r="H20" s="5"/>
      <c r="I20" s="5"/>
      <c r="J20" s="5"/>
      <c r="K20" s="5"/>
      <c r="L20" s="5"/>
      <c r="M20" s="5"/>
      <c r="N20" s="5"/>
      <c r="O20" s="5"/>
      <c r="P20" s="5"/>
    </row>
    <row r="21" ht="15.75" customHeight="1">
      <c r="A21" s="5" t="s">
        <v>87</v>
      </c>
      <c r="C21" s="9">
        <f>M15</f>
        <v>0.5099691675</v>
      </c>
      <c r="D21" s="5"/>
      <c r="E21" s="5"/>
      <c r="F21" s="5"/>
      <c r="G21" s="5"/>
      <c r="H21" s="5"/>
      <c r="I21" s="5"/>
      <c r="J21" s="5"/>
      <c r="K21" s="5"/>
      <c r="L21" s="5"/>
      <c r="M21" s="5"/>
      <c r="N21" s="5"/>
      <c r="O21" s="5"/>
      <c r="P21" s="5"/>
    </row>
    <row r="22" ht="15.75" customHeight="1">
      <c r="A22" s="5" t="s">
        <v>88</v>
      </c>
      <c r="C22" s="9">
        <f>C21-C20/100</f>
        <v>0.5104234938</v>
      </c>
      <c r="D22" s="5"/>
      <c r="E22" s="5"/>
      <c r="F22" s="5"/>
      <c r="G22" s="5"/>
      <c r="H22" s="5"/>
      <c r="I22" s="5"/>
      <c r="J22" s="5"/>
      <c r="K22" s="5"/>
      <c r="L22" s="5"/>
      <c r="M22" s="5"/>
      <c r="N22" s="5"/>
      <c r="O22" s="5"/>
      <c r="P22" s="5"/>
    </row>
    <row r="23" ht="15.75" customHeight="1">
      <c r="A23" s="5" t="s">
        <v>90</v>
      </c>
      <c r="C23" s="9">
        <f>SUMIFS('Baseline Rows'!$D$2:$D$366,'Baseline Rows'!$H$2:$H$366,TRUE())/(SUMIFS('Baseline Rows'!$D$2:$D$366,'Baseline Rows'!$H$2:$H$366,TRUE())+SUMIFS('Baseline Rows'!$E$2:$E$366,'Baseline Rows'!$H$2:$H$366,TRUE()))</f>
        <v>0.5079600662</v>
      </c>
      <c r="D23" s="5"/>
      <c r="E23" s="5"/>
      <c r="F23" s="5"/>
      <c r="G23" s="5"/>
      <c r="H23" s="5"/>
      <c r="I23" s="5"/>
      <c r="J23" s="5"/>
      <c r="K23" s="5"/>
      <c r="L23" s="5"/>
      <c r="M23" s="5"/>
      <c r="N23" s="5"/>
      <c r="O23" s="5"/>
      <c r="P23" s="5"/>
    </row>
    <row r="24" ht="15.75" customHeight="1">
      <c r="A24" s="5" t="s">
        <v>91</v>
      </c>
      <c r="C24" s="21">
        <f>Summary!$C$5</f>
        <v>0.5</v>
      </c>
      <c r="D24" s="5"/>
      <c r="E24" s="5"/>
      <c r="F24" s="5"/>
      <c r="G24" s="5"/>
      <c r="H24" s="5"/>
      <c r="I24" s="5"/>
      <c r="J24" s="5"/>
      <c r="K24" s="5"/>
      <c r="L24" s="5"/>
      <c r="M24" s="5"/>
      <c r="N24" s="5"/>
      <c r="O24" s="5"/>
      <c r="P24" s="5"/>
    </row>
    <row r="25" ht="15.75" customHeight="1">
      <c r="A25" s="20" t="s">
        <v>53</v>
      </c>
      <c r="C25" s="26">
        <f>C24*C23+(1-C24)*C22</f>
        <v>0.50919178</v>
      </c>
      <c r="D25" s="5"/>
      <c r="E25" s="5"/>
      <c r="F25" s="5"/>
      <c r="G25" s="5"/>
      <c r="H25" s="5"/>
      <c r="I25" s="5"/>
      <c r="J25" s="5"/>
      <c r="K25" s="5"/>
      <c r="L25" s="5"/>
      <c r="M25" s="5"/>
      <c r="N25" s="5"/>
      <c r="O25" s="5"/>
      <c r="P25" s="5"/>
    </row>
    <row r="26" ht="15.75" customHeight="1">
      <c r="A26" s="5" t="s">
        <v>92</v>
      </c>
      <c r="C26" s="9">
        <f>SUMIFS('Baseline Rows'!$F$2:$F$366,'Baseline Rows'!$H$2:$H$366,TRUE())/(SUMIFS('Baseline Rows'!$F$2:$F$366,'Baseline Rows'!$H$2:$H$366,TRUE())+SUMIFS('Baseline Rows'!$G$2:$G$366,'Baseline Rows'!$H$2:$H$366,TRUE()))</f>
        <v>0.5077529998</v>
      </c>
      <c r="D26" s="5"/>
      <c r="E26" s="5"/>
      <c r="F26" s="5"/>
      <c r="G26" s="5"/>
      <c r="H26" s="5"/>
      <c r="I26" s="5"/>
      <c r="J26" s="5"/>
      <c r="K26" s="5"/>
      <c r="L26" s="5"/>
      <c r="M26" s="5"/>
      <c r="N26" s="5"/>
      <c r="O26" s="5"/>
      <c r="P26" s="5"/>
    </row>
    <row r="27" ht="15.75" customHeight="1">
      <c r="A27" s="20" t="s">
        <v>113</v>
      </c>
      <c r="C27" s="27">
        <f>(C23-C26)*100</f>
        <v>0.02070664038</v>
      </c>
      <c r="D27" s="5"/>
      <c r="E27" s="5"/>
      <c r="F27" s="5"/>
      <c r="G27" s="5"/>
      <c r="H27" s="5"/>
      <c r="I27" s="5"/>
      <c r="J27" s="5"/>
      <c r="K27" s="5"/>
      <c r="L27" s="5"/>
      <c r="M27" s="5"/>
      <c r="N27" s="5"/>
      <c r="O27" s="5"/>
      <c r="P27" s="5"/>
    </row>
    <row r="28" ht="15.75" customHeight="1">
      <c r="A28" s="20" t="s">
        <v>124</v>
      </c>
      <c r="C28" s="27">
        <f>(C22-C26)*100</f>
        <v>0.2670493958</v>
      </c>
      <c r="D28" s="5"/>
      <c r="E28" s="5"/>
      <c r="F28" s="5"/>
      <c r="G28" s="5"/>
      <c r="H28" s="5"/>
      <c r="I28" s="5"/>
      <c r="J28" s="5"/>
      <c r="K28" s="5"/>
      <c r="L28" s="5"/>
      <c r="M28" s="5"/>
      <c r="N28" s="5"/>
      <c r="O28" s="5"/>
      <c r="P28" s="5"/>
    </row>
    <row r="29" ht="15.75" customHeight="1">
      <c r="A29" s="20" t="s">
        <v>126</v>
      </c>
      <c r="C29" s="27">
        <f>(C25-C26)*100</f>
        <v>0.1438780181</v>
      </c>
      <c r="D29" s="5"/>
      <c r="E29" s="5"/>
      <c r="F29" s="5"/>
      <c r="G29" s="5"/>
      <c r="H29" s="5"/>
      <c r="I29" s="5"/>
      <c r="J29" s="5"/>
      <c r="K29" s="5"/>
      <c r="L29" s="5"/>
      <c r="M29" s="5"/>
      <c r="N29" s="5"/>
      <c r="O29" s="5"/>
      <c r="P29" s="5"/>
    </row>
    <row r="30" ht="15.75" customHeight="1">
      <c r="A30" s="5" t="s">
        <v>127</v>
      </c>
      <c r="C30" s="10">
        <f>(P15-C26)*100</f>
        <v>1.669397633</v>
      </c>
      <c r="D30" s="5"/>
      <c r="E30" s="5"/>
      <c r="F30" s="5"/>
      <c r="G30" s="5"/>
      <c r="H30" s="5"/>
      <c r="I30" s="5"/>
      <c r="J30" s="5"/>
      <c r="K30" s="5"/>
      <c r="L30" s="5"/>
      <c r="M30" s="5"/>
      <c r="N30" s="5"/>
      <c r="O30" s="5"/>
      <c r="P30" s="5"/>
    </row>
    <row r="31" ht="15.75" customHeight="1">
      <c r="A31" s="5" t="s">
        <v>128</v>
      </c>
      <c r="C31" s="10">
        <f>(M15-P15)*100</f>
        <v>-1.447780865</v>
      </c>
      <c r="D31" s="5"/>
      <c r="E31" s="5"/>
      <c r="F31" s="5"/>
      <c r="G31" s="5"/>
      <c r="H31" s="5"/>
      <c r="I31" s="5"/>
      <c r="J31" s="5"/>
      <c r="K31" s="5"/>
      <c r="L31" s="5"/>
      <c r="M31" s="5"/>
      <c r="N31" s="5"/>
      <c r="O31" s="5"/>
      <c r="P31" s="5"/>
    </row>
    <row r="32" ht="15.75" customHeight="1">
      <c r="A32" s="5"/>
      <c r="B32" s="5"/>
      <c r="C32" s="5"/>
      <c r="D32" s="5"/>
      <c r="E32" s="5"/>
      <c r="F32" s="5"/>
      <c r="G32" s="5"/>
      <c r="H32" s="5"/>
      <c r="I32" s="5"/>
      <c r="J32" s="5"/>
      <c r="K32" s="5"/>
      <c r="L32" s="5"/>
      <c r="M32" s="5"/>
      <c r="N32" s="5"/>
      <c r="O32" s="5"/>
      <c r="P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5:B25"/>
    <mergeCell ref="A26:B26"/>
    <mergeCell ref="A27:B27"/>
    <mergeCell ref="A28:B28"/>
    <mergeCell ref="A29:B29"/>
    <mergeCell ref="A30:B30"/>
    <mergeCell ref="A31:B31"/>
    <mergeCell ref="A18:B18"/>
    <mergeCell ref="A19:B19"/>
    <mergeCell ref="A20:B20"/>
    <mergeCell ref="A21:B21"/>
    <mergeCell ref="A22:B22"/>
    <mergeCell ref="A23:B23"/>
    <mergeCell ref="A24:B2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6.0"/>
    <col customWidth="1" min="3" max="3" width="36.0"/>
    <col customWidth="1" min="4" max="16" width="12.0"/>
    <col customWidth="1" min="17" max="26" width="8.71"/>
  </cols>
  <sheetData>
    <row r="1">
      <c r="A1" s="4" t="s">
        <v>2</v>
      </c>
    </row>
    <row r="2">
      <c r="A2" s="5" t="s">
        <v>8</v>
      </c>
    </row>
    <row r="4" ht="42.0" customHeight="1">
      <c r="A4" s="7" t="s">
        <v>16</v>
      </c>
      <c r="B4" s="7" t="s">
        <v>28</v>
      </c>
      <c r="C4" s="7" t="s">
        <v>30</v>
      </c>
      <c r="D4" s="7" t="s">
        <v>32</v>
      </c>
      <c r="E4" s="7" t="s">
        <v>36</v>
      </c>
      <c r="F4" s="7" t="s">
        <v>52</v>
      </c>
      <c r="G4" s="7" t="s">
        <v>40</v>
      </c>
      <c r="H4" s="7" t="s">
        <v>41</v>
      </c>
      <c r="I4" s="7" t="s">
        <v>55</v>
      </c>
      <c r="J4" s="7" t="s">
        <v>57</v>
      </c>
      <c r="K4" s="7" t="s">
        <v>42</v>
      </c>
      <c r="L4" s="7" t="s">
        <v>43</v>
      </c>
      <c r="M4" s="7" t="s">
        <v>44</v>
      </c>
      <c r="N4" s="7" t="s">
        <v>45</v>
      </c>
      <c r="O4" s="7" t="s">
        <v>46</v>
      </c>
      <c r="P4" s="7" t="s">
        <v>48</v>
      </c>
    </row>
    <row r="5">
      <c r="A5" s="5">
        <v>1.0</v>
      </c>
      <c r="B5" s="5">
        <f>MATCH(A5,'Precinct Data'!$AB$1:$AB$379,0)</f>
        <v>163</v>
      </c>
      <c r="C5" s="5" t="str">
        <f t="array" ref="C5">INDEX('Precinct Data'!$G$1:$G$379,$B5)</f>
        <v>SALISBURY 2ND WARD</v>
      </c>
      <c r="D5" s="5" t="str">
        <f t="array" ref="D5">INDEX('Precinct Data'!$B$1:$B$379,$B5)</f>
        <v>Lehigh</v>
      </c>
      <c r="E5" s="10">
        <f t="array" ref="E5">INDEX('Precinct Data'!$V$1:$V$379,$B5)</f>
        <v>0.4391835195</v>
      </c>
      <c r="F5" s="10">
        <f t="array" ref="F5">INDEX('Precinct Data'!$W$1:$W$379,$B5)</f>
        <v>0.0771998213</v>
      </c>
      <c r="G5" s="11">
        <f t="array" ref="G5">INDEX('Precinct Data'!$K$1:$K$379,$B5)</f>
        <v>796</v>
      </c>
      <c r="H5" s="11">
        <f t="array" ref="H5">INDEX('Precinct Data'!$R$1:$R$379,$B5)</f>
        <v>1586</v>
      </c>
      <c r="I5" s="11">
        <f t="array" ref="I5">INDEX('Precinct Data'!$M$1:$M$379,$B5)</f>
        <v>602</v>
      </c>
      <c r="J5" s="11">
        <f t="array" ref="J5">INDEX('Precinct Data'!$S$1:$S$379,$B5)</f>
        <v>1179</v>
      </c>
      <c r="K5" s="11">
        <f t="array" ref="K5">INDEX('Baseline Rows'!$I$1:$I$366,MATCH($C5,'Baseline Rows'!$C$1:$C$366,0))</f>
        <v>802</v>
      </c>
      <c r="L5" s="11">
        <f t="array" ref="L5">INDEX('Baseline Rows'!$J$1:$J$366,MATCH($C5,'Baseline Rows'!$C$1:$C$366,0))</f>
        <v>820</v>
      </c>
      <c r="M5" s="9">
        <f t="shared" ref="M5:M15" si="1">K5/(K5+L5)</f>
        <v>0.4944512947</v>
      </c>
      <c r="N5" s="11">
        <f t="array" ref="N5">INDEX('Baseline Rows'!$K$1:$K$366,MATCH($C5,'Baseline Rows'!$C$1:$C$366,0))</f>
        <v>803</v>
      </c>
      <c r="O5" s="11">
        <f t="array" ref="O5">INDEX('Baseline Rows'!$L$1:$L$366,MATCH($C5,'Baseline Rows'!$C$1:$C$366,0))</f>
        <v>818</v>
      </c>
      <c r="P5" s="9">
        <f t="shared" ref="P5:P15" si="2">N5/(N5+O5)</f>
        <v>0.4953732264</v>
      </c>
    </row>
    <row r="6">
      <c r="A6" s="5">
        <v>2.0</v>
      </c>
      <c r="B6" s="5">
        <f>MATCH(A6,'Precinct Data'!$AB$1:$AB$379,0)</f>
        <v>141</v>
      </c>
      <c r="C6" s="5" t="str">
        <f t="array" ref="C6">INDEX('Precinct Data'!$G$1:$G$379,$B6)</f>
        <v>LOWER MACUNGIE 2ND DISTRICT</v>
      </c>
      <c r="D6" s="5" t="str">
        <f t="array" ref="D6">INDEX('Precinct Data'!$B$1:$B$379,$B6)</f>
        <v>Lehigh</v>
      </c>
      <c r="E6" s="10">
        <f t="array" ref="E6">INDEX('Precinct Data'!$V$1:$V$379,$B6)</f>
        <v>-0.3181534059</v>
      </c>
      <c r="F6" s="10">
        <f t="array" ref="F6">INDEX('Precinct Data'!$W$1:$W$379,$B6)</f>
        <v>0.577359214</v>
      </c>
      <c r="G6" s="11">
        <f t="array" ref="G6">INDEX('Precinct Data'!$K$1:$K$379,$B6)</f>
        <v>1827</v>
      </c>
      <c r="H6" s="11">
        <f t="array" ref="H6">INDEX('Precinct Data'!$R$1:$R$379,$B6)</f>
        <v>3696</v>
      </c>
      <c r="I6" s="11">
        <f t="array" ref="I6">INDEX('Precinct Data'!$M$1:$M$379,$B6)</f>
        <v>1520</v>
      </c>
      <c r="J6" s="11">
        <f t="array" ref="J6">INDEX('Precinct Data'!$S$1:$S$379,$B6)</f>
        <v>2948</v>
      </c>
      <c r="K6" s="11">
        <f t="array" ref="K6">INDEX('Baseline Rows'!$I$1:$I$366,MATCH($C6,'Baseline Rows'!$C$1:$C$366,0))</f>
        <v>1819</v>
      </c>
      <c r="L6" s="11">
        <f t="array" ref="L6">INDEX('Baseline Rows'!$J$1:$J$366,MATCH($C6,'Baseline Rows'!$C$1:$C$366,0))</f>
        <v>1896</v>
      </c>
      <c r="M6" s="9">
        <f t="shared" si="1"/>
        <v>0.4896366083</v>
      </c>
      <c r="N6" s="11">
        <f t="array" ref="N6">INDEX('Baseline Rows'!$K$1:$K$366,MATCH($C6,'Baseline Rows'!$C$1:$C$366,0))</f>
        <v>1799</v>
      </c>
      <c r="O6" s="11">
        <f t="array" ref="O6">INDEX('Baseline Rows'!$L$1:$L$366,MATCH($C6,'Baseline Rows'!$C$1:$C$366,0))</f>
        <v>1810</v>
      </c>
      <c r="P6" s="9">
        <f t="shared" si="2"/>
        <v>0.4984760321</v>
      </c>
    </row>
    <row r="7">
      <c r="A7" s="5">
        <v>3.0</v>
      </c>
      <c r="B7" s="5">
        <f>MATCH(A7,'Precinct Data'!$AB$1:$AB$379,0)</f>
        <v>162</v>
      </c>
      <c r="C7" s="5" t="str">
        <f t="array" ref="C7">INDEX('Precinct Data'!$G$1:$G$379,$B7)</f>
        <v>SALISBURY 1ST WARD</v>
      </c>
      <c r="D7" s="5" t="str">
        <f t="array" ref="D7">INDEX('Precinct Data'!$B$1:$B$379,$B7)</f>
        <v>Lehigh</v>
      </c>
      <c r="E7" s="10">
        <f t="array" ref="E7">INDEX('Precinct Data'!$V$1:$V$379,$B7)</f>
        <v>0.5735366798</v>
      </c>
      <c r="F7" s="10">
        <f t="array" ref="F7">INDEX('Precinct Data'!$W$1:$W$379,$B7)</f>
        <v>-0.8337669732</v>
      </c>
      <c r="G7" s="11">
        <f t="array" ref="G7">INDEX('Precinct Data'!$K$1:$K$379,$B7)</f>
        <v>700</v>
      </c>
      <c r="H7" s="11">
        <f t="array" ref="H7">INDEX('Precinct Data'!$R$1:$R$379,$B7)</f>
        <v>1391</v>
      </c>
      <c r="I7" s="11">
        <f t="array" ref="I7">INDEX('Precinct Data'!$M$1:$M$379,$B7)</f>
        <v>504</v>
      </c>
      <c r="J7" s="11">
        <f t="array" ref="J7">INDEX('Precinct Data'!$S$1:$S$379,$B7)</f>
        <v>1005</v>
      </c>
      <c r="K7" s="11">
        <f t="array" ref="K7">INDEX('Baseline Rows'!$I$1:$I$366,MATCH($C7,'Baseline Rows'!$C$1:$C$366,0))</f>
        <v>678</v>
      </c>
      <c r="L7" s="11">
        <f t="array" ref="L7">INDEX('Baseline Rows'!$J$1:$J$366,MATCH($C7,'Baseline Rows'!$C$1:$C$366,0))</f>
        <v>711</v>
      </c>
      <c r="M7" s="9">
        <f t="shared" si="1"/>
        <v>0.4881209503</v>
      </c>
      <c r="N7" s="11">
        <f t="array" ref="N7">INDEX('Baseline Rows'!$K$1:$K$366,MATCH($C7,'Baseline Rows'!$C$1:$C$366,0))</f>
        <v>668</v>
      </c>
      <c r="O7" s="11">
        <f t="array" ref="O7">INDEX('Baseline Rows'!$L$1:$L$366,MATCH($C7,'Baseline Rows'!$C$1:$C$366,0))</f>
        <v>693</v>
      </c>
      <c r="P7" s="9">
        <f t="shared" si="2"/>
        <v>0.4908155768</v>
      </c>
    </row>
    <row r="8">
      <c r="A8" s="5">
        <v>4.0</v>
      </c>
      <c r="B8" s="5">
        <f>MATCH(A8,'Precinct Data'!$AB$1:$AB$379,0)</f>
        <v>260</v>
      </c>
      <c r="C8" s="5" t="str">
        <f t="array" ref="C8">INDEX('Precinct Data'!$G$1:$G$379,$B8)</f>
        <v>BETHLEHEM TWSP 3RD WARD 5TH DISTRICT</v>
      </c>
      <c r="D8" s="5" t="str">
        <f t="array" ref="D8">INDEX('Precinct Data'!$B$1:$B$379,$B8)</f>
        <v>Northampton</v>
      </c>
      <c r="E8" s="10">
        <f t="array" ref="E8">INDEX('Precinct Data'!$V$1:$V$379,$B8)</f>
        <v>-0.2014388563</v>
      </c>
      <c r="F8" s="10">
        <f t="array" ref="F8">INDEX('Precinct Data'!$W$1:$W$379,$B8)</f>
        <v>0.9120230272</v>
      </c>
      <c r="G8" s="11">
        <f t="array" ref="G8">INDEX('Precinct Data'!$K$1:$K$379,$B8)</f>
        <v>439</v>
      </c>
      <c r="H8" s="11">
        <f t="array" ref="H8">INDEX('Precinct Data'!$R$1:$R$379,$B8)</f>
        <v>886</v>
      </c>
      <c r="I8" s="11">
        <f t="array" ref="I8">INDEX('Precinct Data'!$M$1:$M$379,$B8)</f>
        <v>356</v>
      </c>
      <c r="J8" s="11">
        <f t="array" ref="J8">INDEX('Precinct Data'!$S$1:$S$379,$B8)</f>
        <v>686</v>
      </c>
      <c r="K8" s="11">
        <f t="array" ref="K8">INDEX('Baseline Rows'!$I$1:$I$366,MATCH($C8,'Baseline Rows'!$C$1:$C$366,0))</f>
        <v>415</v>
      </c>
      <c r="L8" s="11">
        <f t="array" ref="L8">INDEX('Baseline Rows'!$J$1:$J$366,MATCH($C8,'Baseline Rows'!$C$1:$C$366,0))</f>
        <v>452</v>
      </c>
      <c r="M8" s="9">
        <f t="shared" si="1"/>
        <v>0.4786620531</v>
      </c>
      <c r="N8" s="11">
        <f t="array" ref="N8">INDEX('Baseline Rows'!$K$1:$K$366,MATCH($C8,'Baseline Rows'!$C$1:$C$366,0))</f>
        <v>436</v>
      </c>
      <c r="O8" s="11">
        <f t="array" ref="O8">INDEX('Baseline Rows'!$L$1:$L$366,MATCH($C8,'Baseline Rows'!$C$1:$C$366,0))</f>
        <v>423</v>
      </c>
      <c r="P8" s="9">
        <f t="shared" si="2"/>
        <v>0.5075669383</v>
      </c>
    </row>
    <row r="9">
      <c r="A9" s="5">
        <v>5.0</v>
      </c>
      <c r="B9" s="5">
        <f>MATCH(A9,'Precinct Data'!$AB$1:$AB$379,0)</f>
        <v>257</v>
      </c>
      <c r="C9" s="5" t="str">
        <f t="array" ref="C9">INDEX('Precinct Data'!$G$1:$G$379,$B9)</f>
        <v>BETHLEHEM TWSP 3RD WARD 2ND DISTRICT</v>
      </c>
      <c r="D9" s="5" t="str">
        <f t="array" ref="D9">INDEX('Precinct Data'!$B$1:$B$379,$B9)</f>
        <v>Northampton</v>
      </c>
      <c r="E9" s="10">
        <f t="array" ref="E9">INDEX('Precinct Data'!$V$1:$V$379,$B9)</f>
        <v>-0.9694837828</v>
      </c>
      <c r="F9" s="10">
        <f t="array" ref="F9">INDEX('Precinct Data'!$W$1:$W$379,$B9)</f>
        <v>-0.9830207046</v>
      </c>
      <c r="G9" s="11">
        <f t="array" ref="G9">INDEX('Precinct Data'!$K$1:$K$379,$B9)</f>
        <v>340</v>
      </c>
      <c r="H9" s="11">
        <f t="array" ref="H9">INDEX('Precinct Data'!$R$1:$R$379,$B9)</f>
        <v>697</v>
      </c>
      <c r="I9" s="11">
        <f t="array" ref="I9">INDEX('Precinct Data'!$M$1:$M$379,$B9)</f>
        <v>276</v>
      </c>
      <c r="J9" s="11">
        <f t="array" ref="J9">INDEX('Precinct Data'!$S$1:$S$379,$B9)</f>
        <v>552</v>
      </c>
      <c r="K9" s="11">
        <f t="array" ref="K9">INDEX('Baseline Rows'!$I$1:$I$366,MATCH($C9,'Baseline Rows'!$C$1:$C$366,0))</f>
        <v>325</v>
      </c>
      <c r="L9" s="11">
        <f t="array" ref="L9">INDEX('Baseline Rows'!$J$1:$J$366,MATCH($C9,'Baseline Rows'!$C$1:$C$366,0))</f>
        <v>363</v>
      </c>
      <c r="M9" s="9">
        <f t="shared" si="1"/>
        <v>0.4723837209</v>
      </c>
      <c r="N9" s="11">
        <f t="array" ref="N9">INDEX('Baseline Rows'!$K$1:$K$366,MATCH($C9,'Baseline Rows'!$C$1:$C$366,0))</f>
        <v>352</v>
      </c>
      <c r="O9" s="11">
        <f t="array" ref="O9">INDEX('Baseline Rows'!$L$1:$L$366,MATCH($C9,'Baseline Rows'!$C$1:$C$366,0))</f>
        <v>326</v>
      </c>
      <c r="P9" s="9">
        <f t="shared" si="2"/>
        <v>0.5191740413</v>
      </c>
    </row>
    <row r="10">
      <c r="A10" s="5">
        <v>6.0</v>
      </c>
      <c r="B10" s="5">
        <f>MATCH(A10,'Precinct Data'!$AB$1:$AB$379,0)</f>
        <v>182</v>
      </c>
      <c r="C10" s="5" t="str">
        <f t="array" ref="C10">INDEX('Precinct Data'!$G$1:$G$379,$B10)</f>
        <v>UPPER MACUNGIE 2ND DISTRICT</v>
      </c>
      <c r="D10" s="5" t="str">
        <f t="array" ref="D10">INDEX('Precinct Data'!$B$1:$B$379,$B10)</f>
        <v>Lehigh</v>
      </c>
      <c r="E10" s="10">
        <f t="array" ref="E10">INDEX('Precinct Data'!$V$1:$V$379,$B10)</f>
        <v>-0.2354084809</v>
      </c>
      <c r="F10" s="10">
        <f t="array" ref="F10">INDEX('Precinct Data'!$W$1:$W$379,$B10)</f>
        <v>1.072428626</v>
      </c>
      <c r="G10" s="11">
        <f t="array" ref="G10">INDEX('Precinct Data'!$K$1:$K$379,$B10)</f>
        <v>1275</v>
      </c>
      <c r="H10" s="11">
        <f t="array" ref="H10">INDEX('Precinct Data'!$R$1:$R$379,$B10)</f>
        <v>2575</v>
      </c>
      <c r="I10" s="11">
        <f t="array" ref="I10">INDEX('Precinct Data'!$M$1:$M$379,$B10)</f>
        <v>1089</v>
      </c>
      <c r="J10" s="11">
        <f t="array" ref="J10">INDEX('Precinct Data'!$S$1:$S$379,$B10)</f>
        <v>2092</v>
      </c>
      <c r="K10" s="11">
        <f t="array" ref="K10">INDEX('Baseline Rows'!$I$1:$I$366,MATCH($C10,'Baseline Rows'!$C$1:$C$366,0))</f>
        <v>1276</v>
      </c>
      <c r="L10" s="11">
        <f t="array" ref="L10">INDEX('Baseline Rows'!$J$1:$J$366,MATCH($C10,'Baseline Rows'!$C$1:$C$366,0))</f>
        <v>1287</v>
      </c>
      <c r="M10" s="9">
        <f t="shared" si="1"/>
        <v>0.4978540773</v>
      </c>
      <c r="N10" s="11">
        <f t="array" ref="N10">INDEX('Baseline Rows'!$K$1:$K$366,MATCH($C10,'Baseline Rows'!$C$1:$C$366,0))</f>
        <v>1311</v>
      </c>
      <c r="O10" s="11">
        <f t="array" ref="O10">INDEX('Baseline Rows'!$L$1:$L$366,MATCH($C10,'Baseline Rows'!$C$1:$C$366,0))</f>
        <v>1258</v>
      </c>
      <c r="P10" s="9">
        <f t="shared" si="2"/>
        <v>0.5103152978</v>
      </c>
    </row>
    <row r="11">
      <c r="A11" s="5">
        <v>7.0</v>
      </c>
      <c r="B11" s="5">
        <f>MATCH(A11,'Precinct Data'!$AB$1:$AB$379,0)</f>
        <v>140</v>
      </c>
      <c r="C11" s="5" t="str">
        <f t="array" ref="C11">INDEX('Precinct Data'!$G$1:$G$379,$B11)</f>
        <v>LOWER MACUNGIE 1ST DISTRICT</v>
      </c>
      <c r="D11" s="5" t="str">
        <f t="array" ref="D11">INDEX('Precinct Data'!$B$1:$B$379,$B11)</f>
        <v>Lehigh</v>
      </c>
      <c r="E11" s="10">
        <f t="array" ref="E11">INDEX('Precinct Data'!$V$1:$V$379,$B11)</f>
        <v>-0.2944361975</v>
      </c>
      <c r="F11" s="10">
        <f t="array" ref="F11">INDEX('Precinct Data'!$W$1:$W$379,$B11)</f>
        <v>1.090439011</v>
      </c>
      <c r="G11" s="11">
        <f t="array" ref="G11">INDEX('Precinct Data'!$K$1:$K$379,$B11)</f>
        <v>1090</v>
      </c>
      <c r="H11" s="11">
        <f t="array" ref="H11">INDEX('Precinct Data'!$R$1:$R$379,$B11)</f>
        <v>2204</v>
      </c>
      <c r="I11" s="11">
        <f t="array" ref="I11">INDEX('Precinct Data'!$M$1:$M$379,$B11)</f>
        <v>879</v>
      </c>
      <c r="J11" s="11">
        <f t="array" ref="J11">INDEX('Precinct Data'!$S$1:$S$379,$B11)</f>
        <v>1688</v>
      </c>
      <c r="K11" s="11">
        <f t="array" ref="K11">INDEX('Baseline Rows'!$I$1:$I$366,MATCH($C11,'Baseline Rows'!$C$1:$C$366,0))</f>
        <v>1115</v>
      </c>
      <c r="L11" s="11">
        <f t="array" ref="L11">INDEX('Baseline Rows'!$J$1:$J$366,MATCH($C11,'Baseline Rows'!$C$1:$C$366,0))</f>
        <v>1140</v>
      </c>
      <c r="M11" s="9">
        <f t="shared" si="1"/>
        <v>0.4944567627</v>
      </c>
      <c r="N11" s="11">
        <f t="array" ref="N11">INDEX('Baseline Rows'!$K$1:$K$366,MATCH($C11,'Baseline Rows'!$C$1:$C$366,0))</f>
        <v>1082</v>
      </c>
      <c r="O11" s="11">
        <f t="array" ref="O11">INDEX('Baseline Rows'!$L$1:$L$366,MATCH($C11,'Baseline Rows'!$C$1:$C$366,0))</f>
        <v>1101</v>
      </c>
      <c r="P11" s="9">
        <f t="shared" si="2"/>
        <v>0.4956481906</v>
      </c>
    </row>
    <row r="12">
      <c r="A12" s="5">
        <v>8.0</v>
      </c>
      <c r="B12" s="5">
        <f>MATCH(A12,'Precinct Data'!$AB$1:$AB$379,0)</f>
        <v>333</v>
      </c>
      <c r="C12" s="5" t="str">
        <f t="array" ref="C12">INDEX('Precinct Data'!$G$1:$G$379,$B12)</f>
        <v>NORTH CATASAUQUA 2ND WARD</v>
      </c>
      <c r="D12" s="5" t="str">
        <f t="array" ref="D12">INDEX('Precinct Data'!$B$1:$B$379,$B12)</f>
        <v>Northampton</v>
      </c>
      <c r="E12" s="10">
        <f t="array" ref="E12">INDEX('Precinct Data'!$V$1:$V$379,$B12)</f>
        <v>-1.141437265</v>
      </c>
      <c r="F12" s="10">
        <f t="array" ref="F12">INDEX('Precinct Data'!$W$1:$W$379,$B12)</f>
        <v>0.9820447976</v>
      </c>
      <c r="G12" s="11">
        <f t="array" ref="G12">INDEX('Precinct Data'!$K$1:$K$379,$B12)</f>
        <v>524</v>
      </c>
      <c r="H12" s="11">
        <f t="array" ref="H12">INDEX('Precinct Data'!$R$1:$R$379,$B12)</f>
        <v>1078</v>
      </c>
      <c r="I12" s="11">
        <f t="array" ref="I12">INDEX('Precinct Data'!$M$1:$M$379,$B12)</f>
        <v>476</v>
      </c>
      <c r="J12" s="11">
        <f t="array" ref="J12">INDEX('Precinct Data'!$S$1:$S$379,$B12)</f>
        <v>916</v>
      </c>
      <c r="K12" s="11">
        <f t="array" ref="K12">INDEX('Baseline Rows'!$I$1:$I$366,MATCH($C12,'Baseline Rows'!$C$1:$C$366,0))</f>
        <v>605</v>
      </c>
      <c r="L12" s="11">
        <f t="array" ref="L12">INDEX('Baseline Rows'!$J$1:$J$366,MATCH($C12,'Baseline Rows'!$C$1:$C$366,0))</f>
        <v>644</v>
      </c>
      <c r="M12" s="9">
        <f t="shared" si="1"/>
        <v>0.48438751</v>
      </c>
      <c r="N12" s="11">
        <f t="array" ref="N12">INDEX('Baseline Rows'!$K$1:$K$366,MATCH($C12,'Baseline Rows'!$C$1:$C$366,0))</f>
        <v>625</v>
      </c>
      <c r="O12" s="11">
        <f t="array" ref="O12">INDEX('Baseline Rows'!$L$1:$L$366,MATCH($C12,'Baseline Rows'!$C$1:$C$366,0))</f>
        <v>613</v>
      </c>
      <c r="P12" s="9">
        <f t="shared" si="2"/>
        <v>0.5048465267</v>
      </c>
    </row>
    <row r="13">
      <c r="A13" s="5">
        <v>9.0</v>
      </c>
      <c r="B13" s="5">
        <f>MATCH(A13,'Precinct Data'!$AB$1:$AB$379,0)</f>
        <v>144</v>
      </c>
      <c r="C13" s="5" t="str">
        <f t="array" ref="C13">INDEX('Precinct Data'!$G$1:$G$379,$B13)</f>
        <v>LOWER MACUNGIE 5TH DISTRICT</v>
      </c>
      <c r="D13" s="5" t="str">
        <f t="array" ref="D13">INDEX('Precinct Data'!$B$1:$B$379,$B13)</f>
        <v>Lehigh</v>
      </c>
      <c r="E13" s="10">
        <f t="array" ref="E13">INDEX('Precinct Data'!$V$1:$V$379,$B13)</f>
        <v>-1.142933465</v>
      </c>
      <c r="F13" s="10">
        <f t="array" ref="F13">INDEX('Precinct Data'!$W$1:$W$379,$B13)</f>
        <v>1.089947786</v>
      </c>
      <c r="G13" s="11">
        <f t="array" ref="G13">INDEX('Precinct Data'!$K$1:$K$379,$B13)</f>
        <v>663</v>
      </c>
      <c r="H13" s="11">
        <f t="array" ref="H13">INDEX('Precinct Data'!$R$1:$R$379,$B13)</f>
        <v>1364</v>
      </c>
      <c r="I13" s="11">
        <f t="array" ref="I13">INDEX('Precinct Data'!$M$1:$M$379,$B13)</f>
        <v>628</v>
      </c>
      <c r="J13" s="11">
        <f t="array" ref="J13">INDEX('Precinct Data'!$S$1:$S$379,$B13)</f>
        <v>1206</v>
      </c>
      <c r="K13" s="11">
        <f t="array" ref="K13">INDEX('Baseline Rows'!$I$1:$I$366,MATCH($C13,'Baseline Rows'!$C$1:$C$366,0))</f>
        <v>668</v>
      </c>
      <c r="L13" s="11">
        <f t="array" ref="L13">INDEX('Baseline Rows'!$J$1:$J$366,MATCH($C13,'Baseline Rows'!$C$1:$C$366,0))</f>
        <v>721</v>
      </c>
      <c r="M13" s="9">
        <f t="shared" si="1"/>
        <v>0.4809215263</v>
      </c>
      <c r="N13" s="11">
        <f t="array" ref="N13">INDEX('Baseline Rows'!$K$1:$K$366,MATCH($C13,'Baseline Rows'!$C$1:$C$366,0))</f>
        <v>715</v>
      </c>
      <c r="O13" s="11">
        <f t="array" ref="O13">INDEX('Baseline Rows'!$L$1:$L$366,MATCH($C13,'Baseline Rows'!$C$1:$C$366,0))</f>
        <v>677</v>
      </c>
      <c r="P13" s="9">
        <f t="shared" si="2"/>
        <v>0.5136494253</v>
      </c>
    </row>
    <row r="14">
      <c r="A14" s="5">
        <v>10.0</v>
      </c>
      <c r="B14" s="5">
        <f>MATCH(A14,'Precinct Data'!$AB$1:$AB$379,0)</f>
        <v>329</v>
      </c>
      <c r="C14" s="5" t="str">
        <f t="array" ref="C14">INDEX('Precinct Data'!$G$1:$G$379,$B14)</f>
        <v>NAZARETH BORO 1ST WARD</v>
      </c>
      <c r="D14" s="5" t="str">
        <f t="array" ref="D14">INDEX('Precinct Data'!$B$1:$B$379,$B14)</f>
        <v>Northampton</v>
      </c>
      <c r="E14" s="10">
        <f t="array" ref="E14">INDEX('Precinct Data'!$V$1:$V$379,$B14)</f>
        <v>-1.149462682</v>
      </c>
      <c r="F14" s="10">
        <f t="array" ref="F14">INDEX('Precinct Data'!$W$1:$W$379,$B14)</f>
        <v>-0.9305548074</v>
      </c>
      <c r="G14" s="11">
        <f t="array" ref="G14">INDEX('Precinct Data'!$K$1:$K$379,$B14)</f>
        <v>573</v>
      </c>
      <c r="H14" s="11">
        <f t="array" ref="H14">INDEX('Precinct Data'!$R$1:$R$379,$B14)</f>
        <v>1179</v>
      </c>
      <c r="I14" s="11">
        <f t="array" ref="I14">INDEX('Precinct Data'!$M$1:$M$379,$B14)</f>
        <v>477</v>
      </c>
      <c r="J14" s="11">
        <f t="array" ref="J14">INDEX('Precinct Data'!$S$1:$S$379,$B14)</f>
        <v>953</v>
      </c>
      <c r="K14" s="11">
        <f t="array" ref="K14">INDEX('Baseline Rows'!$I$1:$I$366,MATCH($C14,'Baseline Rows'!$C$1:$C$366,0))</f>
        <v>555</v>
      </c>
      <c r="L14" s="11">
        <f t="array" ref="L14">INDEX('Baseline Rows'!$J$1:$J$366,MATCH($C14,'Baseline Rows'!$C$1:$C$366,0))</f>
        <v>624</v>
      </c>
      <c r="M14" s="9">
        <f t="shared" si="1"/>
        <v>0.4707379135</v>
      </c>
      <c r="N14" s="11">
        <f t="array" ref="N14">INDEX('Baseline Rows'!$K$1:$K$366,MATCH($C14,'Baseline Rows'!$C$1:$C$366,0))</f>
        <v>601</v>
      </c>
      <c r="O14" s="11">
        <f t="array" ref="O14">INDEX('Baseline Rows'!$L$1:$L$366,MATCH($C14,'Baseline Rows'!$C$1:$C$366,0))</f>
        <v>605</v>
      </c>
      <c r="P14" s="9">
        <f t="shared" si="2"/>
        <v>0.4983416252</v>
      </c>
    </row>
    <row r="15">
      <c r="A15" s="12"/>
      <c r="B15" s="12"/>
      <c r="C15" s="12" t="s">
        <v>83</v>
      </c>
      <c r="D15" s="12"/>
      <c r="E15" s="23"/>
      <c r="F15" s="23"/>
      <c r="G15" s="24">
        <f t="shared" ref="G15:L15" si="3">SUM(G5:G14)</f>
        <v>8227</v>
      </c>
      <c r="H15" s="24">
        <f t="shared" si="3"/>
        <v>16656</v>
      </c>
      <c r="I15" s="24">
        <f t="shared" si="3"/>
        <v>6807</v>
      </c>
      <c r="J15" s="24">
        <f t="shared" si="3"/>
        <v>13225</v>
      </c>
      <c r="K15" s="24">
        <f t="shared" si="3"/>
        <v>8258</v>
      </c>
      <c r="L15" s="24">
        <f t="shared" si="3"/>
        <v>8658</v>
      </c>
      <c r="M15" s="25">
        <f t="shared" si="1"/>
        <v>0.488176874</v>
      </c>
      <c r="N15" s="24">
        <f t="shared" ref="N15:O15" si="4">SUM(N5:N14)</f>
        <v>8392</v>
      </c>
      <c r="O15" s="24">
        <f t="shared" si="4"/>
        <v>8324</v>
      </c>
      <c r="P15" s="25">
        <f t="shared" si="2"/>
        <v>0.5020339794</v>
      </c>
    </row>
    <row r="16">
      <c r="A16" s="5"/>
      <c r="B16" s="5"/>
      <c r="C16" s="5"/>
      <c r="D16" s="5"/>
      <c r="E16" s="5"/>
      <c r="F16" s="5"/>
      <c r="G16" s="5"/>
      <c r="H16" s="5"/>
      <c r="I16" s="5"/>
      <c r="J16" s="5"/>
      <c r="K16" s="5"/>
      <c r="L16" s="5"/>
      <c r="M16" s="5"/>
      <c r="N16" s="5"/>
      <c r="O16" s="5"/>
      <c r="P16" s="5"/>
    </row>
    <row r="17">
      <c r="A17" s="5"/>
      <c r="B17" s="5"/>
      <c r="C17" s="5"/>
      <c r="D17" s="5"/>
      <c r="E17" s="5"/>
      <c r="F17" s="5"/>
      <c r="G17" s="5"/>
      <c r="H17" s="5"/>
      <c r="I17" s="5"/>
      <c r="J17" s="5"/>
      <c r="K17" s="5"/>
      <c r="L17" s="5"/>
      <c r="M17" s="5"/>
      <c r="N17" s="5"/>
      <c r="O17" s="5"/>
      <c r="P17" s="5"/>
    </row>
    <row r="18">
      <c r="A18" s="5" t="s">
        <v>85</v>
      </c>
      <c r="C18" s="10">
        <f>(G15/H15-District!B5)*100</f>
        <v>-0.3563596761</v>
      </c>
      <c r="D18" s="5"/>
      <c r="E18" s="5"/>
      <c r="F18" s="5"/>
      <c r="G18" s="5"/>
      <c r="H18" s="5"/>
      <c r="I18" s="5"/>
      <c r="J18" s="5"/>
      <c r="K18" s="5"/>
      <c r="L18" s="5"/>
      <c r="M18" s="5"/>
      <c r="N18" s="5"/>
      <c r="O18" s="5"/>
      <c r="P18" s="5"/>
    </row>
    <row r="19">
      <c r="A19" s="5" t="s">
        <v>89</v>
      </c>
      <c r="C19" s="10">
        <f>(I15/J15-District!B6)*100</f>
        <v>0.4876787283</v>
      </c>
      <c r="D19" s="5"/>
      <c r="E19" s="5"/>
      <c r="F19" s="5"/>
      <c r="G19" s="5"/>
      <c r="H19" s="5"/>
      <c r="I19" s="5"/>
      <c r="J19" s="5"/>
      <c r="K19" s="5"/>
      <c r="L19" s="5"/>
      <c r="M19" s="5"/>
      <c r="N19" s="5"/>
      <c r="O19" s="5"/>
      <c r="P19" s="5"/>
    </row>
    <row r="20">
      <c r="A20" s="5" t="s">
        <v>86</v>
      </c>
      <c r="C20" s="10">
        <f>AVERAGE(C18:C19)</f>
        <v>0.06565952613</v>
      </c>
      <c r="D20" s="5"/>
      <c r="E20" s="5"/>
      <c r="F20" s="5"/>
      <c r="G20" s="5"/>
      <c r="H20" s="5"/>
      <c r="I20" s="5"/>
      <c r="J20" s="5"/>
      <c r="K20" s="5"/>
      <c r="L20" s="5"/>
      <c r="M20" s="5"/>
      <c r="N20" s="5"/>
      <c r="O20" s="5"/>
      <c r="P20" s="5"/>
    </row>
    <row r="21" ht="15.75" customHeight="1">
      <c r="A21" s="5" t="s">
        <v>87</v>
      </c>
      <c r="C21" s="9">
        <f>M15</f>
        <v>0.488176874</v>
      </c>
      <c r="D21" s="5"/>
      <c r="E21" s="5"/>
      <c r="F21" s="5"/>
      <c r="G21" s="5"/>
      <c r="H21" s="5"/>
      <c r="I21" s="5"/>
      <c r="J21" s="5"/>
      <c r="K21" s="5"/>
      <c r="L21" s="5"/>
      <c r="M21" s="5"/>
      <c r="N21" s="5"/>
      <c r="O21" s="5"/>
      <c r="P21" s="5"/>
    </row>
    <row r="22" ht="15.75" customHeight="1">
      <c r="A22" s="5" t="s">
        <v>88</v>
      </c>
      <c r="C22" s="9">
        <f>C21-C20/100</f>
        <v>0.4875202787</v>
      </c>
      <c r="D22" s="5"/>
      <c r="E22" s="5"/>
      <c r="F22" s="5"/>
      <c r="G22" s="5"/>
      <c r="H22" s="5"/>
      <c r="I22" s="5"/>
      <c r="J22" s="5"/>
      <c r="K22" s="5"/>
      <c r="L22" s="5"/>
      <c r="M22" s="5"/>
      <c r="N22" s="5"/>
      <c r="O22" s="5"/>
      <c r="P22" s="5"/>
    </row>
    <row r="23" ht="15.75" customHeight="1">
      <c r="A23" s="5" t="s">
        <v>90</v>
      </c>
      <c r="C23" s="9">
        <f>SUMIFS('Baseline Rows'!$I$2:$I$366,'Baseline Rows'!$M$2:$M$366,TRUE())/(SUMIFS('Baseline Rows'!$I$2:$I$366,'Baseline Rows'!$M$2:$M$366,TRUE())+SUMIFS('Baseline Rows'!$J$2:$J$366,'Baseline Rows'!$M$2:$M$366,TRUE()))</f>
        <v>0.4908407334</v>
      </c>
      <c r="D23" s="5"/>
      <c r="E23" s="5"/>
      <c r="F23" s="5"/>
      <c r="G23" s="5"/>
      <c r="H23" s="5"/>
      <c r="I23" s="5"/>
      <c r="J23" s="5"/>
      <c r="K23" s="5"/>
      <c r="L23" s="5"/>
      <c r="M23" s="5"/>
      <c r="N23" s="5"/>
      <c r="O23" s="5"/>
      <c r="P23" s="5"/>
    </row>
    <row r="24" ht="15.75" customHeight="1">
      <c r="A24" s="5" t="s">
        <v>91</v>
      </c>
      <c r="C24" s="21">
        <f>Summary!$C$5</f>
        <v>0.5</v>
      </c>
      <c r="D24" s="5"/>
      <c r="E24" s="5"/>
      <c r="F24" s="5"/>
      <c r="G24" s="5"/>
      <c r="H24" s="5"/>
      <c r="I24" s="5"/>
      <c r="J24" s="5"/>
      <c r="K24" s="5"/>
      <c r="L24" s="5"/>
      <c r="M24" s="5"/>
      <c r="N24" s="5"/>
      <c r="O24" s="5"/>
      <c r="P24" s="5"/>
    </row>
    <row r="25" ht="15.75" customHeight="1">
      <c r="A25" s="20" t="s">
        <v>53</v>
      </c>
      <c r="C25" s="26">
        <f>C24*C23+(1-C24)*C22</f>
        <v>0.489180506</v>
      </c>
      <c r="D25" s="5"/>
      <c r="E25" s="5"/>
      <c r="F25" s="5"/>
      <c r="G25" s="5"/>
      <c r="H25" s="5"/>
      <c r="I25" s="5"/>
      <c r="J25" s="5"/>
      <c r="K25" s="5"/>
      <c r="L25" s="5"/>
      <c r="M25" s="5"/>
      <c r="N25" s="5"/>
      <c r="O25" s="5"/>
      <c r="P25" s="5"/>
    </row>
    <row r="26" ht="15.75" customHeight="1">
      <c r="A26" s="5" t="s">
        <v>92</v>
      </c>
      <c r="C26" s="9">
        <f>SUMIFS('Baseline Rows'!$K$2:$K$366,'Baseline Rows'!$M$2:$M$366,TRUE())/(SUMIFS('Baseline Rows'!$K$2:$K$366,'Baseline Rows'!$M$2:$M$366,TRUE())+SUMIFS('Baseline Rows'!$L$2:$L$366,'Baseline Rows'!$M$2:$M$366,TRUE()))</f>
        <v>0.4926249069</v>
      </c>
      <c r="D26" s="5"/>
      <c r="E26" s="5"/>
      <c r="F26" s="5"/>
      <c r="G26" s="5"/>
      <c r="H26" s="5"/>
      <c r="I26" s="5"/>
      <c r="J26" s="5"/>
      <c r="K26" s="5"/>
      <c r="L26" s="5"/>
      <c r="M26" s="5"/>
      <c r="N26" s="5"/>
      <c r="O26" s="5"/>
      <c r="P26" s="5"/>
    </row>
    <row r="27" ht="15.75" customHeight="1">
      <c r="A27" s="20" t="s">
        <v>113</v>
      </c>
      <c r="C27" s="27">
        <f>(C23-C26)*100</f>
        <v>-0.178417353</v>
      </c>
      <c r="D27" s="5"/>
      <c r="E27" s="5"/>
      <c r="F27" s="5"/>
      <c r="G27" s="5"/>
      <c r="H27" s="5"/>
      <c r="I27" s="5"/>
      <c r="J27" s="5"/>
      <c r="K27" s="5"/>
      <c r="L27" s="5"/>
      <c r="M27" s="5"/>
      <c r="N27" s="5"/>
      <c r="O27" s="5"/>
      <c r="P27" s="5"/>
    </row>
    <row r="28" ht="15.75" customHeight="1">
      <c r="A28" s="20" t="s">
        <v>124</v>
      </c>
      <c r="C28" s="27">
        <f>(C22-C26)*100</f>
        <v>-0.5104628176</v>
      </c>
      <c r="D28" s="5"/>
      <c r="E28" s="5"/>
      <c r="F28" s="5"/>
      <c r="G28" s="5"/>
      <c r="H28" s="5"/>
      <c r="I28" s="5"/>
      <c r="J28" s="5"/>
      <c r="K28" s="5"/>
      <c r="L28" s="5"/>
      <c r="M28" s="5"/>
      <c r="N28" s="5"/>
      <c r="O28" s="5"/>
      <c r="P28" s="5"/>
    </row>
    <row r="29" ht="15.75" customHeight="1">
      <c r="A29" s="20" t="s">
        <v>126</v>
      </c>
      <c r="C29" s="27">
        <f>(C25-C26)*100</f>
        <v>-0.3444400853</v>
      </c>
      <c r="D29" s="5"/>
      <c r="E29" s="5"/>
      <c r="F29" s="5"/>
      <c r="G29" s="5"/>
      <c r="H29" s="5"/>
      <c r="I29" s="5"/>
      <c r="J29" s="5"/>
      <c r="K29" s="5"/>
      <c r="L29" s="5"/>
      <c r="M29" s="5"/>
      <c r="N29" s="5"/>
      <c r="O29" s="5"/>
      <c r="P29" s="5"/>
    </row>
    <row r="30" ht="15.75" customHeight="1">
      <c r="A30" s="5" t="s">
        <v>127</v>
      </c>
      <c r="C30" s="10">
        <f>(P15-C26)*100</f>
        <v>0.9409072541</v>
      </c>
      <c r="D30" s="5"/>
      <c r="E30" s="5"/>
      <c r="F30" s="5"/>
      <c r="G30" s="5"/>
      <c r="H30" s="5"/>
      <c r="I30" s="5"/>
      <c r="J30" s="5"/>
      <c r="K30" s="5"/>
      <c r="L30" s="5"/>
      <c r="M30" s="5"/>
      <c r="N30" s="5"/>
      <c r="O30" s="5"/>
      <c r="P30" s="5"/>
    </row>
    <row r="31" ht="15.75" customHeight="1">
      <c r="A31" s="5" t="s">
        <v>128</v>
      </c>
      <c r="C31" s="10">
        <f>(M15-P15)*100</f>
        <v>-1.385710546</v>
      </c>
      <c r="D31" s="5"/>
      <c r="E31" s="5"/>
      <c r="F31" s="5"/>
      <c r="G31" s="5"/>
      <c r="H31" s="5"/>
      <c r="I31" s="5"/>
      <c r="J31" s="5"/>
      <c r="K31" s="5"/>
      <c r="L31" s="5"/>
      <c r="M31" s="5"/>
      <c r="N31" s="5"/>
      <c r="O31" s="5"/>
      <c r="P31" s="5"/>
    </row>
    <row r="32" ht="15.75" customHeight="1">
      <c r="A32" s="5"/>
      <c r="B32" s="5"/>
      <c r="C32" s="5"/>
      <c r="D32" s="5"/>
      <c r="E32" s="5"/>
      <c r="F32" s="5"/>
      <c r="G32" s="5"/>
      <c r="H32" s="5"/>
      <c r="I32" s="5"/>
      <c r="J32" s="5"/>
      <c r="K32" s="5"/>
      <c r="L32" s="5"/>
      <c r="M32" s="5"/>
      <c r="N32" s="5"/>
      <c r="O32" s="5"/>
      <c r="P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5:B25"/>
    <mergeCell ref="A26:B26"/>
    <mergeCell ref="A27:B27"/>
    <mergeCell ref="A28:B28"/>
    <mergeCell ref="A29:B29"/>
    <mergeCell ref="A30:B30"/>
    <mergeCell ref="A31:B31"/>
    <mergeCell ref="A18:B18"/>
    <mergeCell ref="A19:B19"/>
    <mergeCell ref="A20:B20"/>
    <mergeCell ref="A21:B21"/>
    <mergeCell ref="A22:B22"/>
    <mergeCell ref="A23:B23"/>
    <mergeCell ref="A24:B2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6.0"/>
    <col customWidth="1" min="3" max="3" width="36.0"/>
    <col customWidth="1" min="4" max="16" width="12.0"/>
    <col customWidth="1" min="17" max="26" width="8.71"/>
  </cols>
  <sheetData>
    <row r="1">
      <c r="A1" s="4" t="s">
        <v>62</v>
      </c>
    </row>
    <row r="2">
      <c r="A2" s="5" t="s">
        <v>63</v>
      </c>
    </row>
    <row r="4" ht="42.0" customHeight="1">
      <c r="A4" s="7" t="s">
        <v>16</v>
      </c>
      <c r="B4" s="7" t="s">
        <v>28</v>
      </c>
      <c r="C4" s="7" t="s">
        <v>30</v>
      </c>
      <c r="D4" s="7" t="s">
        <v>32</v>
      </c>
      <c r="E4" s="7" t="s">
        <v>52</v>
      </c>
      <c r="F4" s="7" t="s">
        <v>64</v>
      </c>
      <c r="G4" s="7" t="s">
        <v>55</v>
      </c>
      <c r="H4" s="7" t="s">
        <v>57</v>
      </c>
      <c r="I4" s="7" t="s">
        <v>65</v>
      </c>
      <c r="J4" s="7" t="s">
        <v>66</v>
      </c>
      <c r="K4" s="7" t="s">
        <v>67</v>
      </c>
      <c r="L4" s="7" t="s">
        <v>68</v>
      </c>
      <c r="M4" s="7" t="s">
        <v>44</v>
      </c>
    </row>
    <row r="5">
      <c r="A5" s="5">
        <v>1.0</v>
      </c>
      <c r="B5" s="5">
        <f>MATCH(A5,'Precinct Data'!$AD$1:$AD$379,0)</f>
        <v>163</v>
      </c>
      <c r="C5" s="5" t="str">
        <f t="array" ref="C5">INDEX('Precinct Data'!$H$1:$H$379,$B5)</f>
        <v>SALISBURY 2ND WARD</v>
      </c>
      <c r="D5" s="5" t="str">
        <f t="array" ref="D5">INDEX('Precinct Data'!$B$1:$B$379,$B5)</f>
        <v>Lehigh</v>
      </c>
      <c r="E5" s="10">
        <f t="array" ref="E5">INDEX('Precinct Data'!$W$1:$W$379,$B5)</f>
        <v>0.0771998213</v>
      </c>
      <c r="F5" s="10">
        <f t="array" ref="F5">INDEX('Precinct Data'!$X$1:$X$379,$B5)</f>
        <v>0.0409004978</v>
      </c>
      <c r="G5" s="11">
        <f t="array" ref="G5">INDEX('Precinct Data'!$M$1:$M$379,$B5)</f>
        <v>602</v>
      </c>
      <c r="H5" s="11">
        <f t="array" ref="H5">INDEX('Precinct Data'!$S$1:$S$379,$B5)</f>
        <v>1179</v>
      </c>
      <c r="I5" s="11">
        <f t="array" ref="I5">INDEX('Precinct Data'!$O$1:$O$379,$B5)</f>
        <v>803</v>
      </c>
      <c r="J5" s="11">
        <f t="array" ref="J5">INDEX('Precinct Data'!$T$1:$T$379,$B5)</f>
        <v>1621</v>
      </c>
      <c r="K5" s="11">
        <f t="array" ref="K5">INDEX('Baseline Rows'!$N$1:$N$366,MATCH($C5,'Baseline Rows'!$C$1:$C$366,0))</f>
        <v>618</v>
      </c>
      <c r="L5" s="11">
        <f t="array" ref="L5">INDEX('Baseline Rows'!$O$1:$O$366,MATCH($C5,'Baseline Rows'!$C$1:$C$366,0))</f>
        <v>613</v>
      </c>
      <c r="M5" s="9">
        <f t="shared" ref="M5:M15" si="1">K5/(K5+L5)</f>
        <v>0.5020308692</v>
      </c>
      <c r="N5" s="18"/>
      <c r="O5" s="18"/>
      <c r="P5" s="19"/>
    </row>
    <row r="6">
      <c r="A6" s="5">
        <v>2.0</v>
      </c>
      <c r="B6" s="5">
        <f>MATCH(A6,'Precinct Data'!$AD$1:$AD$379,0)</f>
        <v>169</v>
      </c>
      <c r="C6" s="5" t="str">
        <f t="array" ref="C6">INDEX('Precinct Data'!$H$1:$H$379,$B6)</f>
        <v>SALISBURY 5TH WARD 2ND DIST</v>
      </c>
      <c r="D6" s="5" t="str">
        <f t="array" ref="D6">INDEX('Precinct Data'!$B$1:$B$379,$B6)</f>
        <v>Lehigh</v>
      </c>
      <c r="E6" s="10">
        <f t="array" ref="E6">INDEX('Precinct Data'!$W$1:$W$379,$B6)</f>
        <v>0.3654151099</v>
      </c>
      <c r="F6" s="10">
        <f t="array" ref="F6">INDEX('Precinct Data'!$X$1:$X$379,$B6)</f>
        <v>0.4099448986</v>
      </c>
      <c r="G6" s="11">
        <f t="array" ref="G6">INDEX('Precinct Data'!$M$1:$M$379,$B6)</f>
        <v>476</v>
      </c>
      <c r="H6" s="11">
        <f t="array" ref="H6">INDEX('Precinct Data'!$S$1:$S$379,$B6)</f>
        <v>927</v>
      </c>
      <c r="I6" s="11">
        <f t="array" ref="I6">INDEX('Precinct Data'!$O$1:$O$379,$B6)</f>
        <v>533</v>
      </c>
      <c r="J6" s="11">
        <f t="array" ref="J6">INDEX('Precinct Data'!$T$1:$T$379,$B6)</f>
        <v>1068</v>
      </c>
      <c r="K6" s="11">
        <f t="array" ref="K6">INDEX('Baseline Rows'!$N$1:$N$366,MATCH($C6,'Baseline Rows'!$C$1:$C$366,0))</f>
        <v>461</v>
      </c>
      <c r="L6" s="11">
        <f t="array" ref="L6">INDEX('Baseline Rows'!$O$1:$O$366,MATCH($C6,'Baseline Rows'!$C$1:$C$366,0))</f>
        <v>439</v>
      </c>
      <c r="M6" s="9">
        <f t="shared" si="1"/>
        <v>0.5122222222</v>
      </c>
      <c r="N6" s="18"/>
      <c r="O6" s="18"/>
      <c r="P6" s="19"/>
    </row>
    <row r="7">
      <c r="A7" s="5">
        <v>3.0</v>
      </c>
      <c r="B7" s="5">
        <f>MATCH(A7,'Precinct Data'!$AD$1:$AD$379,0)</f>
        <v>141</v>
      </c>
      <c r="C7" s="5" t="str">
        <f t="array" ref="C7">INDEX('Precinct Data'!$H$1:$H$379,$B7)</f>
        <v>LOWER MACUNGIE 2ND DISTRICT</v>
      </c>
      <c r="D7" s="5" t="str">
        <f t="array" ref="D7">INDEX('Precinct Data'!$B$1:$B$379,$B7)</f>
        <v>Lehigh</v>
      </c>
      <c r="E7" s="10">
        <f t="array" ref="E7">INDEX('Precinct Data'!$W$1:$W$379,$B7)</f>
        <v>0.577359214</v>
      </c>
      <c r="F7" s="10">
        <f t="array" ref="F7">INDEX('Precinct Data'!$X$1:$X$379,$B7)</f>
        <v>0.3511810716</v>
      </c>
      <c r="G7" s="11">
        <f t="array" ref="G7">INDEX('Precinct Data'!$M$1:$M$379,$B7)</f>
        <v>1520</v>
      </c>
      <c r="H7" s="11">
        <f t="array" ref="H7">INDEX('Precinct Data'!$S$1:$S$379,$B7)</f>
        <v>2948</v>
      </c>
      <c r="I7" s="11">
        <f t="array" ref="I7">INDEX('Precinct Data'!$O$1:$O$379,$B7)</f>
        <v>1799</v>
      </c>
      <c r="J7" s="11">
        <f t="array" ref="J7">INDEX('Precinct Data'!$T$1:$T$379,$B7)</f>
        <v>3609</v>
      </c>
      <c r="K7" s="11">
        <f t="array" ref="K7">INDEX('Baseline Rows'!$N$1:$N$366,MATCH($C7,'Baseline Rows'!$C$1:$C$366,0))</f>
        <v>1504</v>
      </c>
      <c r="L7" s="11">
        <f t="array" ref="L7">INDEX('Baseline Rows'!$O$1:$O$366,MATCH($C7,'Baseline Rows'!$C$1:$C$366,0))</f>
        <v>1461</v>
      </c>
      <c r="M7" s="9">
        <f t="shared" si="1"/>
        <v>0.5072512648</v>
      </c>
      <c r="N7" s="18"/>
      <c r="O7" s="18"/>
      <c r="P7" s="19"/>
    </row>
    <row r="8">
      <c r="A8" s="5">
        <v>4.0</v>
      </c>
      <c r="B8" s="5">
        <f>MATCH(A8,'Precinct Data'!$AD$1:$AD$379,0)</f>
        <v>162</v>
      </c>
      <c r="C8" s="5" t="str">
        <f t="array" ref="C8">INDEX('Precinct Data'!$H$1:$H$379,$B8)</f>
        <v>SALISBURY 1ST WARD</v>
      </c>
      <c r="D8" s="5" t="str">
        <f t="array" ref="D8">INDEX('Precinct Data'!$B$1:$B$379,$B8)</f>
        <v>Lehigh</v>
      </c>
      <c r="E8" s="10">
        <f t="array" ref="E8">INDEX('Precinct Data'!$W$1:$W$379,$B8)</f>
        <v>-0.8337669732</v>
      </c>
      <c r="F8" s="10">
        <f t="array" ref="F8">INDEX('Precinct Data'!$X$1:$X$379,$B8)</f>
        <v>-0.4148644644</v>
      </c>
      <c r="G8" s="11">
        <f t="array" ref="G8">INDEX('Precinct Data'!$M$1:$M$379,$B8)</f>
        <v>504</v>
      </c>
      <c r="H8" s="11">
        <f t="array" ref="H8">INDEX('Precinct Data'!$S$1:$S$379,$B8)</f>
        <v>1005</v>
      </c>
      <c r="I8" s="11">
        <f t="array" ref="I8">INDEX('Precinct Data'!$O$1:$O$379,$B8)</f>
        <v>668</v>
      </c>
      <c r="J8" s="11">
        <f t="array" ref="J8">INDEX('Precinct Data'!$T$1:$T$379,$B8)</f>
        <v>1361</v>
      </c>
      <c r="K8" s="11">
        <f t="array" ref="K8">INDEX('Baseline Rows'!$N$1:$N$366,MATCH($C8,'Baseline Rows'!$C$1:$C$366,0))</f>
        <v>508</v>
      </c>
      <c r="L8" s="11">
        <f t="array" ref="L8">INDEX('Baseline Rows'!$O$1:$O$366,MATCH($C8,'Baseline Rows'!$C$1:$C$366,0))</f>
        <v>511</v>
      </c>
      <c r="M8" s="9">
        <f t="shared" si="1"/>
        <v>0.4985279686</v>
      </c>
      <c r="N8" s="18"/>
      <c r="O8" s="18"/>
      <c r="P8" s="19"/>
    </row>
    <row r="9">
      <c r="A9" s="5">
        <v>5.0</v>
      </c>
      <c r="B9" s="5">
        <f>MATCH(A9,'Precinct Data'!$AD$1:$AD$379,0)</f>
        <v>191</v>
      </c>
      <c r="C9" s="5" t="str">
        <f t="array" ref="C9">INDEX('Precinct Data'!$H$1:$H$379,$B9)</f>
        <v>UPPER SAUCON 1ST DISTRICT</v>
      </c>
      <c r="D9" s="5" t="str">
        <f t="array" ref="D9">INDEX('Precinct Data'!$B$1:$B$379,$B9)</f>
        <v>Lehigh</v>
      </c>
      <c r="E9" s="10">
        <f t="array" ref="E9">INDEX('Precinct Data'!$W$1:$W$379,$B9)</f>
        <v>-0.1530264287</v>
      </c>
      <c r="F9" s="10">
        <f t="array" ref="F9">INDEX('Precinct Data'!$X$1:$X$379,$B9)</f>
        <v>-0.8594063606</v>
      </c>
      <c r="G9" s="11">
        <f t="array" ref="G9">INDEX('Precinct Data'!$M$1:$M$379,$B9)</f>
        <v>888</v>
      </c>
      <c r="H9" s="11">
        <f t="array" ref="H9">INDEX('Precinct Data'!$S$1:$S$379,$B9)</f>
        <v>1747</v>
      </c>
      <c r="I9" s="11">
        <f t="array" ref="I9">INDEX('Precinct Data'!$O$1:$O$379,$B9)</f>
        <v>1017</v>
      </c>
      <c r="J9" s="11">
        <f t="array" ref="J9">INDEX('Precinct Data'!$T$1:$T$379,$B9)</f>
        <v>2091</v>
      </c>
      <c r="K9" s="11">
        <f t="array" ref="K9">INDEX('Baseline Rows'!$N$1:$N$366,MATCH($C9,'Baseline Rows'!$C$1:$C$366,0))</f>
        <v>864</v>
      </c>
      <c r="L9" s="11">
        <f t="array" ref="L9">INDEX('Baseline Rows'!$O$1:$O$366,MATCH($C9,'Baseline Rows'!$C$1:$C$366,0))</f>
        <v>905</v>
      </c>
      <c r="M9" s="9">
        <f t="shared" si="1"/>
        <v>0.4884115319</v>
      </c>
      <c r="N9" s="18"/>
      <c r="O9" s="18"/>
      <c r="P9" s="19"/>
    </row>
    <row r="10">
      <c r="A10" s="5">
        <v>6.0</v>
      </c>
      <c r="B10" s="5">
        <f>MATCH(A10,'Precinct Data'!$AD$1:$AD$379,0)</f>
        <v>329</v>
      </c>
      <c r="C10" s="5" t="str">
        <f t="array" ref="C10">INDEX('Precinct Data'!$H$1:$H$379,$B10)</f>
        <v>NAZARETH BORO 1ST WARD</v>
      </c>
      <c r="D10" s="5" t="str">
        <f t="array" ref="D10">INDEX('Precinct Data'!$B$1:$B$379,$B10)</f>
        <v>Northampton</v>
      </c>
      <c r="E10" s="10">
        <f t="array" ref="E10">INDEX('Precinct Data'!$W$1:$W$379,$B10)</f>
        <v>-0.9305548074</v>
      </c>
      <c r="F10" s="10">
        <f t="array" ref="F10">INDEX('Precinct Data'!$X$1:$X$379,$B10)</f>
        <v>0.3377403782</v>
      </c>
      <c r="G10" s="11">
        <f t="array" ref="G10">INDEX('Precinct Data'!$M$1:$M$379,$B10)</f>
        <v>477</v>
      </c>
      <c r="H10" s="11">
        <f t="array" ref="H10">INDEX('Precinct Data'!$S$1:$S$379,$B10)</f>
        <v>953</v>
      </c>
      <c r="I10" s="11">
        <f t="array" ref="I10">INDEX('Precinct Data'!$O$1:$O$379,$B10)</f>
        <v>601</v>
      </c>
      <c r="J10" s="11">
        <f t="array" ref="J10">INDEX('Precinct Data'!$T$1:$T$379,$B10)</f>
        <v>1206</v>
      </c>
      <c r="K10" s="11">
        <f t="array" ref="K10">INDEX('Baseline Rows'!$N$1:$N$366,MATCH($C10,'Baseline Rows'!$C$1:$C$366,0))</f>
        <v>490</v>
      </c>
      <c r="L10" s="11">
        <f t="array" ref="L10">INDEX('Baseline Rows'!$O$1:$O$366,MATCH($C10,'Baseline Rows'!$C$1:$C$366,0))</f>
        <v>488</v>
      </c>
      <c r="M10" s="9">
        <f t="shared" si="1"/>
        <v>0.5010224949</v>
      </c>
      <c r="N10" s="18"/>
      <c r="O10" s="18"/>
      <c r="P10" s="19"/>
    </row>
    <row r="11">
      <c r="A11" s="5">
        <v>7.0</v>
      </c>
      <c r="B11" s="5">
        <f>MATCH(A11,'Precinct Data'!$AD$1:$AD$379,0)</f>
        <v>333</v>
      </c>
      <c r="C11" s="5" t="str">
        <f t="array" ref="C11">INDEX('Precinct Data'!$H$1:$H$379,$B11)</f>
        <v>NORTH CATASAUQUA 2ND WARD</v>
      </c>
      <c r="D11" s="5" t="str">
        <f t="array" ref="D11">INDEX('Precinct Data'!$B$1:$B$379,$B11)</f>
        <v>Northampton</v>
      </c>
      <c r="E11" s="10">
        <f t="array" ref="E11">INDEX('Precinct Data'!$W$1:$W$379,$B11)</f>
        <v>0.9820447976</v>
      </c>
      <c r="F11" s="10">
        <f t="array" ref="F11">INDEX('Precinct Data'!$X$1:$X$379,$B11)</f>
        <v>0.988230523</v>
      </c>
      <c r="G11" s="11">
        <f t="array" ref="G11">INDEX('Precinct Data'!$M$1:$M$379,$B11)</f>
        <v>476</v>
      </c>
      <c r="H11" s="11">
        <f t="array" ref="H11">INDEX('Precinct Data'!$S$1:$S$379,$B11)</f>
        <v>916</v>
      </c>
      <c r="I11" s="11">
        <f t="array" ref="I11">INDEX('Precinct Data'!$O$1:$O$379,$B11)</f>
        <v>625</v>
      </c>
      <c r="J11" s="11">
        <f t="array" ref="J11">INDEX('Precinct Data'!$T$1:$T$379,$B11)</f>
        <v>1238</v>
      </c>
      <c r="K11" s="11">
        <f t="array" ref="K11">INDEX('Baseline Rows'!$N$1:$N$366,MATCH($C11,'Baseline Rows'!$C$1:$C$366,0))</f>
        <v>530</v>
      </c>
      <c r="L11" s="11">
        <f t="array" ref="L11">INDEX('Baseline Rows'!$O$1:$O$366,MATCH($C11,'Baseline Rows'!$C$1:$C$366,0))</f>
        <v>519</v>
      </c>
      <c r="M11" s="9">
        <f t="shared" si="1"/>
        <v>0.5052430887</v>
      </c>
      <c r="N11" s="18"/>
      <c r="O11" s="18"/>
      <c r="P11" s="19"/>
    </row>
    <row r="12">
      <c r="A12" s="5">
        <v>8.0</v>
      </c>
      <c r="B12" s="5">
        <f>MATCH(A12,'Precinct Data'!$AD$1:$AD$379,0)</f>
        <v>149</v>
      </c>
      <c r="C12" s="5" t="str">
        <f t="array" ref="C12">INDEX('Precinct Data'!$H$1:$H$379,$B12)</f>
        <v>LOWER MACUNGIE 10TH DISTRICT</v>
      </c>
      <c r="D12" s="5" t="str">
        <f t="array" ref="D12">INDEX('Precinct Data'!$B$1:$B$379,$B12)</f>
        <v>Lehigh</v>
      </c>
      <c r="E12" s="10">
        <f t="array" ref="E12">INDEX('Precinct Data'!$W$1:$W$379,$B12)</f>
        <v>-0.2871956549</v>
      </c>
      <c r="F12" s="10">
        <f t="array" ref="F12">INDEX('Precinct Data'!$X$1:$X$379,$B12)</f>
        <v>-1.062184147</v>
      </c>
      <c r="G12" s="11">
        <f t="array" ref="G12">INDEX('Precinct Data'!$M$1:$M$379,$B12)</f>
        <v>765</v>
      </c>
      <c r="H12" s="11">
        <f t="array" ref="H12">INDEX('Precinct Data'!$S$1:$S$379,$B12)</f>
        <v>1509</v>
      </c>
      <c r="I12" s="11">
        <f t="array" ref="I12">INDEX('Precinct Data'!$O$1:$O$379,$B12)</f>
        <v>928</v>
      </c>
      <c r="J12" s="11">
        <f t="array" ref="J12">INDEX('Precinct Data'!$T$1:$T$379,$B12)</f>
        <v>1916</v>
      </c>
      <c r="K12" s="11">
        <f t="array" ref="K12">INDEX('Baseline Rows'!$N$1:$N$366,MATCH($C12,'Baseline Rows'!$C$1:$C$366,0))</f>
        <v>757</v>
      </c>
      <c r="L12" s="11">
        <f t="array" ref="L12">INDEX('Baseline Rows'!$O$1:$O$366,MATCH($C12,'Baseline Rows'!$C$1:$C$366,0))</f>
        <v>783</v>
      </c>
      <c r="M12" s="9">
        <f t="shared" si="1"/>
        <v>0.4915584416</v>
      </c>
      <c r="N12" s="18"/>
      <c r="O12" s="18"/>
      <c r="P12" s="19"/>
    </row>
    <row r="13">
      <c r="A13" s="5">
        <v>9.0</v>
      </c>
      <c r="B13" s="5">
        <f>MATCH(A13,'Precinct Data'!$AD$1:$AD$379,0)</f>
        <v>140</v>
      </c>
      <c r="C13" s="5" t="str">
        <f t="array" ref="C13">INDEX('Precinct Data'!$H$1:$H$379,$B13)</f>
        <v>LOWER MACUNGIE 1ST DISTRICT</v>
      </c>
      <c r="D13" s="5" t="str">
        <f t="array" ref="D13">INDEX('Precinct Data'!$B$1:$B$379,$B13)</f>
        <v>Lehigh</v>
      </c>
      <c r="E13" s="10">
        <f t="array" ref="E13">INDEX('Precinct Data'!$W$1:$W$379,$B13)</f>
        <v>1.090439011</v>
      </c>
      <c r="F13" s="10">
        <f t="array" ref="F13">INDEX('Precinct Data'!$X$1:$X$379,$B13)</f>
        <v>0.0683969138</v>
      </c>
      <c r="G13" s="11">
        <f t="array" ref="G13">INDEX('Precinct Data'!$M$1:$M$379,$B13)</f>
        <v>879</v>
      </c>
      <c r="H13" s="11">
        <f t="array" ref="H13">INDEX('Precinct Data'!$S$1:$S$379,$B13)</f>
        <v>1688</v>
      </c>
      <c r="I13" s="11">
        <f t="array" ref="I13">INDEX('Precinct Data'!$O$1:$O$379,$B13)</f>
        <v>1082</v>
      </c>
      <c r="J13" s="11">
        <f t="array" ref="J13">INDEX('Precinct Data'!$T$1:$T$379,$B13)</f>
        <v>2183</v>
      </c>
      <c r="K13" s="11">
        <f t="array" ref="K13">INDEX('Baseline Rows'!$N$1:$N$366,MATCH($C13,'Baseline Rows'!$C$1:$C$366,0))</f>
        <v>860</v>
      </c>
      <c r="L13" s="11">
        <f t="array" ref="L13">INDEX('Baseline Rows'!$O$1:$O$366,MATCH($C13,'Baseline Rows'!$C$1:$C$366,0))</f>
        <v>835</v>
      </c>
      <c r="M13" s="9">
        <f t="shared" si="1"/>
        <v>0.5073746313</v>
      </c>
      <c r="N13" s="18"/>
      <c r="O13" s="18"/>
      <c r="P13" s="19"/>
    </row>
    <row r="14">
      <c r="A14" s="5">
        <v>10.0</v>
      </c>
      <c r="B14" s="5">
        <f>MATCH(A14,'Precinct Data'!$AD$1:$AD$379,0)</f>
        <v>335</v>
      </c>
      <c r="C14" s="5" t="str">
        <f t="array" ref="C14">INDEX('Precinct Data'!$H$1:$H$379,$B14)</f>
        <v>NORTHAMPTON BORO 2ND WARD</v>
      </c>
      <c r="D14" s="5" t="str">
        <f t="array" ref="D14">INDEX('Precinct Data'!$B$1:$B$379,$B14)</f>
        <v>Northampton</v>
      </c>
      <c r="E14" s="10">
        <f t="array" ref="E14">INDEX('Precinct Data'!$W$1:$W$379,$B14)</f>
        <v>-0.2635962441</v>
      </c>
      <c r="F14" s="10">
        <f t="array" ref="F14">INDEX('Precinct Data'!$X$1:$X$379,$B14)</f>
        <v>-1.141158985</v>
      </c>
      <c r="G14" s="11">
        <f t="array" ref="G14">INDEX('Precinct Data'!$M$1:$M$379,$B14)</f>
        <v>423</v>
      </c>
      <c r="H14" s="11">
        <f t="array" ref="H14">INDEX('Precinct Data'!$S$1:$S$379,$B14)</f>
        <v>834</v>
      </c>
      <c r="I14" s="11">
        <f t="array" ref="I14">INDEX('Precinct Data'!$O$1:$O$379,$B14)</f>
        <v>588</v>
      </c>
      <c r="J14" s="11">
        <f t="array" ref="J14">INDEX('Precinct Data'!$T$1:$T$379,$B14)</f>
        <v>1216</v>
      </c>
      <c r="K14" s="11">
        <f t="array" ref="K14">INDEX('Baseline Rows'!$N$1:$N$366,MATCH($C14,'Baseline Rows'!$C$1:$C$366,0))</f>
        <v>419</v>
      </c>
      <c r="L14" s="11">
        <f t="array" ref="L14">INDEX('Baseline Rows'!$O$1:$O$366,MATCH($C14,'Baseline Rows'!$C$1:$C$366,0))</f>
        <v>449</v>
      </c>
      <c r="M14" s="9">
        <f t="shared" si="1"/>
        <v>0.482718894</v>
      </c>
      <c r="N14" s="18"/>
      <c r="O14" s="18"/>
      <c r="P14" s="19"/>
    </row>
    <row r="15">
      <c r="A15" s="12"/>
      <c r="B15" s="12"/>
      <c r="C15" s="12" t="s">
        <v>83</v>
      </c>
      <c r="D15" s="12"/>
      <c r="E15" s="23"/>
      <c r="F15" s="23"/>
      <c r="G15" s="24">
        <f t="shared" ref="G15:L15" si="2">SUM(G5:G14)</f>
        <v>7010</v>
      </c>
      <c r="H15" s="24">
        <f t="shared" si="2"/>
        <v>13706</v>
      </c>
      <c r="I15" s="24">
        <f t="shared" si="2"/>
        <v>8644</v>
      </c>
      <c r="J15" s="24">
        <f t="shared" si="2"/>
        <v>17509</v>
      </c>
      <c r="K15" s="24">
        <f t="shared" si="2"/>
        <v>7011</v>
      </c>
      <c r="L15" s="24">
        <f t="shared" si="2"/>
        <v>7003</v>
      </c>
      <c r="M15" s="25">
        <f t="shared" si="1"/>
        <v>0.5002854289</v>
      </c>
      <c r="N15" s="24"/>
      <c r="O15" s="24"/>
      <c r="P15" s="25"/>
    </row>
    <row r="16">
      <c r="A16" s="5"/>
      <c r="B16" s="5"/>
      <c r="C16" s="5"/>
      <c r="D16" s="5"/>
      <c r="E16" s="5"/>
      <c r="F16" s="5"/>
      <c r="G16" s="5"/>
      <c r="H16" s="5"/>
      <c r="I16" s="5"/>
      <c r="J16" s="5"/>
      <c r="K16" s="5"/>
      <c r="L16" s="5"/>
      <c r="M16" s="5"/>
    </row>
    <row r="17">
      <c r="A17" s="5"/>
      <c r="B17" s="5"/>
      <c r="C17" s="5"/>
      <c r="D17" s="5"/>
      <c r="E17" s="5"/>
      <c r="F17" s="5"/>
      <c r="G17" s="5"/>
      <c r="H17" s="5"/>
      <c r="I17" s="5"/>
      <c r="J17" s="5"/>
      <c r="K17" s="5"/>
      <c r="L17" s="5"/>
      <c r="M17" s="5"/>
    </row>
    <row r="18">
      <c r="A18" s="5" t="s">
        <v>89</v>
      </c>
      <c r="C18" s="10">
        <f>(G15/H15-District!B6)*100</f>
        <v>0.1624630252</v>
      </c>
      <c r="D18" s="5"/>
      <c r="E18" s="5"/>
      <c r="F18" s="5"/>
      <c r="G18" s="5"/>
      <c r="H18" s="5"/>
      <c r="I18" s="5"/>
      <c r="J18" s="5"/>
      <c r="K18" s="5"/>
      <c r="L18" s="5"/>
      <c r="M18" s="5"/>
    </row>
    <row r="19">
      <c r="A19" s="5" t="s">
        <v>125</v>
      </c>
      <c r="C19" s="10">
        <f>(I15/J15-District!B7)*100</f>
        <v>-0.1275261462</v>
      </c>
      <c r="D19" s="5"/>
      <c r="E19" s="5"/>
      <c r="F19" s="5"/>
      <c r="G19" s="5"/>
      <c r="H19" s="5"/>
      <c r="I19" s="5"/>
      <c r="J19" s="5"/>
      <c r="K19" s="5"/>
      <c r="L19" s="5"/>
      <c r="M19" s="5"/>
    </row>
    <row r="20">
      <c r="A20" s="5" t="s">
        <v>86</v>
      </c>
      <c r="C20" s="10">
        <f>AVERAGE(C18:C19)</f>
        <v>0.01746843949</v>
      </c>
      <c r="D20" s="5"/>
      <c r="E20" s="5"/>
      <c r="F20" s="5"/>
      <c r="G20" s="5"/>
      <c r="H20" s="5"/>
      <c r="I20" s="5"/>
      <c r="J20" s="5"/>
      <c r="K20" s="5"/>
      <c r="L20" s="5"/>
      <c r="M20" s="5"/>
    </row>
    <row r="21" ht="15.75" customHeight="1">
      <c r="A21" s="5" t="s">
        <v>87</v>
      </c>
      <c r="C21" s="9">
        <f>M15</f>
        <v>0.5002854289</v>
      </c>
      <c r="D21" s="5"/>
      <c r="E21" s="5"/>
      <c r="F21" s="5"/>
      <c r="G21" s="5"/>
      <c r="H21" s="5"/>
      <c r="I21" s="5"/>
      <c r="J21" s="5"/>
      <c r="K21" s="5"/>
      <c r="L21" s="5"/>
      <c r="M21" s="5"/>
    </row>
    <row r="22" ht="15.75" customHeight="1">
      <c r="A22" s="5" t="s">
        <v>88</v>
      </c>
      <c r="C22" s="9">
        <f>C21-C20/100</f>
        <v>0.5001107445</v>
      </c>
      <c r="D22" s="5"/>
      <c r="E22" s="5"/>
      <c r="F22" s="5"/>
      <c r="G22" s="5"/>
      <c r="H22" s="5"/>
      <c r="I22" s="5"/>
      <c r="J22" s="5"/>
      <c r="K22" s="5"/>
      <c r="L22" s="5"/>
      <c r="M22" s="5"/>
    </row>
    <row r="23" ht="15.75" customHeight="1">
      <c r="A23" s="5" t="s">
        <v>90</v>
      </c>
      <c r="C23" s="9">
        <f>SUM('Baseline Rows'!$N$2:$N$366)/(SUM('Baseline Rows'!$N$2:$N$366)+SUM('Baseline Rows'!$O$2:$O$366))</f>
        <v>0.4949430153</v>
      </c>
      <c r="D23" s="5"/>
      <c r="E23" s="5"/>
      <c r="F23" s="5"/>
      <c r="G23" s="5"/>
      <c r="H23" s="5"/>
      <c r="I23" s="5"/>
      <c r="J23" s="5"/>
      <c r="K23" s="5"/>
      <c r="L23" s="5"/>
      <c r="M23" s="5"/>
    </row>
    <row r="24" ht="15.75" customHeight="1">
      <c r="A24" s="5" t="s">
        <v>91</v>
      </c>
      <c r="C24" s="21">
        <f>Summary!$C$5</f>
        <v>0.5</v>
      </c>
      <c r="D24" s="5"/>
      <c r="E24" s="5"/>
      <c r="F24" s="5"/>
      <c r="G24" s="5"/>
      <c r="H24" s="5"/>
      <c r="I24" s="5"/>
      <c r="J24" s="5"/>
      <c r="K24" s="5"/>
      <c r="L24" s="5"/>
      <c r="M24" s="5"/>
    </row>
    <row r="25" ht="15.75" customHeight="1">
      <c r="A25" s="20" t="s">
        <v>53</v>
      </c>
      <c r="C25" s="26">
        <f>C24*C23+(1-C24)*C22</f>
        <v>0.4975268799</v>
      </c>
      <c r="D25" s="5"/>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8:B18"/>
    <mergeCell ref="A19:B19"/>
    <mergeCell ref="A20:B20"/>
    <mergeCell ref="A21:B21"/>
    <mergeCell ref="A22:B22"/>
    <mergeCell ref="A23:B23"/>
    <mergeCell ref="A24:B24"/>
    <mergeCell ref="A25:B2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34.0"/>
    <col customWidth="1" min="2" max="2" width="8.71"/>
    <col customWidth="1" min="3" max="3" width="18.0"/>
    <col customWidth="1" min="4" max="5" width="8.71"/>
    <col customWidth="1" min="6" max="8" width="30.0"/>
    <col customWidth="1" min="9" max="30" width="10.0"/>
  </cols>
  <sheetData>
    <row r="1" ht="54.0" customHeight="1">
      <c r="A1" s="7" t="s">
        <v>93</v>
      </c>
      <c r="B1" s="7" t="s">
        <v>32</v>
      </c>
      <c r="C1" s="7" t="s">
        <v>94</v>
      </c>
      <c r="D1" s="7" t="s">
        <v>95</v>
      </c>
      <c r="E1" s="7" t="s">
        <v>96</v>
      </c>
      <c r="F1" s="7" t="s">
        <v>97</v>
      </c>
      <c r="G1" s="7" t="s">
        <v>98</v>
      </c>
      <c r="H1" s="7" t="s">
        <v>99</v>
      </c>
      <c r="I1" s="7" t="s">
        <v>100</v>
      </c>
      <c r="J1" s="7" t="s">
        <v>101</v>
      </c>
      <c r="K1" s="7" t="s">
        <v>102</v>
      </c>
      <c r="L1" s="7" t="s">
        <v>103</v>
      </c>
      <c r="M1" s="7" t="s">
        <v>104</v>
      </c>
      <c r="N1" s="7" t="s">
        <v>105</v>
      </c>
      <c r="O1" s="7" t="s">
        <v>106</v>
      </c>
      <c r="P1" s="7" t="s">
        <v>107</v>
      </c>
      <c r="Q1" s="7" t="s">
        <v>108</v>
      </c>
      <c r="R1" s="7" t="s">
        <v>109</v>
      </c>
      <c r="S1" s="7" t="s">
        <v>110</v>
      </c>
      <c r="T1" s="7" t="s">
        <v>111</v>
      </c>
      <c r="U1" s="7" t="s">
        <v>34</v>
      </c>
      <c r="V1" s="7" t="s">
        <v>36</v>
      </c>
      <c r="W1" s="7" t="s">
        <v>52</v>
      </c>
      <c r="X1" s="7" t="s">
        <v>64</v>
      </c>
      <c r="Y1" s="7" t="s">
        <v>112</v>
      </c>
      <c r="Z1" s="7" t="s">
        <v>114</v>
      </c>
      <c r="AA1" s="7" t="s">
        <v>115</v>
      </c>
      <c r="AB1" s="7" t="s">
        <v>116</v>
      </c>
      <c r="AC1" s="7" t="s">
        <v>117</v>
      </c>
      <c r="AD1" s="7" t="s">
        <v>118</v>
      </c>
    </row>
    <row r="2">
      <c r="A2" s="5" t="s">
        <v>119</v>
      </c>
      <c r="B2" s="5" t="s">
        <v>120</v>
      </c>
      <c r="C2" s="5" t="s">
        <v>121</v>
      </c>
      <c r="D2" s="5">
        <v>10.0</v>
      </c>
      <c r="E2" s="5" t="s">
        <v>122</v>
      </c>
      <c r="F2" s="5" t="s">
        <v>123</v>
      </c>
      <c r="G2" s="5"/>
      <c r="H2" s="5" t="s">
        <v>123</v>
      </c>
      <c r="I2" s="11">
        <v>160.0</v>
      </c>
      <c r="J2" s="11">
        <v>221.0</v>
      </c>
      <c r="K2" s="11">
        <v>171.0</v>
      </c>
      <c r="L2" s="11">
        <v>332.0</v>
      </c>
      <c r="M2" s="11">
        <v>137.0</v>
      </c>
      <c r="N2" s="11">
        <v>249.0</v>
      </c>
      <c r="O2" s="11">
        <v>181.0</v>
      </c>
      <c r="P2" s="11">
        <v>285.0</v>
      </c>
      <c r="Q2" s="11">
        <f t="shared" ref="Q2:Q379" si="1">IF(COUNT(I2:J2)=2,I2+J2,0)</f>
        <v>381</v>
      </c>
      <c r="R2" s="11">
        <f t="shared" ref="R2:R379" si="2">IF(COUNT(K2:L2)=2,K2+L2,0)</f>
        <v>503</v>
      </c>
      <c r="S2" s="11">
        <f t="shared" ref="S2:S379" si="3">IF(COUNT(M2:N2)=2,M2+N2,0)</f>
        <v>386</v>
      </c>
      <c r="T2" s="11">
        <f t="shared" ref="T2:T379" si="4">IF(COUNT(O2:P2)=2,O2+P2,0)</f>
        <v>466</v>
      </c>
      <c r="U2" s="10">
        <f>IF(Q2&gt;0,(I2/Q2-District!$B$4)*100,"")</f>
        <v>-11.41748297</v>
      </c>
      <c r="V2" s="10">
        <f>IF(R2&gt;0,(K2/R2-District!$B$5)*100,"")</f>
        <v>-15.75394773</v>
      </c>
      <c r="W2" s="10">
        <f>IF(S2&gt;0,(M2/S2-District!$B$6)*100,"")</f>
        <v>-15.49079273</v>
      </c>
      <c r="X2" s="10">
        <f>IF(T2&gt;0,(O2/T2-District!$B$7)*100,"")</f>
        <v>-10.65522043</v>
      </c>
      <c r="Y2" s="28">
        <f t="shared" ref="Y2:Y379" si="5">IF(AND(E2="Yes",Q2&gt;=300,R2&gt;=300,F2&lt;&gt;""),MAX(ABS(U2),ABS(V2))-R2/1000000000,"")</f>
        <v>15.75394723</v>
      </c>
      <c r="Z2" s="5">
        <f t="shared" ref="Z2:Z379" si="6">IF(ISNUMBER(Y2),SUMPRODUCT(ISNUMBER($Y$2:$Y$379)*($Y$2:$Y$379&lt;Y2))+1,"")</f>
        <v>190</v>
      </c>
      <c r="AA2" s="28" t="str">
        <f t="shared" ref="AA2:AA379" si="7">IF(AND(E2="Yes",R2&gt;=300,S2&gt;=300,G2&lt;&gt;""),MAX(ABS(V2),ABS(W2))-S2/1000000000,"")</f>
        <v/>
      </c>
      <c r="AB2" s="5" t="str">
        <f t="shared" ref="AB2:AB379" si="8">IF(ISNUMBER(AA2),SUMPRODUCT(ISNUMBER($AA$2:$AA$379)*($AA$2:$AA$379&lt;AA2))+1,"")</f>
        <v/>
      </c>
      <c r="AC2" s="28">
        <f t="shared" ref="AC2:AC379" si="9">IF(AND(E2="Yes",S2&gt;=300,T2&gt;=300,H2&lt;&gt;""),MAX(ABS(W2),ABS(X2))-T2/1000000000,"")</f>
        <v>15.49079226</v>
      </c>
      <c r="AD2" s="5">
        <f t="shared" ref="AD2:AD379" si="10">IF(ISNUMBER(AC2),SUMPRODUCT(ISNUMBER($AC$2:$AC$379)*($AC$2:$AC$379&lt;AC2))+1,"")</f>
        <v>195</v>
      </c>
    </row>
    <row r="3">
      <c r="A3" s="5" t="s">
        <v>129</v>
      </c>
      <c r="B3" s="5" t="s">
        <v>120</v>
      </c>
      <c r="C3" s="5" t="s">
        <v>130</v>
      </c>
      <c r="D3" s="5">
        <v>40.0</v>
      </c>
      <c r="E3" s="5" t="s">
        <v>122</v>
      </c>
      <c r="F3" s="5" t="s">
        <v>131</v>
      </c>
      <c r="G3" s="5"/>
      <c r="H3" s="5" t="s">
        <v>131</v>
      </c>
      <c r="I3" s="11">
        <v>95.0</v>
      </c>
      <c r="J3" s="11">
        <v>192.0</v>
      </c>
      <c r="K3" s="11">
        <v>100.0</v>
      </c>
      <c r="L3" s="11">
        <v>303.0</v>
      </c>
      <c r="M3" s="11">
        <v>84.0</v>
      </c>
      <c r="N3" s="11">
        <v>230.0</v>
      </c>
      <c r="O3" s="11">
        <v>118.0</v>
      </c>
      <c r="P3" s="11">
        <v>300.0</v>
      </c>
      <c r="Q3" s="11">
        <f t="shared" si="1"/>
        <v>287</v>
      </c>
      <c r="R3" s="11">
        <f t="shared" si="2"/>
        <v>403</v>
      </c>
      <c r="S3" s="11">
        <f t="shared" si="3"/>
        <v>314</v>
      </c>
      <c r="T3" s="11">
        <f t="shared" si="4"/>
        <v>418</v>
      </c>
      <c r="U3" s="10">
        <f>IF(Q3&gt;0,(I3/Q3-District!$B$4)*100,"")</f>
        <v>-20.31118833</v>
      </c>
      <c r="V3" s="10">
        <f>IF(R3&gt;0,(K3/R3-District!$B$5)*100,"")</f>
        <v>-24.93607581</v>
      </c>
      <c r="W3" s="10">
        <f>IF(S3&gt;0,(M3/S3-District!$B$6)*100,"")</f>
        <v>-24.23142835</v>
      </c>
      <c r="X3" s="10">
        <f>IF(T3&gt;0,(O3/T3-District!$B$7)*100,"")</f>
        <v>-21.26675707</v>
      </c>
      <c r="Y3" s="28" t="str">
        <f t="shared" si="5"/>
        <v/>
      </c>
      <c r="Z3" s="5" t="str">
        <f t="shared" si="6"/>
        <v/>
      </c>
      <c r="AA3" s="28" t="str">
        <f t="shared" si="7"/>
        <v/>
      </c>
      <c r="AB3" s="5" t="str">
        <f t="shared" si="8"/>
        <v/>
      </c>
      <c r="AC3" s="28">
        <f t="shared" si="9"/>
        <v>24.23142793</v>
      </c>
      <c r="AD3" s="5">
        <f t="shared" si="10"/>
        <v>270</v>
      </c>
    </row>
    <row r="4">
      <c r="A4" s="5" t="s">
        <v>132</v>
      </c>
      <c r="B4" s="5" t="s">
        <v>120</v>
      </c>
      <c r="C4" s="5" t="s">
        <v>133</v>
      </c>
      <c r="D4" s="5">
        <v>50.0</v>
      </c>
      <c r="E4" s="5" t="s">
        <v>122</v>
      </c>
      <c r="F4" s="5" t="s">
        <v>134</v>
      </c>
      <c r="G4" s="5"/>
      <c r="H4" s="5" t="s">
        <v>134</v>
      </c>
      <c r="I4" s="11">
        <v>110.0</v>
      </c>
      <c r="J4" s="11">
        <v>175.0</v>
      </c>
      <c r="K4" s="11">
        <v>111.0</v>
      </c>
      <c r="L4" s="11">
        <v>317.0</v>
      </c>
      <c r="M4" s="11">
        <v>125.0</v>
      </c>
      <c r="N4" s="11">
        <v>223.0</v>
      </c>
      <c r="O4" s="11">
        <v>144.0</v>
      </c>
      <c r="P4" s="11">
        <v>310.0</v>
      </c>
      <c r="Q4" s="11">
        <f t="shared" si="1"/>
        <v>285</v>
      </c>
      <c r="R4" s="11">
        <f t="shared" si="2"/>
        <v>428</v>
      </c>
      <c r="S4" s="11">
        <f t="shared" si="3"/>
        <v>348</v>
      </c>
      <c r="T4" s="11">
        <f t="shared" si="4"/>
        <v>454</v>
      </c>
      <c r="U4" s="10">
        <f>IF(Q4&gt;0,(I4/Q4-District!$B$4)*100,"")</f>
        <v>-14.8157424</v>
      </c>
      <c r="V4" s="10">
        <f>IF(R4&gt;0,(K4/R4-District!$B$5)*100,"")</f>
        <v>-23.81539215</v>
      </c>
      <c r="W4" s="10">
        <f>IF(S4&gt;0,(M4/S4-District!$B$6)*100,"")</f>
        <v>-15.06348047</v>
      </c>
      <c r="X4" s="10">
        <f>IF(T4&gt;0,(O4/T4-District!$B$7)*100,"")</f>
        <v>-17.77836047</v>
      </c>
      <c r="Y4" s="28" t="str">
        <f t="shared" si="5"/>
        <v/>
      </c>
      <c r="Z4" s="5" t="str">
        <f t="shared" si="6"/>
        <v/>
      </c>
      <c r="AA4" s="28" t="str">
        <f t="shared" si="7"/>
        <v/>
      </c>
      <c r="AB4" s="5" t="str">
        <f t="shared" si="8"/>
        <v/>
      </c>
      <c r="AC4" s="28">
        <f t="shared" si="9"/>
        <v>17.77836001</v>
      </c>
      <c r="AD4" s="5">
        <f t="shared" si="10"/>
        <v>220</v>
      </c>
    </row>
    <row r="5">
      <c r="A5" s="5" t="s">
        <v>163</v>
      </c>
      <c r="B5" s="5" t="s">
        <v>120</v>
      </c>
      <c r="C5" s="5" t="s">
        <v>164</v>
      </c>
      <c r="D5" s="5">
        <v>60.0</v>
      </c>
      <c r="E5" s="5" t="s">
        <v>122</v>
      </c>
      <c r="F5" s="5" t="s">
        <v>154</v>
      </c>
      <c r="G5" s="5"/>
      <c r="H5" s="5" t="s">
        <v>154</v>
      </c>
      <c r="I5" s="11">
        <v>201.0</v>
      </c>
      <c r="J5" s="11">
        <v>409.0</v>
      </c>
      <c r="K5" s="11">
        <v>196.0</v>
      </c>
      <c r="L5" s="11">
        <v>587.0</v>
      </c>
      <c r="M5" s="11">
        <v>195.0</v>
      </c>
      <c r="N5" s="11">
        <v>503.0</v>
      </c>
      <c r="O5" s="11">
        <v>204.0</v>
      </c>
      <c r="P5" s="11">
        <v>643.0</v>
      </c>
      <c r="Q5" s="11">
        <f t="shared" si="1"/>
        <v>610</v>
      </c>
      <c r="R5" s="11">
        <f t="shared" si="2"/>
        <v>783</v>
      </c>
      <c r="S5" s="11">
        <f t="shared" si="3"/>
        <v>698</v>
      </c>
      <c r="T5" s="11">
        <f t="shared" si="4"/>
        <v>847</v>
      </c>
      <c r="U5" s="10">
        <f>IF(Q5&gt;0,(I5/Q5-District!$B$4)*100,"")</f>
        <v>-20.46141395</v>
      </c>
      <c r="V5" s="10">
        <f>IF(R5&gt;0,(K5/R5-District!$B$5)*100,"")</f>
        <v>-24.71804311</v>
      </c>
      <c r="W5" s="10">
        <f>IF(S5&gt;0,(M5/S5-District!$B$6)*100,"")</f>
        <v>-23.04605795</v>
      </c>
      <c r="X5" s="10">
        <f>IF(T5&gt;0,(O5/T5-District!$B$7)*100,"")</f>
        <v>-25.41141624</v>
      </c>
      <c r="Y5" s="28">
        <f t="shared" si="5"/>
        <v>24.71804232</v>
      </c>
      <c r="Z5" s="5">
        <f t="shared" si="6"/>
        <v>262</v>
      </c>
      <c r="AA5" s="28" t="str">
        <f t="shared" si="7"/>
        <v/>
      </c>
      <c r="AB5" s="5" t="str">
        <f t="shared" si="8"/>
        <v/>
      </c>
      <c r="AC5" s="28">
        <f t="shared" si="9"/>
        <v>25.41141539</v>
      </c>
      <c r="AD5" s="5">
        <f t="shared" si="10"/>
        <v>276</v>
      </c>
    </row>
    <row r="6">
      <c r="A6" s="5" t="s">
        <v>198</v>
      </c>
      <c r="B6" s="5" t="s">
        <v>120</v>
      </c>
      <c r="C6" s="5" t="s">
        <v>164</v>
      </c>
      <c r="D6" s="5">
        <v>65.0</v>
      </c>
      <c r="E6" s="5" t="s">
        <v>122</v>
      </c>
      <c r="F6" s="5" t="s">
        <v>156</v>
      </c>
      <c r="G6" s="5"/>
      <c r="H6" s="5" t="s">
        <v>156</v>
      </c>
      <c r="I6" s="11">
        <v>168.0</v>
      </c>
      <c r="J6" s="11">
        <v>333.0</v>
      </c>
      <c r="K6" s="11">
        <v>194.0</v>
      </c>
      <c r="L6" s="11">
        <v>593.0</v>
      </c>
      <c r="M6" s="11">
        <v>177.0</v>
      </c>
      <c r="N6" s="11">
        <v>422.0</v>
      </c>
      <c r="O6" s="11">
        <v>234.0</v>
      </c>
      <c r="P6" s="11">
        <v>610.0</v>
      </c>
      <c r="Q6" s="11">
        <f t="shared" si="1"/>
        <v>501</v>
      </c>
      <c r="R6" s="11">
        <f t="shared" si="2"/>
        <v>787</v>
      </c>
      <c r="S6" s="11">
        <f t="shared" si="3"/>
        <v>599</v>
      </c>
      <c r="T6" s="11">
        <f t="shared" si="4"/>
        <v>844</v>
      </c>
      <c r="U6" s="10">
        <f>IF(Q6&gt;0,(I6/Q6-District!$B$4)*100,"")</f>
        <v>-19.87929949</v>
      </c>
      <c r="V6" s="10">
        <f>IF(R6&gt;0,(K6/R6-District!$B$5)*100,"")</f>
        <v>-25.0993998</v>
      </c>
      <c r="W6" s="10">
        <f>IF(S6&gt;0,(M6/S6-District!$B$6)*100,"")</f>
        <v>-21.43377196</v>
      </c>
      <c r="X6" s="10">
        <f>IF(T6&gt;0,(O6/T6-District!$B$7)*100,"")</f>
        <v>-21.77130366</v>
      </c>
      <c r="Y6" s="28">
        <f t="shared" si="5"/>
        <v>25.09939901</v>
      </c>
      <c r="Z6" s="5">
        <f t="shared" si="6"/>
        <v>264</v>
      </c>
      <c r="AA6" s="28" t="str">
        <f t="shared" si="7"/>
        <v/>
      </c>
      <c r="AB6" s="5" t="str">
        <f t="shared" si="8"/>
        <v/>
      </c>
      <c r="AC6" s="28">
        <f t="shared" si="9"/>
        <v>21.77130282</v>
      </c>
      <c r="AD6" s="5">
        <f t="shared" si="10"/>
        <v>254</v>
      </c>
    </row>
    <row r="7">
      <c r="A7" s="5" t="s">
        <v>224</v>
      </c>
      <c r="B7" s="5" t="s">
        <v>120</v>
      </c>
      <c r="C7" s="5" t="s">
        <v>225</v>
      </c>
      <c r="D7" s="5">
        <v>70.0</v>
      </c>
      <c r="E7" s="5" t="s">
        <v>122</v>
      </c>
      <c r="F7" s="5" t="s">
        <v>159</v>
      </c>
      <c r="G7" s="5" t="s">
        <v>159</v>
      </c>
      <c r="H7" s="5" t="s">
        <v>159</v>
      </c>
      <c r="I7" s="11">
        <v>34.0</v>
      </c>
      <c r="J7" s="11">
        <v>43.0</v>
      </c>
      <c r="K7" s="11">
        <v>47.0</v>
      </c>
      <c r="L7" s="11">
        <v>74.0</v>
      </c>
      <c r="M7" s="11">
        <v>33.0</v>
      </c>
      <c r="N7" s="11">
        <v>61.0</v>
      </c>
      <c r="O7" s="11">
        <v>38.0</v>
      </c>
      <c r="P7" s="11">
        <v>78.0</v>
      </c>
      <c r="Q7" s="11">
        <f t="shared" si="1"/>
        <v>77</v>
      </c>
      <c r="R7" s="11">
        <f t="shared" si="2"/>
        <v>121</v>
      </c>
      <c r="S7" s="11">
        <f t="shared" si="3"/>
        <v>94</v>
      </c>
      <c r="T7" s="11">
        <f t="shared" si="4"/>
        <v>116</v>
      </c>
      <c r="U7" s="10">
        <f>IF(Q7&gt;0,(I7/Q7-District!$B$4)*100,"")</f>
        <v>-9.25638947</v>
      </c>
      <c r="V7" s="10">
        <f>IF(R7&gt;0,(K7/R7-District!$B$5)*100,"")</f>
        <v>-10.90699638</v>
      </c>
      <c r="W7" s="10">
        <f>IF(S7&gt;0,(M7/S7-District!$B$6)*100,"")</f>
        <v>-15.87663773</v>
      </c>
      <c r="X7" s="10">
        <f>IF(T7&gt;0,(O7/T7-District!$B$7)*100,"")</f>
        <v>-16.73780145</v>
      </c>
      <c r="Y7" s="28" t="str">
        <f t="shared" si="5"/>
        <v/>
      </c>
      <c r="Z7" s="5" t="str">
        <f t="shared" si="6"/>
        <v/>
      </c>
      <c r="AA7" s="28" t="str">
        <f t="shared" si="7"/>
        <v/>
      </c>
      <c r="AB7" s="5" t="str">
        <f t="shared" si="8"/>
        <v/>
      </c>
      <c r="AC7" s="28" t="str">
        <f t="shared" si="9"/>
        <v/>
      </c>
      <c r="AD7" s="5" t="str">
        <f t="shared" si="10"/>
        <v/>
      </c>
    </row>
    <row r="8">
      <c r="A8" s="5" t="s">
        <v>247</v>
      </c>
      <c r="B8" s="5" t="s">
        <v>120</v>
      </c>
      <c r="C8" s="5" t="s">
        <v>249</v>
      </c>
      <c r="D8" s="5">
        <v>80.0</v>
      </c>
      <c r="E8" s="5" t="s">
        <v>122</v>
      </c>
      <c r="F8" s="5" t="s">
        <v>162</v>
      </c>
      <c r="G8" s="5"/>
      <c r="H8" s="5" t="s">
        <v>162</v>
      </c>
      <c r="I8" s="11">
        <v>132.0</v>
      </c>
      <c r="J8" s="11">
        <v>254.0</v>
      </c>
      <c r="K8" s="11">
        <v>163.0</v>
      </c>
      <c r="L8" s="11">
        <v>443.0</v>
      </c>
      <c r="M8" s="11">
        <v>133.0</v>
      </c>
      <c r="N8" s="11">
        <v>321.0</v>
      </c>
      <c r="O8" s="11">
        <v>164.0</v>
      </c>
      <c r="P8" s="11">
        <v>451.0</v>
      </c>
      <c r="Q8" s="11">
        <f t="shared" si="1"/>
        <v>386</v>
      </c>
      <c r="R8" s="11">
        <f t="shared" si="2"/>
        <v>606</v>
      </c>
      <c r="S8" s="11">
        <f t="shared" si="3"/>
        <v>454</v>
      </c>
      <c r="T8" s="11">
        <f t="shared" si="4"/>
        <v>615</v>
      </c>
      <c r="U8" s="10">
        <f>IF(Q8&gt;0,(I8/Q8-District!$B$4)*100,"")</f>
        <v>-19.21534243</v>
      </c>
      <c r="V8" s="10">
        <f>IF(R8&gt;0,(K8/R8-District!$B$5)*100,"")</f>
        <v>-22.85228182</v>
      </c>
      <c r="W8" s="10">
        <f>IF(S8&gt;0,(M8/S8-District!$B$6)*100,"")</f>
        <v>-21.68786652</v>
      </c>
      <c r="X8" s="10">
        <f>IF(T8&gt;0,(O8/T8-District!$B$7)*100,"")</f>
        <v>-22.82975548</v>
      </c>
      <c r="Y8" s="28">
        <f t="shared" si="5"/>
        <v>22.85228121</v>
      </c>
      <c r="Z8" s="5">
        <f t="shared" si="6"/>
        <v>250</v>
      </c>
      <c r="AA8" s="28" t="str">
        <f t="shared" si="7"/>
        <v/>
      </c>
      <c r="AB8" s="5" t="str">
        <f t="shared" si="8"/>
        <v/>
      </c>
      <c r="AC8" s="28">
        <f t="shared" si="9"/>
        <v>22.82975486</v>
      </c>
      <c r="AD8" s="5">
        <f t="shared" si="10"/>
        <v>261</v>
      </c>
    </row>
    <row r="9">
      <c r="A9" s="5" t="s">
        <v>260</v>
      </c>
      <c r="B9" s="5" t="s">
        <v>120</v>
      </c>
      <c r="C9" s="5" t="s">
        <v>249</v>
      </c>
      <c r="D9" s="5">
        <v>90.0</v>
      </c>
      <c r="E9" s="5" t="s">
        <v>122</v>
      </c>
      <c r="F9" s="5" t="s">
        <v>161</v>
      </c>
      <c r="G9" s="5"/>
      <c r="H9" s="5" t="s">
        <v>161</v>
      </c>
      <c r="I9" s="11">
        <v>245.0</v>
      </c>
      <c r="J9" s="11">
        <v>473.0</v>
      </c>
      <c r="K9" s="11">
        <v>268.0</v>
      </c>
      <c r="L9" s="11">
        <v>753.0</v>
      </c>
      <c r="M9" s="11">
        <v>250.0</v>
      </c>
      <c r="N9" s="11">
        <v>589.0</v>
      </c>
      <c r="O9" s="11">
        <v>309.0</v>
      </c>
      <c r="P9" s="11">
        <v>765.0</v>
      </c>
      <c r="Q9" s="11">
        <f t="shared" si="1"/>
        <v>718</v>
      </c>
      <c r="R9" s="11">
        <f t="shared" si="2"/>
        <v>1021</v>
      </c>
      <c r="S9" s="11">
        <f t="shared" si="3"/>
        <v>839</v>
      </c>
      <c r="T9" s="11">
        <f t="shared" si="4"/>
        <v>1074</v>
      </c>
      <c r="U9" s="10">
        <f>IF(Q9&gt;0,(I9/Q9-District!$B$4)*100,"")</f>
        <v>-19.28967095</v>
      </c>
      <c r="V9" s="10">
        <f>IF(R9&gt;0,(K9/R9-District!$B$5)*100,"")</f>
        <v>-23.50119588</v>
      </c>
      <c r="W9" s="10">
        <f>IF(S9&gt;0,(M9/S9-District!$B$6)*100,"")</f>
        <v>-21.18564287</v>
      </c>
      <c r="X9" s="10">
        <f>IF(T9&gt;0,(O9/T9-District!$B$7)*100,"")</f>
        <v>-20.72547242</v>
      </c>
      <c r="Y9" s="28">
        <f t="shared" si="5"/>
        <v>23.50119486</v>
      </c>
      <c r="Z9" s="5">
        <f t="shared" si="6"/>
        <v>257</v>
      </c>
      <c r="AA9" s="28" t="str">
        <f t="shared" si="7"/>
        <v/>
      </c>
      <c r="AB9" s="5" t="str">
        <f t="shared" si="8"/>
        <v/>
      </c>
      <c r="AC9" s="28">
        <f t="shared" si="9"/>
        <v>21.1856418</v>
      </c>
      <c r="AD9" s="5">
        <f t="shared" si="10"/>
        <v>251</v>
      </c>
    </row>
    <row r="10">
      <c r="A10" s="5" t="s">
        <v>269</v>
      </c>
      <c r="B10" s="5" t="s">
        <v>120</v>
      </c>
      <c r="C10" s="5" t="s">
        <v>249</v>
      </c>
      <c r="D10" s="5">
        <v>100.0</v>
      </c>
      <c r="E10" s="5" t="s">
        <v>122</v>
      </c>
      <c r="F10" s="5" t="s">
        <v>165</v>
      </c>
      <c r="G10" s="5"/>
      <c r="H10" s="5" t="s">
        <v>165</v>
      </c>
      <c r="I10" s="11">
        <v>159.0</v>
      </c>
      <c r="J10" s="11">
        <v>395.0</v>
      </c>
      <c r="K10" s="11">
        <v>200.0</v>
      </c>
      <c r="L10" s="11">
        <v>632.0</v>
      </c>
      <c r="M10" s="11">
        <v>177.0</v>
      </c>
      <c r="N10" s="11">
        <v>488.0</v>
      </c>
      <c r="O10" s="11">
        <v>235.0</v>
      </c>
      <c r="P10" s="11">
        <v>630.0</v>
      </c>
      <c r="Q10" s="11">
        <f t="shared" si="1"/>
        <v>554</v>
      </c>
      <c r="R10" s="11">
        <f t="shared" si="2"/>
        <v>832</v>
      </c>
      <c r="S10" s="11">
        <f t="shared" si="3"/>
        <v>665</v>
      </c>
      <c r="T10" s="11">
        <f t="shared" si="4"/>
        <v>865</v>
      </c>
      <c r="U10" s="10">
        <f>IF(Q10&gt;0,(I10/Q10-District!$B$4)*100,"")</f>
        <v>-24.71187261</v>
      </c>
      <c r="V10" s="10">
        <f>IF(R10&gt;0,(K10/R10-District!$B$5)*100,"")</f>
        <v>-25.71151005</v>
      </c>
      <c r="W10" s="10">
        <f>IF(S10&gt;0,(M10/S10-District!$B$6)*100,"")</f>
        <v>-24.36647935</v>
      </c>
      <c r="X10" s="10">
        <f>IF(T10&gt;0,(O10/T10-District!$B$7)*100,"")</f>
        <v>-22.32879208</v>
      </c>
      <c r="Y10" s="28">
        <f t="shared" si="5"/>
        <v>25.71150922</v>
      </c>
      <c r="Z10" s="5">
        <f t="shared" si="6"/>
        <v>267</v>
      </c>
      <c r="AA10" s="28" t="str">
        <f t="shared" si="7"/>
        <v/>
      </c>
      <c r="AB10" s="5" t="str">
        <f t="shared" si="8"/>
        <v/>
      </c>
      <c r="AC10" s="28">
        <f t="shared" si="9"/>
        <v>24.36647849</v>
      </c>
      <c r="AD10" s="5">
        <f t="shared" si="10"/>
        <v>271</v>
      </c>
    </row>
    <row r="11">
      <c r="A11" s="5" t="s">
        <v>280</v>
      </c>
      <c r="B11" s="5" t="s">
        <v>120</v>
      </c>
      <c r="C11" s="5" t="s">
        <v>281</v>
      </c>
      <c r="D11" s="5">
        <v>110.0</v>
      </c>
      <c r="E11" s="5" t="s">
        <v>122</v>
      </c>
      <c r="F11" s="5" t="s">
        <v>167</v>
      </c>
      <c r="G11" s="5"/>
      <c r="H11" s="5" t="s">
        <v>167</v>
      </c>
      <c r="I11" s="11">
        <v>218.0</v>
      </c>
      <c r="J11" s="11">
        <v>182.0</v>
      </c>
      <c r="K11" s="11">
        <v>231.0</v>
      </c>
      <c r="L11" s="11">
        <v>313.0</v>
      </c>
      <c r="M11" s="11">
        <v>200.0</v>
      </c>
      <c r="N11" s="11">
        <v>240.0</v>
      </c>
      <c r="O11" s="11">
        <v>234.0</v>
      </c>
      <c r="P11" s="11">
        <v>298.0</v>
      </c>
      <c r="Q11" s="11">
        <f t="shared" si="1"/>
        <v>400</v>
      </c>
      <c r="R11" s="11">
        <f t="shared" si="2"/>
        <v>544</v>
      </c>
      <c r="S11" s="11">
        <f t="shared" si="3"/>
        <v>440</v>
      </c>
      <c r="T11" s="11">
        <f t="shared" si="4"/>
        <v>532</v>
      </c>
      <c r="U11" s="10">
        <f>IF(Q11&gt;0,(I11/Q11-District!$B$4)*100,"")</f>
        <v>1.087766375</v>
      </c>
      <c r="V11" s="10">
        <f>IF(R11&gt;0,(K11/R11-District!$B$5)*100,"")</f>
        <v>-7.286736294</v>
      </c>
      <c r="W11" s="10">
        <f>IF(S11&gt;0,(M11/S11-District!$B$6)*100,"")</f>
        <v>-5.52847525</v>
      </c>
      <c r="X11" s="10">
        <f>IF(T11&gt;0,(O11/T11-District!$B$7)*100,"")</f>
        <v>-5.511459737</v>
      </c>
      <c r="Y11" s="28">
        <f t="shared" si="5"/>
        <v>7.28673575</v>
      </c>
      <c r="Z11" s="5">
        <f t="shared" si="6"/>
        <v>101</v>
      </c>
      <c r="AA11" s="28" t="str">
        <f t="shared" si="7"/>
        <v/>
      </c>
      <c r="AB11" s="5" t="str">
        <f t="shared" si="8"/>
        <v/>
      </c>
      <c r="AC11" s="28">
        <f t="shared" si="9"/>
        <v>5.528474718</v>
      </c>
      <c r="AD11" s="5">
        <f t="shared" si="10"/>
        <v>86</v>
      </c>
    </row>
    <row r="12">
      <c r="A12" s="5" t="s">
        <v>291</v>
      </c>
      <c r="B12" s="5" t="s">
        <v>120</v>
      </c>
      <c r="C12" s="5" t="s">
        <v>281</v>
      </c>
      <c r="D12" s="5">
        <v>120.0</v>
      </c>
      <c r="E12" s="5" t="s">
        <v>122</v>
      </c>
      <c r="F12" s="5" t="s">
        <v>168</v>
      </c>
      <c r="G12" s="5"/>
      <c r="H12" s="5" t="s">
        <v>168</v>
      </c>
      <c r="I12" s="11">
        <v>110.0</v>
      </c>
      <c r="J12" s="11">
        <v>146.0</v>
      </c>
      <c r="K12" s="11">
        <v>147.0</v>
      </c>
      <c r="L12" s="11">
        <v>243.0</v>
      </c>
      <c r="M12" s="11">
        <v>136.0</v>
      </c>
      <c r="N12" s="11">
        <v>161.0</v>
      </c>
      <c r="O12" s="11">
        <v>164.0</v>
      </c>
      <c r="P12" s="11">
        <v>227.0</v>
      </c>
      <c r="Q12" s="11">
        <f t="shared" si="1"/>
        <v>256</v>
      </c>
      <c r="R12" s="11">
        <f t="shared" si="2"/>
        <v>390</v>
      </c>
      <c r="S12" s="11">
        <f t="shared" si="3"/>
        <v>297</v>
      </c>
      <c r="T12" s="11">
        <f t="shared" si="4"/>
        <v>391</v>
      </c>
      <c r="U12" s="10">
        <f>IF(Q12&gt;0,(I12/Q12-District!$B$4)*100,"")</f>
        <v>-10.44348363</v>
      </c>
      <c r="V12" s="10">
        <f>IF(R12&gt;0,(K12/R12-District!$B$5)*100,"")</f>
        <v>-12.0576639</v>
      </c>
      <c r="W12" s="10">
        <f>IF(S12&gt;0,(M12/S12-District!$B$6)*100,"")</f>
        <v>-5.191774913</v>
      </c>
      <c r="X12" s="10">
        <f>IF(T12&gt;0,(O12/T12-District!$B$7)*100,"")</f>
        <v>-7.552688127</v>
      </c>
      <c r="Y12" s="28" t="str">
        <f t="shared" si="5"/>
        <v/>
      </c>
      <c r="Z12" s="5" t="str">
        <f t="shared" si="6"/>
        <v/>
      </c>
      <c r="AA12" s="28" t="str">
        <f t="shared" si="7"/>
        <v/>
      </c>
      <c r="AB12" s="5" t="str">
        <f t="shared" si="8"/>
        <v/>
      </c>
      <c r="AC12" s="28" t="str">
        <f t="shared" si="9"/>
        <v/>
      </c>
      <c r="AD12" s="5" t="str">
        <f t="shared" si="10"/>
        <v/>
      </c>
    </row>
    <row r="13">
      <c r="A13" s="5" t="s">
        <v>302</v>
      </c>
      <c r="B13" s="5" t="s">
        <v>120</v>
      </c>
      <c r="C13" s="5" t="s">
        <v>281</v>
      </c>
      <c r="D13" s="5">
        <v>130.0</v>
      </c>
      <c r="E13" s="5" t="s">
        <v>122</v>
      </c>
      <c r="F13" s="5" t="s">
        <v>169</v>
      </c>
      <c r="G13" s="5"/>
      <c r="H13" s="5" t="s">
        <v>169</v>
      </c>
      <c r="I13" s="11">
        <v>258.0</v>
      </c>
      <c r="J13" s="11">
        <v>302.0</v>
      </c>
      <c r="K13" s="11">
        <v>276.0</v>
      </c>
      <c r="L13" s="11">
        <v>451.0</v>
      </c>
      <c r="M13" s="11">
        <v>244.0</v>
      </c>
      <c r="N13" s="11">
        <v>381.0</v>
      </c>
      <c r="O13" s="11">
        <v>289.0</v>
      </c>
      <c r="P13" s="11">
        <v>466.0</v>
      </c>
      <c r="Q13" s="11">
        <f t="shared" si="1"/>
        <v>560</v>
      </c>
      <c r="R13" s="11">
        <f t="shared" si="2"/>
        <v>727</v>
      </c>
      <c r="S13" s="11">
        <f t="shared" si="3"/>
        <v>625</v>
      </c>
      <c r="T13" s="11">
        <f t="shared" si="4"/>
        <v>755</v>
      </c>
      <c r="U13" s="10">
        <f>IF(Q13&gt;0,(I13/Q13-District!$B$4)*100,"")</f>
        <v>-7.340805054</v>
      </c>
      <c r="V13" s="10">
        <f>IF(R13&gt;0,(K13/R13-District!$B$5)*100,"")</f>
        <v>-11.785735</v>
      </c>
      <c r="W13" s="10">
        <f>IF(S13&gt;0,(M13/S13-District!$B$6)*100,"")</f>
        <v>-11.9430207</v>
      </c>
      <c r="X13" s="10">
        <f>IF(T13&gt;0,(O13/T13-District!$B$7)*100,"")</f>
        <v>-11.21827645</v>
      </c>
      <c r="Y13" s="28">
        <f t="shared" si="5"/>
        <v>11.78573427</v>
      </c>
      <c r="Z13" s="5">
        <f t="shared" si="6"/>
        <v>143</v>
      </c>
      <c r="AA13" s="28" t="str">
        <f t="shared" si="7"/>
        <v/>
      </c>
      <c r="AB13" s="5" t="str">
        <f t="shared" si="8"/>
        <v/>
      </c>
      <c r="AC13" s="28">
        <f t="shared" si="9"/>
        <v>11.94301995</v>
      </c>
      <c r="AD13" s="5">
        <f t="shared" si="10"/>
        <v>159</v>
      </c>
    </row>
    <row r="14">
      <c r="A14" s="5" t="s">
        <v>312</v>
      </c>
      <c r="B14" s="5" t="s">
        <v>120</v>
      </c>
      <c r="C14" s="5" t="s">
        <v>281</v>
      </c>
      <c r="D14" s="5">
        <v>140.0</v>
      </c>
      <c r="E14" s="5" t="s">
        <v>122</v>
      </c>
      <c r="F14" s="5" t="s">
        <v>174</v>
      </c>
      <c r="G14" s="5"/>
      <c r="H14" s="5" t="s">
        <v>174</v>
      </c>
      <c r="I14" s="11">
        <v>133.0</v>
      </c>
      <c r="J14" s="11">
        <v>94.0</v>
      </c>
      <c r="K14" s="11">
        <v>158.0</v>
      </c>
      <c r="L14" s="11">
        <v>142.0</v>
      </c>
      <c r="M14" s="11">
        <v>141.0</v>
      </c>
      <c r="N14" s="11">
        <v>108.0</v>
      </c>
      <c r="O14" s="11">
        <v>139.0</v>
      </c>
      <c r="P14" s="11">
        <v>135.0</v>
      </c>
      <c r="Q14" s="11">
        <f t="shared" si="1"/>
        <v>227</v>
      </c>
      <c r="R14" s="11">
        <f t="shared" si="2"/>
        <v>300</v>
      </c>
      <c r="S14" s="11">
        <f t="shared" si="3"/>
        <v>249</v>
      </c>
      <c r="T14" s="11">
        <f t="shared" si="4"/>
        <v>274</v>
      </c>
      <c r="U14" s="10">
        <f>IF(Q14&gt;0,(I14/Q14-District!$B$4)*100,"")</f>
        <v>5.178074745</v>
      </c>
      <c r="V14" s="10">
        <f>IF(R14&gt;0,(K14/R14-District!$B$5)*100,"")</f>
        <v>2.916695079</v>
      </c>
      <c r="W14" s="10">
        <f>IF(S14&gt;0,(M14/S14-District!$B$6)*100,"")</f>
        <v>5.64348532</v>
      </c>
      <c r="X14" s="10">
        <f>IF(T14&gt;0,(O14/T14-District!$B$7)*100,"")</f>
        <v>1.233504865</v>
      </c>
      <c r="Y14" s="28" t="str">
        <f t="shared" si="5"/>
        <v/>
      </c>
      <c r="Z14" s="5" t="str">
        <f t="shared" si="6"/>
        <v/>
      </c>
      <c r="AA14" s="28" t="str">
        <f t="shared" si="7"/>
        <v/>
      </c>
      <c r="AB14" s="5" t="str">
        <f t="shared" si="8"/>
        <v/>
      </c>
      <c r="AC14" s="28" t="str">
        <f t="shared" si="9"/>
        <v/>
      </c>
      <c r="AD14" s="5" t="str">
        <f t="shared" si="10"/>
        <v/>
      </c>
    </row>
    <row r="15">
      <c r="A15" s="5" t="s">
        <v>324</v>
      </c>
      <c r="B15" s="5" t="s">
        <v>120</v>
      </c>
      <c r="C15" s="5" t="s">
        <v>281</v>
      </c>
      <c r="D15" s="5">
        <v>150.0</v>
      </c>
      <c r="E15" s="5" t="s">
        <v>122</v>
      </c>
      <c r="F15" s="5" t="s">
        <v>178</v>
      </c>
      <c r="G15" s="5"/>
      <c r="H15" s="5" t="s">
        <v>178</v>
      </c>
      <c r="I15" s="11">
        <v>193.0</v>
      </c>
      <c r="J15" s="11">
        <v>225.0</v>
      </c>
      <c r="K15" s="11">
        <v>248.0</v>
      </c>
      <c r="L15" s="11">
        <v>368.0</v>
      </c>
      <c r="M15" s="11">
        <v>258.0</v>
      </c>
      <c r="N15" s="11">
        <v>267.0</v>
      </c>
      <c r="O15" s="11">
        <v>278.0</v>
      </c>
      <c r="P15" s="11">
        <v>355.0</v>
      </c>
      <c r="Q15" s="11">
        <f t="shared" si="1"/>
        <v>418</v>
      </c>
      <c r="R15" s="11">
        <f t="shared" si="2"/>
        <v>616</v>
      </c>
      <c r="S15" s="11">
        <f t="shared" si="3"/>
        <v>525</v>
      </c>
      <c r="T15" s="11">
        <f t="shared" si="4"/>
        <v>633</v>
      </c>
      <c r="U15" s="10">
        <f>IF(Q15&gt;0,(I15/Q15-District!$B$4)*100,"")</f>
        <v>-7.239984822</v>
      </c>
      <c r="V15" s="10">
        <f>IF(R15&gt;0,(K15/R15-District!$B$5)*100,"")</f>
        <v>-9.490231328</v>
      </c>
      <c r="W15" s="10">
        <f>IF(S15&gt;0,(M15/S15-District!$B$6)*100,"")</f>
        <v>-1.840163562</v>
      </c>
      <c r="X15" s="10">
        <f>IF(T15&gt;0,(O15/T15-District!$B$7)*100,"")</f>
        <v>-5.578570642</v>
      </c>
      <c r="Y15" s="28">
        <f t="shared" si="5"/>
        <v>9.490230712</v>
      </c>
      <c r="Z15" s="5">
        <f t="shared" si="6"/>
        <v>121</v>
      </c>
      <c r="AA15" s="28" t="str">
        <f t="shared" si="7"/>
        <v/>
      </c>
      <c r="AB15" s="5" t="str">
        <f t="shared" si="8"/>
        <v/>
      </c>
      <c r="AC15" s="28">
        <f t="shared" si="9"/>
        <v>5.578570009</v>
      </c>
      <c r="AD15" s="5">
        <f t="shared" si="10"/>
        <v>88</v>
      </c>
    </row>
    <row r="16">
      <c r="A16" s="5" t="s">
        <v>337</v>
      </c>
      <c r="B16" s="5" t="s">
        <v>120</v>
      </c>
      <c r="C16" s="5" t="s">
        <v>338</v>
      </c>
      <c r="D16" s="5">
        <v>160.0</v>
      </c>
      <c r="E16" s="5" t="s">
        <v>122</v>
      </c>
      <c r="F16" s="5" t="s">
        <v>184</v>
      </c>
      <c r="G16" s="5"/>
      <c r="H16" s="5" t="s">
        <v>184</v>
      </c>
      <c r="I16" s="11">
        <v>82.0</v>
      </c>
      <c r="J16" s="11">
        <v>131.0</v>
      </c>
      <c r="K16" s="11">
        <v>98.0</v>
      </c>
      <c r="L16" s="11">
        <v>208.0</v>
      </c>
      <c r="M16" s="11">
        <v>89.0</v>
      </c>
      <c r="N16" s="11">
        <v>161.0</v>
      </c>
      <c r="O16" s="11">
        <v>121.0</v>
      </c>
      <c r="P16" s="11">
        <v>204.0</v>
      </c>
      <c r="Q16" s="11">
        <f t="shared" si="1"/>
        <v>213</v>
      </c>
      <c r="R16" s="11">
        <f t="shared" si="2"/>
        <v>306</v>
      </c>
      <c r="S16" s="11">
        <f t="shared" si="3"/>
        <v>250</v>
      </c>
      <c r="T16" s="11">
        <f t="shared" si="4"/>
        <v>325</v>
      </c>
      <c r="U16" s="10">
        <f>IF(Q16&gt;0,(I16/Q16-District!$B$4)*100,"")</f>
        <v>-14.91458104</v>
      </c>
      <c r="V16" s="10">
        <f>IF(R16&gt;0,(K16/R16-District!$B$5)*100,"")</f>
        <v>-17.7238278</v>
      </c>
      <c r="W16" s="10">
        <f>IF(S16&gt;0,(M16/S16-District!$B$6)*100,"")</f>
        <v>-15.3830207</v>
      </c>
      <c r="X16" s="10">
        <f>IF(T16&gt;0,(O16/T16-District!$B$7)*100,"")</f>
        <v>-12.26565291</v>
      </c>
      <c r="Y16" s="28" t="str">
        <f t="shared" si="5"/>
        <v/>
      </c>
      <c r="Z16" s="5" t="str">
        <f t="shared" si="6"/>
        <v/>
      </c>
      <c r="AA16" s="28" t="str">
        <f t="shared" si="7"/>
        <v/>
      </c>
      <c r="AB16" s="5" t="str">
        <f t="shared" si="8"/>
        <v/>
      </c>
      <c r="AC16" s="28" t="str">
        <f t="shared" si="9"/>
        <v/>
      </c>
      <c r="AD16" s="5" t="str">
        <f t="shared" si="10"/>
        <v/>
      </c>
    </row>
    <row r="17">
      <c r="A17" s="5" t="s">
        <v>349</v>
      </c>
      <c r="B17" s="5" t="s">
        <v>120</v>
      </c>
      <c r="C17" s="5" t="s">
        <v>338</v>
      </c>
      <c r="D17" s="5">
        <v>170.0</v>
      </c>
      <c r="E17" s="5" t="s">
        <v>122</v>
      </c>
      <c r="F17" s="5" t="s">
        <v>185</v>
      </c>
      <c r="G17" s="5"/>
      <c r="H17" s="5" t="s">
        <v>185</v>
      </c>
      <c r="I17" s="11">
        <v>185.0</v>
      </c>
      <c r="J17" s="11">
        <v>364.0</v>
      </c>
      <c r="K17" s="11">
        <v>237.0</v>
      </c>
      <c r="L17" s="11">
        <v>558.0</v>
      </c>
      <c r="M17" s="11">
        <v>188.0</v>
      </c>
      <c r="N17" s="11">
        <v>399.0</v>
      </c>
      <c r="O17" s="11">
        <v>230.0</v>
      </c>
      <c r="P17" s="11">
        <v>493.0</v>
      </c>
      <c r="Q17" s="11">
        <f t="shared" si="1"/>
        <v>549</v>
      </c>
      <c r="R17" s="11">
        <f t="shared" si="2"/>
        <v>795</v>
      </c>
      <c r="S17" s="11">
        <f t="shared" si="3"/>
        <v>587</v>
      </c>
      <c r="T17" s="11">
        <f t="shared" si="4"/>
        <v>723</v>
      </c>
      <c r="U17" s="10">
        <f>IF(Q17&gt;0,(I17/Q17-District!$B$4)*100,"")</f>
        <v>-19.71460157</v>
      </c>
      <c r="V17" s="10">
        <f>IF(R17&gt;0,(K17/R17-District!$B$5)*100,"")</f>
        <v>-19.93865083</v>
      </c>
      <c r="W17" s="10">
        <f>IF(S17&gt;0,(M17/S17-District!$B$6)*100,"")</f>
        <v>-18.95576346</v>
      </c>
      <c r="X17" s="10">
        <f>IF(T17&gt;0,(O17/T17-District!$B$7)*100,"")</f>
        <v>-17.68452726</v>
      </c>
      <c r="Y17" s="28">
        <f t="shared" si="5"/>
        <v>19.93865004</v>
      </c>
      <c r="Z17" s="5">
        <f t="shared" si="6"/>
        <v>222</v>
      </c>
      <c r="AA17" s="28" t="str">
        <f t="shared" si="7"/>
        <v/>
      </c>
      <c r="AB17" s="5" t="str">
        <f t="shared" si="8"/>
        <v/>
      </c>
      <c r="AC17" s="28">
        <f t="shared" si="9"/>
        <v>18.95576274</v>
      </c>
      <c r="AD17" s="5">
        <f t="shared" si="10"/>
        <v>230</v>
      </c>
    </row>
    <row r="18">
      <c r="A18" s="5" t="s">
        <v>360</v>
      </c>
      <c r="B18" s="5" t="s">
        <v>120</v>
      </c>
      <c r="C18" s="5" t="s">
        <v>361</v>
      </c>
      <c r="D18" s="5">
        <v>180.0</v>
      </c>
      <c r="E18" s="5" t="s">
        <v>122</v>
      </c>
      <c r="F18" s="5" t="s">
        <v>187</v>
      </c>
      <c r="G18" s="5"/>
      <c r="H18" s="5" t="s">
        <v>187</v>
      </c>
      <c r="I18" s="11">
        <v>209.0</v>
      </c>
      <c r="J18" s="11">
        <v>211.0</v>
      </c>
      <c r="K18" s="11">
        <v>286.0</v>
      </c>
      <c r="L18" s="11">
        <v>390.0</v>
      </c>
      <c r="M18" s="11">
        <v>190.0</v>
      </c>
      <c r="N18" s="11">
        <v>293.0</v>
      </c>
      <c r="O18" s="11">
        <v>250.0</v>
      </c>
      <c r="P18" s="11">
        <v>394.0</v>
      </c>
      <c r="Q18" s="11">
        <f t="shared" si="1"/>
        <v>420</v>
      </c>
      <c r="R18" s="11">
        <f t="shared" si="2"/>
        <v>676</v>
      </c>
      <c r="S18" s="11">
        <f t="shared" si="3"/>
        <v>483</v>
      </c>
      <c r="T18" s="11">
        <f t="shared" si="4"/>
        <v>644</v>
      </c>
      <c r="U18" s="10">
        <f>IF(Q18&gt;0,(I18/Q18-District!$B$4)*100,"")</f>
        <v>-3.650328864</v>
      </c>
      <c r="V18" s="10">
        <f>IF(R18&gt;0,(K18/R18-District!$B$5)*100,"")</f>
        <v>-7.44227928</v>
      </c>
      <c r="W18" s="10">
        <f>IF(S18&gt;0,(M18/S18-District!$B$6)*100,"")</f>
        <v>-11.64554658</v>
      </c>
      <c r="X18" s="10">
        <f>IF(T18&gt;0,(O18/T18-District!$B$7)*100,"")</f>
        <v>-10.67654637</v>
      </c>
      <c r="Y18" s="28">
        <f t="shared" si="5"/>
        <v>7.442278604</v>
      </c>
      <c r="Z18" s="5">
        <f t="shared" si="6"/>
        <v>104</v>
      </c>
      <c r="AA18" s="28" t="str">
        <f t="shared" si="7"/>
        <v/>
      </c>
      <c r="AB18" s="5" t="str">
        <f t="shared" si="8"/>
        <v/>
      </c>
      <c r="AC18" s="28">
        <f t="shared" si="9"/>
        <v>11.64554594</v>
      </c>
      <c r="AD18" s="5">
        <f t="shared" si="10"/>
        <v>155</v>
      </c>
    </row>
    <row r="19">
      <c r="A19" s="5" t="s">
        <v>372</v>
      </c>
      <c r="B19" s="5" t="s">
        <v>120</v>
      </c>
      <c r="C19" s="5" t="s">
        <v>361</v>
      </c>
      <c r="D19" s="5">
        <v>190.0</v>
      </c>
      <c r="E19" s="5" t="s">
        <v>122</v>
      </c>
      <c r="F19" s="5" t="s">
        <v>188</v>
      </c>
      <c r="G19" s="5"/>
      <c r="H19" s="5" t="s">
        <v>188</v>
      </c>
      <c r="I19" s="11">
        <v>132.0</v>
      </c>
      <c r="J19" s="11">
        <v>147.0</v>
      </c>
      <c r="K19" s="11">
        <v>170.0</v>
      </c>
      <c r="L19" s="11">
        <v>245.0</v>
      </c>
      <c r="M19" s="11">
        <v>122.0</v>
      </c>
      <c r="N19" s="11">
        <v>165.0</v>
      </c>
      <c r="O19" s="11">
        <v>160.0</v>
      </c>
      <c r="P19" s="11">
        <v>249.0</v>
      </c>
      <c r="Q19" s="11">
        <f t="shared" si="1"/>
        <v>279</v>
      </c>
      <c r="R19" s="11">
        <f t="shared" si="2"/>
        <v>415</v>
      </c>
      <c r="S19" s="11">
        <f t="shared" si="3"/>
        <v>287</v>
      </c>
      <c r="T19" s="11">
        <f t="shared" si="4"/>
        <v>409</v>
      </c>
      <c r="U19" s="10">
        <f>IF(Q19&gt;0,(I19/Q19-District!$B$4)*100,"")</f>
        <v>-6.100405668</v>
      </c>
      <c r="V19" s="10">
        <f>IF(R19&gt;0,(K19/R19-District!$B$5)*100,"")</f>
        <v>-8.786116166</v>
      </c>
      <c r="W19" s="10">
        <f>IF(S19&gt;0,(M19/S19-District!$B$6)*100,"")</f>
        <v>-8.474309903</v>
      </c>
      <c r="X19" s="10">
        <f>IF(T19&gt;0,(O19/T19-District!$B$7)*100,"")</f>
        <v>-10.37661774</v>
      </c>
      <c r="Y19" s="28" t="str">
        <f t="shared" si="5"/>
        <v/>
      </c>
      <c r="Z19" s="5" t="str">
        <f t="shared" si="6"/>
        <v/>
      </c>
      <c r="AA19" s="28" t="str">
        <f t="shared" si="7"/>
        <v/>
      </c>
      <c r="AB19" s="5" t="str">
        <f t="shared" si="8"/>
        <v/>
      </c>
      <c r="AC19" s="28" t="str">
        <f t="shared" si="9"/>
        <v/>
      </c>
      <c r="AD19" s="5" t="str">
        <f t="shared" si="10"/>
        <v/>
      </c>
    </row>
    <row r="20">
      <c r="A20" s="5" t="s">
        <v>382</v>
      </c>
      <c r="B20" s="5" t="s">
        <v>120</v>
      </c>
      <c r="C20" s="5" t="s">
        <v>361</v>
      </c>
      <c r="D20" s="5">
        <v>200.0</v>
      </c>
      <c r="E20" s="5" t="s">
        <v>122</v>
      </c>
      <c r="F20" s="5" t="s">
        <v>189</v>
      </c>
      <c r="G20" s="5" t="s">
        <v>189</v>
      </c>
      <c r="H20" s="5" t="s">
        <v>189</v>
      </c>
      <c r="I20" s="11">
        <v>114.0</v>
      </c>
      <c r="J20" s="11">
        <v>109.0</v>
      </c>
      <c r="K20" s="11">
        <v>158.0</v>
      </c>
      <c r="L20" s="11">
        <v>211.0</v>
      </c>
      <c r="M20" s="11">
        <v>108.0</v>
      </c>
      <c r="N20" s="11">
        <v>122.0</v>
      </c>
      <c r="O20" s="11">
        <v>165.0</v>
      </c>
      <c r="P20" s="11">
        <v>237.0</v>
      </c>
      <c r="Q20" s="11">
        <f t="shared" si="1"/>
        <v>223</v>
      </c>
      <c r="R20" s="11">
        <f t="shared" si="2"/>
        <v>369</v>
      </c>
      <c r="S20" s="11">
        <f t="shared" si="3"/>
        <v>230</v>
      </c>
      <c r="T20" s="11">
        <f t="shared" si="4"/>
        <v>402</v>
      </c>
      <c r="U20" s="10">
        <f>IF(Q20&gt;0,(I20/Q20-District!$B$4)*100,"")</f>
        <v>-2.291157392</v>
      </c>
      <c r="V20" s="10">
        <f>IF(R20&gt;0,(K20/R20-District!$B$5)*100,"")</f>
        <v>-6.931543403</v>
      </c>
      <c r="W20" s="10">
        <f>IF(S20&gt;0,(M20/S20-District!$B$6)*100,"")</f>
        <v>-4.026498965</v>
      </c>
      <c r="X20" s="10">
        <f>IF(T20&gt;0,(O20/T20-District!$B$7)*100,"")</f>
        <v>-8.451646023</v>
      </c>
      <c r="Y20" s="28" t="str">
        <f t="shared" si="5"/>
        <v/>
      </c>
      <c r="Z20" s="5" t="str">
        <f t="shared" si="6"/>
        <v/>
      </c>
      <c r="AA20" s="28" t="str">
        <f t="shared" si="7"/>
        <v/>
      </c>
      <c r="AB20" s="5" t="str">
        <f t="shared" si="8"/>
        <v/>
      </c>
      <c r="AC20" s="28" t="str">
        <f t="shared" si="9"/>
        <v/>
      </c>
      <c r="AD20" s="5" t="str">
        <f t="shared" si="10"/>
        <v/>
      </c>
    </row>
    <row r="21" ht="15.75" customHeight="1">
      <c r="A21" s="5" t="s">
        <v>392</v>
      </c>
      <c r="B21" s="5" t="s">
        <v>120</v>
      </c>
      <c r="C21" s="5" t="s">
        <v>393</v>
      </c>
      <c r="D21" s="5">
        <v>210.0</v>
      </c>
      <c r="E21" s="5" t="s">
        <v>122</v>
      </c>
      <c r="F21" s="5" t="s">
        <v>190</v>
      </c>
      <c r="G21" s="5"/>
      <c r="H21" s="5" t="s">
        <v>190</v>
      </c>
      <c r="I21" s="11">
        <v>29.0</v>
      </c>
      <c r="J21" s="11">
        <v>59.0</v>
      </c>
      <c r="K21" s="11">
        <v>42.0</v>
      </c>
      <c r="L21" s="11">
        <v>99.0</v>
      </c>
      <c r="M21" s="11">
        <v>36.0</v>
      </c>
      <c r="N21" s="11">
        <v>79.0</v>
      </c>
      <c r="O21" s="11">
        <v>38.0</v>
      </c>
      <c r="P21" s="11">
        <v>107.0</v>
      </c>
      <c r="Q21" s="11">
        <f t="shared" si="1"/>
        <v>88</v>
      </c>
      <c r="R21" s="11">
        <f t="shared" si="2"/>
        <v>141</v>
      </c>
      <c r="S21" s="11">
        <f t="shared" si="3"/>
        <v>115</v>
      </c>
      <c r="T21" s="11">
        <f t="shared" si="4"/>
        <v>145</v>
      </c>
      <c r="U21" s="10">
        <f>IF(Q21&gt;0,(I21/Q21-District!$B$4)*100,"")</f>
        <v>-20.45768817</v>
      </c>
      <c r="V21" s="10">
        <f>IF(R21&gt;0,(K21/R21-District!$B$5)*100,"")</f>
        <v>-19.96273755</v>
      </c>
      <c r="W21" s="10">
        <f>IF(S21&gt;0,(M21/S21-District!$B$6)*100,"")</f>
        <v>-19.67867288</v>
      </c>
      <c r="X21" s="10">
        <f>IF(T21&gt;0,(O21/T21-District!$B$7)*100,"")</f>
        <v>-23.28952559</v>
      </c>
      <c r="Y21" s="28" t="str">
        <f t="shared" si="5"/>
        <v/>
      </c>
      <c r="Z21" s="5" t="str">
        <f t="shared" si="6"/>
        <v/>
      </c>
      <c r="AA21" s="28" t="str">
        <f t="shared" si="7"/>
        <v/>
      </c>
      <c r="AB21" s="5" t="str">
        <f t="shared" si="8"/>
        <v/>
      </c>
      <c r="AC21" s="28" t="str">
        <f t="shared" si="9"/>
        <v/>
      </c>
      <c r="AD21" s="5" t="str">
        <f t="shared" si="10"/>
        <v/>
      </c>
    </row>
    <row r="22" ht="15.75" customHeight="1">
      <c r="A22" s="5" t="s">
        <v>402</v>
      </c>
      <c r="B22" s="5" t="s">
        <v>120</v>
      </c>
      <c r="C22" s="5" t="s">
        <v>403</v>
      </c>
      <c r="D22" s="5">
        <v>220.0</v>
      </c>
      <c r="E22" s="5" t="s">
        <v>122</v>
      </c>
      <c r="F22" s="5" t="s">
        <v>191</v>
      </c>
      <c r="G22" s="5"/>
      <c r="H22" s="5" t="s">
        <v>191</v>
      </c>
      <c r="I22" s="11">
        <v>41.0</v>
      </c>
      <c r="J22" s="11">
        <v>163.0</v>
      </c>
      <c r="K22" s="11">
        <v>51.0</v>
      </c>
      <c r="L22" s="11">
        <v>223.0</v>
      </c>
      <c r="M22" s="11">
        <v>52.0</v>
      </c>
      <c r="N22" s="11">
        <v>189.0</v>
      </c>
      <c r="O22" s="11">
        <v>58.0</v>
      </c>
      <c r="P22" s="11">
        <v>216.0</v>
      </c>
      <c r="Q22" s="11">
        <f t="shared" si="1"/>
        <v>204</v>
      </c>
      <c r="R22" s="11">
        <f t="shared" si="2"/>
        <v>274</v>
      </c>
      <c r="S22" s="11">
        <f t="shared" si="3"/>
        <v>241</v>
      </c>
      <c r="T22" s="11">
        <f t="shared" si="4"/>
        <v>274</v>
      </c>
      <c r="U22" s="10">
        <f>IF(Q22&gt;0,(I22/Q22-District!$B$4)*100,"")</f>
        <v>-33.31419441</v>
      </c>
      <c r="V22" s="10">
        <f>IF(R22&gt;0,(K22/R22-District!$B$5)*100,"")</f>
        <v>-31.1368329</v>
      </c>
      <c r="W22" s="10">
        <f>IF(S22&gt;0,(M22/S22-District!$B$6)*100,"")</f>
        <v>-29.40625722</v>
      </c>
      <c r="X22" s="10">
        <f>IF(T22&gt;0,(O22/T22-District!$B$7)*100,"")</f>
        <v>-28.32853893</v>
      </c>
      <c r="Y22" s="28" t="str">
        <f t="shared" si="5"/>
        <v/>
      </c>
      <c r="Z22" s="5" t="str">
        <f t="shared" si="6"/>
        <v/>
      </c>
      <c r="AA22" s="28" t="str">
        <f t="shared" si="7"/>
        <v/>
      </c>
      <c r="AB22" s="5" t="str">
        <f t="shared" si="8"/>
        <v/>
      </c>
      <c r="AC22" s="28" t="str">
        <f t="shared" si="9"/>
        <v/>
      </c>
      <c r="AD22" s="5" t="str">
        <f t="shared" si="10"/>
        <v/>
      </c>
    </row>
    <row r="23" ht="15.75" customHeight="1">
      <c r="A23" s="5" t="s">
        <v>414</v>
      </c>
      <c r="B23" s="5" t="s">
        <v>120</v>
      </c>
      <c r="C23" s="5" t="s">
        <v>416</v>
      </c>
      <c r="D23" s="5">
        <v>230.0</v>
      </c>
      <c r="E23" s="5" t="s">
        <v>122</v>
      </c>
      <c r="F23" s="5" t="s">
        <v>193</v>
      </c>
      <c r="G23" s="5"/>
      <c r="H23" s="5" t="s">
        <v>193</v>
      </c>
      <c r="I23" s="11">
        <v>226.0</v>
      </c>
      <c r="J23" s="11">
        <v>272.0</v>
      </c>
      <c r="K23" s="11">
        <v>294.0</v>
      </c>
      <c r="L23" s="11">
        <v>502.0</v>
      </c>
      <c r="M23" s="11">
        <v>233.0</v>
      </c>
      <c r="N23" s="11">
        <v>333.0</v>
      </c>
      <c r="O23" s="11">
        <v>328.0</v>
      </c>
      <c r="P23" s="11">
        <v>501.0</v>
      </c>
      <c r="Q23" s="11">
        <f t="shared" si="1"/>
        <v>498</v>
      </c>
      <c r="R23" s="11">
        <f t="shared" si="2"/>
        <v>796</v>
      </c>
      <c r="S23" s="11">
        <f t="shared" si="3"/>
        <v>566</v>
      </c>
      <c r="T23" s="11">
        <f t="shared" si="4"/>
        <v>829</v>
      </c>
      <c r="U23" s="10">
        <f>IF(Q23&gt;0,(I23/Q23-District!$B$4)*100,"")</f>
        <v>-8.030707521</v>
      </c>
      <c r="V23" s="10">
        <f>IF(R23&gt;0,(K23/R23-District!$B$5)*100,"")</f>
        <v>-12.81529822</v>
      </c>
      <c r="W23" s="10">
        <f>IF(S23&gt;0,(M23/S23-District!$B$6)*100,"")</f>
        <v>-9.816942966</v>
      </c>
      <c r="X23" s="10">
        <f>IF(T23&gt;0,(O23/T23-District!$B$7)*100,"")</f>
        <v>-9.930680285</v>
      </c>
      <c r="Y23" s="28">
        <f t="shared" si="5"/>
        <v>12.81529742</v>
      </c>
      <c r="Z23" s="5">
        <f t="shared" si="6"/>
        <v>152</v>
      </c>
      <c r="AA23" s="28" t="str">
        <f t="shared" si="7"/>
        <v/>
      </c>
      <c r="AB23" s="5" t="str">
        <f t="shared" si="8"/>
        <v/>
      </c>
      <c r="AC23" s="28">
        <f t="shared" si="9"/>
        <v>9.930679456</v>
      </c>
      <c r="AD23" s="5">
        <f t="shared" si="10"/>
        <v>130</v>
      </c>
    </row>
    <row r="24" ht="15.75" customHeight="1">
      <c r="A24" s="5" t="s">
        <v>428</v>
      </c>
      <c r="B24" s="5" t="s">
        <v>120</v>
      </c>
      <c r="C24" s="5" t="s">
        <v>416</v>
      </c>
      <c r="D24" s="5">
        <v>240.0</v>
      </c>
      <c r="E24" s="5" t="s">
        <v>122</v>
      </c>
      <c r="F24" s="5" t="s">
        <v>194</v>
      </c>
      <c r="G24" s="5"/>
      <c r="H24" s="5" t="s">
        <v>194</v>
      </c>
      <c r="I24" s="11">
        <v>205.0</v>
      </c>
      <c r="J24" s="11">
        <v>252.0</v>
      </c>
      <c r="K24" s="11">
        <v>275.0</v>
      </c>
      <c r="L24" s="11">
        <v>430.0</v>
      </c>
      <c r="M24" s="11">
        <v>242.0</v>
      </c>
      <c r="N24" s="11">
        <v>285.0</v>
      </c>
      <c r="O24" s="11">
        <v>293.0</v>
      </c>
      <c r="P24" s="11">
        <v>452.0</v>
      </c>
      <c r="Q24" s="11">
        <f t="shared" si="1"/>
        <v>457</v>
      </c>
      <c r="R24" s="11">
        <f t="shared" si="2"/>
        <v>705</v>
      </c>
      <c r="S24" s="11">
        <f t="shared" si="3"/>
        <v>527</v>
      </c>
      <c r="T24" s="11">
        <f t="shared" si="4"/>
        <v>745</v>
      </c>
      <c r="U24" s="10">
        <f>IF(Q24&gt;0,(I24/Q24-District!$B$4)*100,"")</f>
        <v>-8.554465573</v>
      </c>
      <c r="V24" s="10">
        <f>IF(R24&gt;0,(K24/R24-District!$B$5)*100,"")</f>
        <v>-10.74287939</v>
      </c>
      <c r="W24" s="10">
        <f>IF(S24&gt;0,(M24/S24-District!$B$6)*100,"")</f>
        <v>-5.062717099</v>
      </c>
      <c r="X24" s="10">
        <f>IF(T24&gt;0,(O24/T24-District!$B$7)*100,"")</f>
        <v>-10.16756308</v>
      </c>
      <c r="Y24" s="28">
        <f t="shared" si="5"/>
        <v>10.74287868</v>
      </c>
      <c r="Z24" s="5">
        <f t="shared" si="6"/>
        <v>133</v>
      </c>
      <c r="AA24" s="28" t="str">
        <f t="shared" si="7"/>
        <v/>
      </c>
      <c r="AB24" s="5" t="str">
        <f t="shared" si="8"/>
        <v/>
      </c>
      <c r="AC24" s="28">
        <f t="shared" si="9"/>
        <v>10.16756234</v>
      </c>
      <c r="AD24" s="5">
        <f t="shared" si="10"/>
        <v>133</v>
      </c>
    </row>
    <row r="25" ht="15.75" customHeight="1">
      <c r="A25" s="5" t="s">
        <v>438</v>
      </c>
      <c r="B25" s="5" t="s">
        <v>120</v>
      </c>
      <c r="C25" s="5" t="s">
        <v>416</v>
      </c>
      <c r="D25" s="5">
        <v>250.0</v>
      </c>
      <c r="E25" s="5" t="s">
        <v>122</v>
      </c>
      <c r="F25" s="5" t="s">
        <v>195</v>
      </c>
      <c r="G25" s="5"/>
      <c r="H25" s="5" t="s">
        <v>195</v>
      </c>
      <c r="I25" s="11">
        <v>237.0</v>
      </c>
      <c r="J25" s="11">
        <v>242.0</v>
      </c>
      <c r="K25" s="11">
        <v>272.0</v>
      </c>
      <c r="L25" s="11">
        <v>478.0</v>
      </c>
      <c r="M25" s="11">
        <v>244.0</v>
      </c>
      <c r="N25" s="11">
        <v>330.0</v>
      </c>
      <c r="O25" s="11">
        <v>323.0</v>
      </c>
      <c r="P25" s="11">
        <v>533.0</v>
      </c>
      <c r="Q25" s="11">
        <f t="shared" si="1"/>
        <v>479</v>
      </c>
      <c r="R25" s="11">
        <f t="shared" si="2"/>
        <v>750</v>
      </c>
      <c r="S25" s="11">
        <f t="shared" si="3"/>
        <v>574</v>
      </c>
      <c r="T25" s="11">
        <f t="shared" si="4"/>
        <v>856</v>
      </c>
      <c r="U25" s="10">
        <f>IF(Q25&gt;0,(I25/Q25-District!$B$4)*100,"")</f>
        <v>-3.934154294</v>
      </c>
      <c r="V25" s="10">
        <f>IF(R25&gt;0,(K25/R25-District!$B$5)*100,"")</f>
        <v>-13.48330492</v>
      </c>
      <c r="W25" s="10">
        <f>IF(S25&gt;0,(M25/S25-District!$B$6)*100,"")</f>
        <v>-8.474309903</v>
      </c>
      <c r="X25" s="10">
        <f>IF(T25&gt;0,(O25/T25-District!$B$7)*100,"")</f>
        <v>-11.76277728</v>
      </c>
      <c r="Y25" s="28">
        <f t="shared" si="5"/>
        <v>13.48330417</v>
      </c>
      <c r="Z25" s="5">
        <f t="shared" si="6"/>
        <v>165</v>
      </c>
      <c r="AA25" s="28" t="str">
        <f t="shared" si="7"/>
        <v/>
      </c>
      <c r="AB25" s="5" t="str">
        <f t="shared" si="8"/>
        <v/>
      </c>
      <c r="AC25" s="28">
        <f t="shared" si="9"/>
        <v>11.76277643</v>
      </c>
      <c r="AD25" s="5">
        <f t="shared" si="10"/>
        <v>157</v>
      </c>
    </row>
    <row r="26" ht="15.75" customHeight="1">
      <c r="A26" s="5" t="s">
        <v>459</v>
      </c>
      <c r="B26" s="5" t="s">
        <v>120</v>
      </c>
      <c r="C26" s="5" t="s">
        <v>460</v>
      </c>
      <c r="D26" s="5">
        <v>260.0</v>
      </c>
      <c r="E26" s="5" t="s">
        <v>122</v>
      </c>
      <c r="F26" s="5" t="s">
        <v>197</v>
      </c>
      <c r="G26" s="5"/>
      <c r="H26" s="5" t="s">
        <v>197</v>
      </c>
      <c r="I26" s="11">
        <v>228.0</v>
      </c>
      <c r="J26" s="11">
        <v>413.0</v>
      </c>
      <c r="K26" s="11">
        <v>283.0</v>
      </c>
      <c r="L26" s="11">
        <v>714.0</v>
      </c>
      <c r="M26" s="11">
        <v>246.0</v>
      </c>
      <c r="N26" s="11">
        <v>553.0</v>
      </c>
      <c r="O26" s="11">
        <v>286.0</v>
      </c>
      <c r="P26" s="11">
        <v>765.0</v>
      </c>
      <c r="Q26" s="11">
        <f t="shared" si="1"/>
        <v>641</v>
      </c>
      <c r="R26" s="11">
        <f t="shared" si="2"/>
        <v>997</v>
      </c>
      <c r="S26" s="11">
        <f t="shared" si="3"/>
        <v>799</v>
      </c>
      <c r="T26" s="11">
        <f t="shared" si="4"/>
        <v>1051</v>
      </c>
      <c r="U26" s="10">
        <f>IF(Q26&gt;0,(I26/Q26-District!$B$4)*100,"")</f>
        <v>-17.84281085</v>
      </c>
      <c r="V26" s="10">
        <f>IF(R26&gt;0,(K26/R26-District!$B$5)*100,"")</f>
        <v>-21.36481612</v>
      </c>
      <c r="W26" s="10">
        <f>IF(S26&gt;0,(M26/S26-District!$B$6)*100,"")</f>
        <v>-20.1945351</v>
      </c>
      <c r="X26" s="10">
        <f>IF(T26&gt;0,(O26/T26-District!$B$7)*100,"")</f>
        <v>-22.28424327</v>
      </c>
      <c r="Y26" s="28">
        <f t="shared" si="5"/>
        <v>21.36481512</v>
      </c>
      <c r="Z26" s="5">
        <f t="shared" si="6"/>
        <v>238</v>
      </c>
      <c r="AA26" s="28" t="str">
        <f t="shared" si="7"/>
        <v/>
      </c>
      <c r="AB26" s="5" t="str">
        <f t="shared" si="8"/>
        <v/>
      </c>
      <c r="AC26" s="28">
        <f t="shared" si="9"/>
        <v>22.28424221</v>
      </c>
      <c r="AD26" s="5">
        <f t="shared" si="10"/>
        <v>259</v>
      </c>
    </row>
    <row r="27" ht="15.75" customHeight="1">
      <c r="A27" s="5" t="s">
        <v>472</v>
      </c>
      <c r="B27" s="5" t="s">
        <v>120</v>
      </c>
      <c r="C27" s="5" t="s">
        <v>460</v>
      </c>
      <c r="D27" s="5">
        <v>265.0</v>
      </c>
      <c r="E27" s="5" t="s">
        <v>122</v>
      </c>
      <c r="F27" s="5" t="s">
        <v>199</v>
      </c>
      <c r="G27" s="5"/>
      <c r="H27" s="5" t="s">
        <v>199</v>
      </c>
      <c r="I27" s="11">
        <v>174.0</v>
      </c>
      <c r="J27" s="11">
        <v>273.0</v>
      </c>
      <c r="K27" s="11">
        <v>206.0</v>
      </c>
      <c r="L27" s="11">
        <v>450.0</v>
      </c>
      <c r="M27" s="11">
        <v>184.0</v>
      </c>
      <c r="N27" s="11">
        <v>363.0</v>
      </c>
      <c r="O27" s="11">
        <v>229.0</v>
      </c>
      <c r="P27" s="11">
        <v>528.0</v>
      </c>
      <c r="Q27" s="11">
        <f t="shared" si="1"/>
        <v>447</v>
      </c>
      <c r="R27" s="11">
        <f t="shared" si="2"/>
        <v>656</v>
      </c>
      <c r="S27" s="11">
        <f t="shared" si="3"/>
        <v>547</v>
      </c>
      <c r="T27" s="11">
        <f t="shared" si="4"/>
        <v>757</v>
      </c>
      <c r="U27" s="10">
        <f>IF(Q27&gt;0,(I27/Q27-District!$B$4)*100,"")</f>
        <v>-14.48605913</v>
      </c>
      <c r="V27" s="10">
        <f>IF(R27&gt;0,(K27/R27-District!$B$5)*100,"")</f>
        <v>-18.34753256</v>
      </c>
      <c r="W27" s="10">
        <f>IF(S27&gt;0,(M27/S27-District!$B$6)*100,"")</f>
        <v>-17.34499511</v>
      </c>
      <c r="X27" s="10">
        <f>IF(T27&gt;0,(O27/T27-District!$B$7)*100,"")</f>
        <v>-19.24543139</v>
      </c>
      <c r="Y27" s="28">
        <f t="shared" si="5"/>
        <v>18.34753191</v>
      </c>
      <c r="Z27" s="5">
        <f t="shared" si="6"/>
        <v>211</v>
      </c>
      <c r="AA27" s="28" t="str">
        <f t="shared" si="7"/>
        <v/>
      </c>
      <c r="AB27" s="5" t="str">
        <f t="shared" si="8"/>
        <v/>
      </c>
      <c r="AC27" s="28">
        <f t="shared" si="9"/>
        <v>19.24543063</v>
      </c>
      <c r="AD27" s="5">
        <f t="shared" si="10"/>
        <v>235</v>
      </c>
    </row>
    <row r="28" ht="15.75" customHeight="1">
      <c r="A28" s="5" t="s">
        <v>486</v>
      </c>
      <c r="B28" s="5" t="s">
        <v>120</v>
      </c>
      <c r="C28" s="5" t="s">
        <v>487</v>
      </c>
      <c r="D28" s="5">
        <v>270.0</v>
      </c>
      <c r="E28" s="5" t="s">
        <v>122</v>
      </c>
      <c r="F28" s="5" t="s">
        <v>203</v>
      </c>
      <c r="G28" s="5"/>
      <c r="H28" s="5" t="s">
        <v>203</v>
      </c>
      <c r="I28" s="11">
        <v>327.0</v>
      </c>
      <c r="J28" s="11">
        <v>587.0</v>
      </c>
      <c r="K28" s="11">
        <v>347.0</v>
      </c>
      <c r="L28" s="11">
        <v>913.0</v>
      </c>
      <c r="M28" s="11">
        <v>350.0</v>
      </c>
      <c r="N28" s="11">
        <v>728.0</v>
      </c>
      <c r="O28" s="11">
        <v>430.0</v>
      </c>
      <c r="P28" s="11">
        <v>993.0</v>
      </c>
      <c r="Q28" s="11">
        <f t="shared" si="1"/>
        <v>914</v>
      </c>
      <c r="R28" s="11">
        <f t="shared" si="2"/>
        <v>1260</v>
      </c>
      <c r="S28" s="11">
        <f t="shared" si="3"/>
        <v>1078</v>
      </c>
      <c r="T28" s="11">
        <f t="shared" si="4"/>
        <v>1423</v>
      </c>
      <c r="U28" s="10">
        <f>IF(Q28&gt;0,(I28/Q28-District!$B$4)*100,"")</f>
        <v>-17.63542837</v>
      </c>
      <c r="V28" s="10">
        <f>IF(R28&gt;0,(K28/R28-District!$B$5)*100,"")</f>
        <v>-22.21028905</v>
      </c>
      <c r="W28" s="10">
        <f>IF(S28&gt;0,(M28/S28-District!$B$6)*100,"")</f>
        <v>-18.51548824</v>
      </c>
      <c r="X28" s="10">
        <f>IF(T28&gt;0,(O28/T28-District!$B$7)*100,"")</f>
        <v>-19.27857253</v>
      </c>
      <c r="Y28" s="28">
        <f t="shared" si="5"/>
        <v>22.21028779</v>
      </c>
      <c r="Z28" s="5">
        <f t="shared" si="6"/>
        <v>246</v>
      </c>
      <c r="AA28" s="28" t="str">
        <f t="shared" si="7"/>
        <v/>
      </c>
      <c r="AB28" s="5" t="str">
        <f t="shared" si="8"/>
        <v/>
      </c>
      <c r="AC28" s="28">
        <f t="shared" si="9"/>
        <v>19.27857111</v>
      </c>
      <c r="AD28" s="5">
        <f t="shared" si="10"/>
        <v>236</v>
      </c>
    </row>
    <row r="29" ht="15.75" customHeight="1">
      <c r="A29" s="5" t="s">
        <v>497</v>
      </c>
      <c r="B29" s="5" t="s">
        <v>120</v>
      </c>
      <c r="C29" s="5" t="s">
        <v>487</v>
      </c>
      <c r="D29" s="5">
        <v>280.0</v>
      </c>
      <c r="E29" s="5" t="s">
        <v>122</v>
      </c>
      <c r="F29" s="5" t="s">
        <v>201</v>
      </c>
      <c r="G29" s="5"/>
      <c r="H29" s="5" t="s">
        <v>201</v>
      </c>
      <c r="I29" s="11">
        <v>95.0</v>
      </c>
      <c r="J29" s="11">
        <v>225.0</v>
      </c>
      <c r="K29" s="11">
        <v>108.0</v>
      </c>
      <c r="L29" s="11">
        <v>379.0</v>
      </c>
      <c r="M29" s="11">
        <v>101.0</v>
      </c>
      <c r="N29" s="11">
        <v>288.0</v>
      </c>
      <c r="O29" s="11">
        <v>139.0</v>
      </c>
      <c r="P29" s="11">
        <v>400.0</v>
      </c>
      <c r="Q29" s="11">
        <f t="shared" si="1"/>
        <v>320</v>
      </c>
      <c r="R29" s="11">
        <f t="shared" si="2"/>
        <v>487</v>
      </c>
      <c r="S29" s="11">
        <f t="shared" si="3"/>
        <v>389</v>
      </c>
      <c r="T29" s="11">
        <f t="shared" si="4"/>
        <v>539</v>
      </c>
      <c r="U29" s="10">
        <f>IF(Q29&gt;0,(I29/Q29-District!$B$4)*100,"")</f>
        <v>-23.72473363</v>
      </c>
      <c r="V29" s="10">
        <f>IF(R29&gt;0,(K29/R29-District!$B$5)*100,"")</f>
        <v>-27.57338021</v>
      </c>
      <c r="W29" s="10">
        <f>IF(S29&gt;0,(M29/S29-District!$B$6)*100,"")</f>
        <v>-25.01901042</v>
      </c>
      <c r="X29" s="10">
        <f>IF(T29&gt;0,(O29/T29-District!$B$7)*100,"")</f>
        <v>-23.70792493</v>
      </c>
      <c r="Y29" s="28">
        <f t="shared" si="5"/>
        <v>27.57337972</v>
      </c>
      <c r="Z29" s="5">
        <f t="shared" si="6"/>
        <v>270</v>
      </c>
      <c r="AA29" s="28" t="str">
        <f t="shared" si="7"/>
        <v/>
      </c>
      <c r="AB29" s="5" t="str">
        <f t="shared" si="8"/>
        <v/>
      </c>
      <c r="AC29" s="28">
        <f t="shared" si="9"/>
        <v>25.01900988</v>
      </c>
      <c r="AD29" s="5">
        <f t="shared" si="10"/>
        <v>273</v>
      </c>
    </row>
    <row r="30" ht="15.75" customHeight="1">
      <c r="A30" s="5" t="s">
        <v>511</v>
      </c>
      <c r="B30" s="5" t="s">
        <v>120</v>
      </c>
      <c r="C30" s="5" t="s">
        <v>487</v>
      </c>
      <c r="D30" s="5">
        <v>290.0</v>
      </c>
      <c r="E30" s="5" t="s">
        <v>122</v>
      </c>
      <c r="F30" s="5" t="s">
        <v>202</v>
      </c>
      <c r="G30" s="5"/>
      <c r="H30" s="5" t="s">
        <v>202</v>
      </c>
      <c r="I30" s="11">
        <v>88.0</v>
      </c>
      <c r="J30" s="11">
        <v>148.0</v>
      </c>
      <c r="K30" s="11">
        <v>108.0</v>
      </c>
      <c r="L30" s="11">
        <v>267.0</v>
      </c>
      <c r="M30" s="11">
        <v>95.0</v>
      </c>
      <c r="N30" s="11">
        <v>211.0</v>
      </c>
      <c r="O30" s="11">
        <v>125.0</v>
      </c>
      <c r="P30" s="11">
        <v>302.0</v>
      </c>
      <c r="Q30" s="11">
        <f t="shared" si="1"/>
        <v>236</v>
      </c>
      <c r="R30" s="11">
        <f t="shared" si="2"/>
        <v>375</v>
      </c>
      <c r="S30" s="11">
        <f t="shared" si="3"/>
        <v>306</v>
      </c>
      <c r="T30" s="11">
        <f t="shared" si="4"/>
        <v>427</v>
      </c>
      <c r="U30" s="10">
        <f>IF(Q30&gt;0,(I30/Q30-District!$B$4)*100,"")</f>
        <v>-16.12409803</v>
      </c>
      <c r="V30" s="10">
        <f>IF(R30&gt;0,(K30/R30-District!$B$5)*100,"")</f>
        <v>-20.94997159</v>
      </c>
      <c r="W30" s="10">
        <f>IF(S30&gt;0,(M30/S30-District!$B$6)*100,"")</f>
        <v>-19.93726907</v>
      </c>
      <c r="X30" s="10">
        <f>IF(T30&gt;0,(O30/T30-District!$B$7)*100,"")</f>
        <v>-20.22241746</v>
      </c>
      <c r="Y30" s="28" t="str">
        <f t="shared" si="5"/>
        <v/>
      </c>
      <c r="Z30" s="5" t="str">
        <f t="shared" si="6"/>
        <v/>
      </c>
      <c r="AA30" s="28" t="str">
        <f t="shared" si="7"/>
        <v/>
      </c>
      <c r="AB30" s="5" t="str">
        <f t="shared" si="8"/>
        <v/>
      </c>
      <c r="AC30" s="28">
        <f t="shared" si="9"/>
        <v>20.22241703</v>
      </c>
      <c r="AD30" s="5">
        <f t="shared" si="10"/>
        <v>243</v>
      </c>
    </row>
    <row r="31" ht="15.75" customHeight="1">
      <c r="A31" s="5" t="s">
        <v>524</v>
      </c>
      <c r="B31" s="5" t="s">
        <v>120</v>
      </c>
      <c r="C31" s="5" t="s">
        <v>525</v>
      </c>
      <c r="D31" s="5">
        <v>300.0</v>
      </c>
      <c r="E31" s="5" t="s">
        <v>122</v>
      </c>
      <c r="F31" s="5" t="s">
        <v>205</v>
      </c>
      <c r="G31" s="5"/>
      <c r="H31" s="5" t="s">
        <v>205</v>
      </c>
      <c r="I31" s="11">
        <v>238.0</v>
      </c>
      <c r="J31" s="11">
        <v>261.0</v>
      </c>
      <c r="K31" s="11">
        <v>275.0</v>
      </c>
      <c r="L31" s="11">
        <v>448.0</v>
      </c>
      <c r="M31" s="11">
        <v>245.0</v>
      </c>
      <c r="N31" s="11">
        <v>317.0</v>
      </c>
      <c r="O31" s="11">
        <v>281.0</v>
      </c>
      <c r="P31" s="11">
        <v>448.0</v>
      </c>
      <c r="Q31" s="11">
        <f t="shared" si="1"/>
        <v>499</v>
      </c>
      <c r="R31" s="11">
        <f t="shared" si="2"/>
        <v>723</v>
      </c>
      <c r="S31" s="11">
        <f t="shared" si="3"/>
        <v>562</v>
      </c>
      <c r="T31" s="11">
        <f t="shared" si="4"/>
        <v>729</v>
      </c>
      <c r="U31" s="10">
        <f>IF(Q31&gt;0,(I31/Q31-District!$B$4)*100,"")</f>
        <v>-5.716842844</v>
      </c>
      <c r="V31" s="10">
        <f>IF(R31&gt;0,(K31/R31-District!$B$5)*100,"")</f>
        <v>-11.71401032</v>
      </c>
      <c r="W31" s="10">
        <f>IF(S31&gt;0,(M31/S31-District!$B$6)*100,"")</f>
        <v>-7.388714655</v>
      </c>
      <c r="X31" s="10">
        <f>IF(T31&gt;0,(O31/T31-District!$B$7)*100,"")</f>
        <v>-10.95046878</v>
      </c>
      <c r="Y31" s="28">
        <f t="shared" si="5"/>
        <v>11.71400959</v>
      </c>
      <c r="Z31" s="5">
        <f t="shared" si="6"/>
        <v>142</v>
      </c>
      <c r="AA31" s="28" t="str">
        <f t="shared" si="7"/>
        <v/>
      </c>
      <c r="AB31" s="5" t="str">
        <f t="shared" si="8"/>
        <v/>
      </c>
      <c r="AC31" s="28">
        <f t="shared" si="9"/>
        <v>10.95046805</v>
      </c>
      <c r="AD31" s="5">
        <f t="shared" si="10"/>
        <v>148</v>
      </c>
    </row>
    <row r="32" ht="15.75" customHeight="1">
      <c r="A32" s="5" t="s">
        <v>534</v>
      </c>
      <c r="B32" s="5" t="s">
        <v>120</v>
      </c>
      <c r="C32" s="5" t="s">
        <v>525</v>
      </c>
      <c r="D32" s="5">
        <v>310.0</v>
      </c>
      <c r="E32" s="5" t="s">
        <v>122</v>
      </c>
      <c r="F32" s="5" t="s">
        <v>206</v>
      </c>
      <c r="G32" s="5"/>
      <c r="H32" s="5" t="s">
        <v>206</v>
      </c>
      <c r="I32" s="11">
        <v>262.0</v>
      </c>
      <c r="J32" s="11">
        <v>285.0</v>
      </c>
      <c r="K32" s="11">
        <v>299.0</v>
      </c>
      <c r="L32" s="11">
        <v>515.0</v>
      </c>
      <c r="M32" s="11">
        <v>243.0</v>
      </c>
      <c r="N32" s="11">
        <v>389.0</v>
      </c>
      <c r="O32" s="11">
        <v>320.0</v>
      </c>
      <c r="P32" s="11">
        <v>507.0</v>
      </c>
      <c r="Q32" s="11">
        <f t="shared" si="1"/>
        <v>547</v>
      </c>
      <c r="R32" s="11">
        <f t="shared" si="2"/>
        <v>814</v>
      </c>
      <c r="S32" s="11">
        <f t="shared" si="3"/>
        <v>632</v>
      </c>
      <c r="T32" s="11">
        <f t="shared" si="4"/>
        <v>827</v>
      </c>
      <c r="U32" s="10">
        <f>IF(Q32&gt;0,(I32/Q32-District!$B$4)*100,"")</f>
        <v>-5.514610225</v>
      </c>
      <c r="V32" s="10">
        <f>IF(R32&gt;0,(K32/R32-District!$B$5)*100,"")</f>
        <v>-13.01778486</v>
      </c>
      <c r="W32" s="10">
        <f>IF(S32&gt;0,(M32/S32-District!$B$6)*100,"")</f>
        <v>-12.53365362</v>
      </c>
      <c r="X32" s="10">
        <f>IF(T32&gt;0,(O32/T32-District!$B$7)*100,"")</f>
        <v>-10.80234717</v>
      </c>
      <c r="Y32" s="28">
        <f t="shared" si="5"/>
        <v>13.01778404</v>
      </c>
      <c r="Z32" s="5">
        <f t="shared" si="6"/>
        <v>156</v>
      </c>
      <c r="AA32" s="28" t="str">
        <f t="shared" si="7"/>
        <v/>
      </c>
      <c r="AB32" s="5" t="str">
        <f t="shared" si="8"/>
        <v/>
      </c>
      <c r="AC32" s="28">
        <f t="shared" si="9"/>
        <v>12.53365279</v>
      </c>
      <c r="AD32" s="5">
        <f t="shared" si="10"/>
        <v>166</v>
      </c>
    </row>
    <row r="33" ht="15.75" customHeight="1">
      <c r="A33" s="5" t="s">
        <v>545</v>
      </c>
      <c r="B33" s="5" t="s">
        <v>120</v>
      </c>
      <c r="C33" s="5" t="s">
        <v>546</v>
      </c>
      <c r="D33" s="5">
        <v>320.0</v>
      </c>
      <c r="E33" s="5" t="s">
        <v>122</v>
      </c>
      <c r="F33" s="5" t="s">
        <v>207</v>
      </c>
      <c r="G33" s="5"/>
      <c r="H33" s="5" t="s">
        <v>207</v>
      </c>
      <c r="I33" s="11">
        <v>111.0</v>
      </c>
      <c r="J33" s="11">
        <v>372.0</v>
      </c>
      <c r="K33" s="11">
        <v>109.0</v>
      </c>
      <c r="L33" s="11">
        <v>531.0</v>
      </c>
      <c r="M33" s="11">
        <v>96.0</v>
      </c>
      <c r="N33" s="11">
        <v>444.0</v>
      </c>
      <c r="O33" s="11">
        <v>134.0</v>
      </c>
      <c r="P33" s="11">
        <v>505.0</v>
      </c>
      <c r="Q33" s="11">
        <f t="shared" si="1"/>
        <v>483</v>
      </c>
      <c r="R33" s="11">
        <f t="shared" si="2"/>
        <v>640</v>
      </c>
      <c r="S33" s="11">
        <f t="shared" si="3"/>
        <v>540</v>
      </c>
      <c r="T33" s="11">
        <f t="shared" si="4"/>
        <v>639</v>
      </c>
      <c r="U33" s="10">
        <f>IF(Q33&gt;0,(I33/Q33-District!$B$4)*100,"")</f>
        <v>-30.43086717</v>
      </c>
      <c r="V33" s="10">
        <f>IF(R33&gt;0,(K33/R33-District!$B$5)*100,"")</f>
        <v>-32.71872159</v>
      </c>
      <c r="W33" s="10">
        <f>IF(S33&gt;0,(M33/S33-District!$B$6)*100,"")</f>
        <v>-33.20524293</v>
      </c>
      <c r="X33" s="10">
        <f>IF(T33&gt;0,(O33/T33-District!$B$7)*100,"")</f>
        <v>-28.5261561</v>
      </c>
      <c r="Y33" s="28">
        <f t="shared" si="5"/>
        <v>32.71872095</v>
      </c>
      <c r="Z33" s="5">
        <f t="shared" si="6"/>
        <v>284</v>
      </c>
      <c r="AA33" s="28" t="str">
        <f t="shared" si="7"/>
        <v/>
      </c>
      <c r="AB33" s="5" t="str">
        <f t="shared" si="8"/>
        <v/>
      </c>
      <c r="AC33" s="28">
        <f t="shared" si="9"/>
        <v>33.20524229</v>
      </c>
      <c r="AD33" s="5">
        <f t="shared" si="10"/>
        <v>291</v>
      </c>
    </row>
    <row r="34" ht="15.75" customHeight="1">
      <c r="A34" s="5" t="s">
        <v>557</v>
      </c>
      <c r="B34" s="5" t="s">
        <v>120</v>
      </c>
      <c r="C34" s="5" t="s">
        <v>558</v>
      </c>
      <c r="D34" s="5">
        <v>330.0</v>
      </c>
      <c r="E34" s="5" t="s">
        <v>122</v>
      </c>
      <c r="F34" s="5" t="s">
        <v>209</v>
      </c>
      <c r="G34" s="5"/>
      <c r="H34" s="5" t="s">
        <v>209</v>
      </c>
      <c r="I34" s="11">
        <v>224.0</v>
      </c>
      <c r="J34" s="11">
        <v>376.0</v>
      </c>
      <c r="K34" s="11">
        <v>279.0</v>
      </c>
      <c r="L34" s="11">
        <v>584.0</v>
      </c>
      <c r="M34" s="11">
        <v>241.0</v>
      </c>
      <c r="N34" s="11">
        <v>438.0</v>
      </c>
      <c r="O34" s="11">
        <v>308.0</v>
      </c>
      <c r="P34" s="11">
        <v>622.0</v>
      </c>
      <c r="Q34" s="11">
        <f t="shared" si="1"/>
        <v>600</v>
      </c>
      <c r="R34" s="11">
        <f t="shared" si="2"/>
        <v>863</v>
      </c>
      <c r="S34" s="11">
        <f t="shared" si="3"/>
        <v>679</v>
      </c>
      <c r="T34" s="11">
        <f t="shared" si="4"/>
        <v>930</v>
      </c>
      <c r="U34" s="10">
        <f>IF(Q34&gt;0,(I34/Q34-District!$B$4)*100,"")</f>
        <v>-16.07890029</v>
      </c>
      <c r="V34" s="10">
        <f>IF(R34&gt;0,(K34/R34-District!$B$5)*100,"")</f>
        <v>-17.420887</v>
      </c>
      <c r="W34" s="10">
        <f>IF(S34&gt;0,(M34/S34-District!$B$6)*100,"")</f>
        <v>-15.4896481</v>
      </c>
      <c r="X34" s="10">
        <f>IF(T34&gt;0,(O34/T34-District!$B$7)*100,"")</f>
        <v>-16.37814257</v>
      </c>
      <c r="Y34" s="28">
        <f t="shared" si="5"/>
        <v>17.42088614</v>
      </c>
      <c r="Z34" s="5">
        <f t="shared" si="6"/>
        <v>202</v>
      </c>
      <c r="AA34" s="28" t="str">
        <f t="shared" si="7"/>
        <v/>
      </c>
      <c r="AB34" s="5" t="str">
        <f t="shared" si="8"/>
        <v/>
      </c>
      <c r="AC34" s="28">
        <f t="shared" si="9"/>
        <v>16.37814164</v>
      </c>
      <c r="AD34" s="5">
        <f t="shared" si="10"/>
        <v>206</v>
      </c>
    </row>
    <row r="35" ht="15.75" customHeight="1">
      <c r="A35" s="5" t="s">
        <v>570</v>
      </c>
      <c r="B35" s="5" t="s">
        <v>120</v>
      </c>
      <c r="C35" s="5" t="s">
        <v>558</v>
      </c>
      <c r="D35" s="5">
        <v>340.0</v>
      </c>
      <c r="E35" s="5" t="s">
        <v>122</v>
      </c>
      <c r="F35" s="5" t="s">
        <v>210</v>
      </c>
      <c r="G35" s="5"/>
      <c r="H35" s="5" t="s">
        <v>210</v>
      </c>
      <c r="I35" s="11">
        <v>367.0</v>
      </c>
      <c r="J35" s="11">
        <v>452.0</v>
      </c>
      <c r="K35" s="11">
        <v>459.0</v>
      </c>
      <c r="L35" s="11">
        <v>811.0</v>
      </c>
      <c r="M35" s="11">
        <v>392.0</v>
      </c>
      <c r="N35" s="11">
        <v>544.0</v>
      </c>
      <c r="O35" s="11">
        <v>521.0</v>
      </c>
      <c r="P35" s="11">
        <v>825.0</v>
      </c>
      <c r="Q35" s="11">
        <f t="shared" si="1"/>
        <v>819</v>
      </c>
      <c r="R35" s="11">
        <f t="shared" si="2"/>
        <v>1270</v>
      </c>
      <c r="S35" s="11">
        <f t="shared" si="3"/>
        <v>936</v>
      </c>
      <c r="T35" s="11">
        <f t="shared" si="4"/>
        <v>1346</v>
      </c>
      <c r="U35" s="10">
        <f>IF(Q35&gt;0,(I35/Q35-District!$B$4)*100,"")</f>
        <v>-8.601488815</v>
      </c>
      <c r="V35" s="10">
        <f>IF(R35&gt;0,(K35/R35-District!$B$5)*100,"")</f>
        <v>-13.6082393</v>
      </c>
      <c r="W35" s="10">
        <f>IF(S35&gt;0,(M35/S35-District!$B$6)*100,"")</f>
        <v>-9.102678824</v>
      </c>
      <c r="X35" s="10">
        <f>IF(T35&gt;0,(O35/T35-District!$B$7)*100,"")</f>
        <v>-10.78914131</v>
      </c>
      <c r="Y35" s="28">
        <f t="shared" si="5"/>
        <v>13.60823803</v>
      </c>
      <c r="Z35" s="5">
        <f t="shared" si="6"/>
        <v>167</v>
      </c>
      <c r="AA35" s="28" t="str">
        <f t="shared" si="7"/>
        <v/>
      </c>
      <c r="AB35" s="5" t="str">
        <f t="shared" si="8"/>
        <v/>
      </c>
      <c r="AC35" s="28">
        <f t="shared" si="9"/>
        <v>10.78913996</v>
      </c>
      <c r="AD35" s="5">
        <f t="shared" si="10"/>
        <v>146</v>
      </c>
    </row>
    <row r="36" ht="15.75" customHeight="1">
      <c r="A36" s="5" t="s">
        <v>583</v>
      </c>
      <c r="B36" s="5" t="s">
        <v>120</v>
      </c>
      <c r="C36" s="5" t="s">
        <v>558</v>
      </c>
      <c r="D36" s="5">
        <v>350.0</v>
      </c>
      <c r="E36" s="5" t="s">
        <v>122</v>
      </c>
      <c r="F36" s="5" t="s">
        <v>211</v>
      </c>
      <c r="G36" s="5"/>
      <c r="H36" s="5" t="s">
        <v>211</v>
      </c>
      <c r="I36" s="11">
        <v>96.0</v>
      </c>
      <c r="J36" s="11">
        <v>150.0</v>
      </c>
      <c r="K36" s="11">
        <v>125.0</v>
      </c>
      <c r="L36" s="11">
        <v>281.0</v>
      </c>
      <c r="M36" s="11">
        <v>104.0</v>
      </c>
      <c r="N36" s="11">
        <v>190.0</v>
      </c>
      <c r="O36" s="11">
        <v>152.0</v>
      </c>
      <c r="P36" s="11">
        <v>293.0</v>
      </c>
      <c r="Q36" s="11">
        <f t="shared" si="1"/>
        <v>246</v>
      </c>
      <c r="R36" s="11">
        <f t="shared" si="2"/>
        <v>406</v>
      </c>
      <c r="S36" s="11">
        <f t="shared" si="3"/>
        <v>294</v>
      </c>
      <c r="T36" s="11">
        <f t="shared" si="4"/>
        <v>445</v>
      </c>
      <c r="U36" s="10">
        <f>IF(Q36&gt;0,(I36/Q36-District!$B$4)*100,"")</f>
        <v>-14.38784338</v>
      </c>
      <c r="V36" s="10">
        <f>IF(R36&gt;0,(K36/R36-District!$B$5)*100,"")</f>
        <v>-18.96179425</v>
      </c>
      <c r="W36" s="10">
        <f>IF(S36&gt;0,(M36/S36-District!$B$6)*100,"")</f>
        <v>-15.60887104</v>
      </c>
      <c r="X36" s="10">
        <f>IF(T36&gt;0,(O36/T36-District!$B$7)*100,"")</f>
        <v>-15.33911877</v>
      </c>
      <c r="Y36" s="28" t="str">
        <f t="shared" si="5"/>
        <v/>
      </c>
      <c r="Z36" s="5" t="str">
        <f t="shared" si="6"/>
        <v/>
      </c>
      <c r="AA36" s="28" t="str">
        <f t="shared" si="7"/>
        <v/>
      </c>
      <c r="AB36" s="5" t="str">
        <f t="shared" si="8"/>
        <v/>
      </c>
      <c r="AC36" s="28" t="str">
        <f t="shared" si="9"/>
        <v/>
      </c>
      <c r="AD36" s="5" t="str">
        <f t="shared" si="10"/>
        <v/>
      </c>
    </row>
    <row r="37" ht="15.75" customHeight="1">
      <c r="A37" s="5" t="s">
        <v>595</v>
      </c>
      <c r="B37" s="5" t="s">
        <v>120</v>
      </c>
      <c r="C37" s="5" t="s">
        <v>596</v>
      </c>
      <c r="D37" s="5">
        <v>360.0</v>
      </c>
      <c r="E37" s="5" t="s">
        <v>122</v>
      </c>
      <c r="F37" s="5" t="s">
        <v>212</v>
      </c>
      <c r="G37" s="5"/>
      <c r="H37" s="5" t="s">
        <v>212</v>
      </c>
      <c r="I37" s="11">
        <v>53.0</v>
      </c>
      <c r="J37" s="11">
        <v>112.0</v>
      </c>
      <c r="K37" s="11">
        <v>52.0</v>
      </c>
      <c r="L37" s="11">
        <v>167.0</v>
      </c>
      <c r="M37" s="11">
        <v>51.0</v>
      </c>
      <c r="N37" s="11">
        <v>136.0</v>
      </c>
      <c r="O37" s="11">
        <v>74.0</v>
      </c>
      <c r="P37" s="11">
        <v>162.0</v>
      </c>
      <c r="Q37" s="11">
        <f t="shared" si="1"/>
        <v>165</v>
      </c>
      <c r="R37" s="11">
        <f t="shared" si="2"/>
        <v>219</v>
      </c>
      <c r="S37" s="11">
        <f t="shared" si="3"/>
        <v>187</v>
      </c>
      <c r="T37" s="11">
        <f t="shared" si="4"/>
        <v>236</v>
      </c>
      <c r="U37" s="10">
        <f>IF(Q37&gt;0,(I37/Q37-District!$B$4)*100,"")</f>
        <v>-21.2910215</v>
      </c>
      <c r="V37" s="10">
        <f>IF(R37&gt;0,(K37/R37-District!$B$5)*100,"")</f>
        <v>-26.00567935</v>
      </c>
      <c r="W37" s="10">
        <f>IF(S37&gt;0,(M37/S37-District!$B$6)*100,"")</f>
        <v>-23.71029343</v>
      </c>
      <c r="X37" s="10">
        <f>IF(T37&gt;0,(O37/T37-District!$B$7)*100,"")</f>
        <v>-18.14048994</v>
      </c>
      <c r="Y37" s="28" t="str">
        <f t="shared" si="5"/>
        <v/>
      </c>
      <c r="Z37" s="5" t="str">
        <f t="shared" si="6"/>
        <v/>
      </c>
      <c r="AA37" s="28" t="str">
        <f t="shared" si="7"/>
        <v/>
      </c>
      <c r="AB37" s="5" t="str">
        <f t="shared" si="8"/>
        <v/>
      </c>
      <c r="AC37" s="28" t="str">
        <f t="shared" si="9"/>
        <v/>
      </c>
      <c r="AD37" s="5" t="str">
        <f t="shared" si="10"/>
        <v/>
      </c>
    </row>
    <row r="38" ht="15.75" customHeight="1">
      <c r="A38" s="5" t="s">
        <v>609</v>
      </c>
      <c r="B38" s="5" t="s">
        <v>120</v>
      </c>
      <c r="C38" s="5" t="s">
        <v>610</v>
      </c>
      <c r="D38" s="5">
        <v>370.0</v>
      </c>
      <c r="E38" s="5" t="s">
        <v>122</v>
      </c>
      <c r="F38" s="5" t="s">
        <v>218</v>
      </c>
      <c r="G38" s="5"/>
      <c r="H38" s="5" t="s">
        <v>218</v>
      </c>
      <c r="I38" s="11">
        <v>288.0</v>
      </c>
      <c r="J38" s="11">
        <v>454.0</v>
      </c>
      <c r="K38" s="11">
        <v>366.0</v>
      </c>
      <c r="L38" s="11">
        <v>705.0</v>
      </c>
      <c r="M38" s="11">
        <v>316.0</v>
      </c>
      <c r="N38" s="11">
        <v>580.0</v>
      </c>
      <c r="O38" s="11">
        <v>402.0</v>
      </c>
      <c r="P38" s="11">
        <v>703.0</v>
      </c>
      <c r="Q38" s="11">
        <f t="shared" si="1"/>
        <v>742</v>
      </c>
      <c r="R38" s="11">
        <f t="shared" si="2"/>
        <v>1071</v>
      </c>
      <c r="S38" s="11">
        <f t="shared" si="3"/>
        <v>896</v>
      </c>
      <c r="T38" s="11">
        <f t="shared" si="4"/>
        <v>1105</v>
      </c>
      <c r="U38" s="10">
        <f>IF(Q38&gt;0,(I38/Q38-District!$B$4)*100,"")</f>
        <v>-14.59821745</v>
      </c>
      <c r="V38" s="10">
        <f>IF(R38&gt;0,(K38/R38-District!$B$5)*100,"")</f>
        <v>-15.57630212</v>
      </c>
      <c r="W38" s="10">
        <f>IF(S38&gt;0,(M38/S38-District!$B$6)*100,"")</f>
        <v>-15.71516356</v>
      </c>
      <c r="X38" s="10">
        <f>IF(T38&gt;0,(O38/T38-District!$B$7)*100,"")</f>
        <v>-13.11633164</v>
      </c>
      <c r="Y38" s="28">
        <f t="shared" si="5"/>
        <v>15.57630105</v>
      </c>
      <c r="Z38" s="5">
        <f t="shared" si="6"/>
        <v>184</v>
      </c>
      <c r="AA38" s="28" t="str">
        <f t="shared" si="7"/>
        <v/>
      </c>
      <c r="AB38" s="5" t="str">
        <f t="shared" si="8"/>
        <v/>
      </c>
      <c r="AC38" s="28">
        <f t="shared" si="9"/>
        <v>15.71516246</v>
      </c>
      <c r="AD38" s="5">
        <f t="shared" si="10"/>
        <v>197</v>
      </c>
    </row>
    <row r="39" ht="15.75" customHeight="1">
      <c r="A39" s="5" t="s">
        <v>625</v>
      </c>
      <c r="B39" s="5" t="s">
        <v>120</v>
      </c>
      <c r="C39" s="5" t="s">
        <v>610</v>
      </c>
      <c r="D39" s="5">
        <v>373.0</v>
      </c>
      <c r="E39" s="5" t="s">
        <v>122</v>
      </c>
      <c r="F39" s="5" t="s">
        <v>217</v>
      </c>
      <c r="G39" s="5"/>
      <c r="H39" s="5" t="s">
        <v>217</v>
      </c>
      <c r="I39" s="11">
        <v>308.0</v>
      </c>
      <c r="J39" s="11">
        <v>489.0</v>
      </c>
      <c r="K39" s="11">
        <v>380.0</v>
      </c>
      <c r="L39" s="11">
        <v>822.0</v>
      </c>
      <c r="M39" s="11">
        <v>322.0</v>
      </c>
      <c r="N39" s="11">
        <v>710.0</v>
      </c>
      <c r="O39" s="11">
        <v>429.0</v>
      </c>
      <c r="P39" s="11">
        <v>926.0</v>
      </c>
      <c r="Q39" s="11">
        <f t="shared" si="1"/>
        <v>797</v>
      </c>
      <c r="R39" s="11">
        <f t="shared" si="2"/>
        <v>1202</v>
      </c>
      <c r="S39" s="11">
        <f t="shared" si="3"/>
        <v>1032</v>
      </c>
      <c r="T39" s="11">
        <f t="shared" si="4"/>
        <v>1355</v>
      </c>
      <c r="U39" s="10">
        <f>IF(Q39&gt;0,(I39/Q39-District!$B$4)*100,"")</f>
        <v>-14.76731518</v>
      </c>
      <c r="V39" s="10">
        <f>IF(R39&gt;0,(K39/R39-District!$B$5)*100,"")</f>
        <v>-18.13599488</v>
      </c>
      <c r="W39" s="10">
        <f>IF(S39&gt;0,(M39/S39-District!$B$6)*100,"")</f>
        <v>-19.78147032</v>
      </c>
      <c r="X39" s="10">
        <f>IF(T39&gt;0,(O39/T39-District!$B$7)*100,"")</f>
        <v>-17.83590554</v>
      </c>
      <c r="Y39" s="28">
        <f t="shared" si="5"/>
        <v>18.13599368</v>
      </c>
      <c r="Z39" s="5">
        <f t="shared" si="6"/>
        <v>208</v>
      </c>
      <c r="AA39" s="28" t="str">
        <f t="shared" si="7"/>
        <v/>
      </c>
      <c r="AB39" s="5" t="str">
        <f t="shared" si="8"/>
        <v/>
      </c>
      <c r="AC39" s="28">
        <f t="shared" si="9"/>
        <v>19.78146896</v>
      </c>
      <c r="AD39" s="5">
        <f t="shared" si="10"/>
        <v>238</v>
      </c>
    </row>
    <row r="40" ht="15.75" customHeight="1">
      <c r="A40" s="5" t="s">
        <v>638</v>
      </c>
      <c r="B40" s="5" t="s">
        <v>120</v>
      </c>
      <c r="C40" s="5" t="s">
        <v>610</v>
      </c>
      <c r="D40" s="5">
        <v>375.0</v>
      </c>
      <c r="E40" s="5" t="s">
        <v>122</v>
      </c>
      <c r="F40" s="5" t="s">
        <v>214</v>
      </c>
      <c r="G40" s="5"/>
      <c r="H40" s="5" t="s">
        <v>214</v>
      </c>
      <c r="I40" s="11">
        <v>299.0</v>
      </c>
      <c r="J40" s="11">
        <v>376.0</v>
      </c>
      <c r="K40" s="11">
        <v>461.0</v>
      </c>
      <c r="L40" s="11">
        <v>669.0</v>
      </c>
      <c r="M40" s="11">
        <v>321.0</v>
      </c>
      <c r="N40" s="11">
        <v>505.0</v>
      </c>
      <c r="O40" s="11">
        <v>443.0</v>
      </c>
      <c r="P40" s="11">
        <v>722.0</v>
      </c>
      <c r="Q40" s="11">
        <f t="shared" si="1"/>
        <v>675</v>
      </c>
      <c r="R40" s="11">
        <f t="shared" si="2"/>
        <v>1130</v>
      </c>
      <c r="S40" s="11">
        <f t="shared" si="3"/>
        <v>826</v>
      </c>
      <c r="T40" s="11">
        <f t="shared" si="4"/>
        <v>1165</v>
      </c>
      <c r="U40" s="10">
        <f>IF(Q40&gt;0,(I40/Q40-District!$B$4)*100,"")</f>
        <v>-9.115937329</v>
      </c>
      <c r="V40" s="10">
        <f>IF(R40&gt;0,(K40/R40-District!$B$5)*100,"")</f>
        <v>-8.953511411</v>
      </c>
      <c r="W40" s="10">
        <f>IF(S40&gt;0,(M40/S40-District!$B$6)*100,"")</f>
        <v>-12.12103523</v>
      </c>
      <c r="X40" s="10">
        <f>IF(T40&gt;0,(O40/T40-District!$B$7)*100,"")</f>
        <v>-11.47067107</v>
      </c>
      <c r="Y40" s="28">
        <f t="shared" si="5"/>
        <v>9.115936199</v>
      </c>
      <c r="Z40" s="5">
        <f t="shared" si="6"/>
        <v>116</v>
      </c>
      <c r="AA40" s="28" t="str">
        <f t="shared" si="7"/>
        <v/>
      </c>
      <c r="AB40" s="5" t="str">
        <f t="shared" si="8"/>
        <v/>
      </c>
      <c r="AC40" s="28">
        <f t="shared" si="9"/>
        <v>12.12103407</v>
      </c>
      <c r="AD40" s="5">
        <f t="shared" si="10"/>
        <v>163</v>
      </c>
    </row>
    <row r="41" ht="15.75" customHeight="1">
      <c r="A41" s="5" t="s">
        <v>646</v>
      </c>
      <c r="B41" s="5" t="s">
        <v>120</v>
      </c>
      <c r="C41" s="5" t="s">
        <v>610</v>
      </c>
      <c r="D41" s="5">
        <v>377.0</v>
      </c>
      <c r="E41" s="5" t="s">
        <v>122</v>
      </c>
      <c r="F41" s="5" t="s">
        <v>215</v>
      </c>
      <c r="G41" s="5"/>
      <c r="H41" s="5" t="s">
        <v>215</v>
      </c>
      <c r="I41" s="11">
        <v>206.0</v>
      </c>
      <c r="J41" s="11">
        <v>301.0</v>
      </c>
      <c r="K41" s="11">
        <v>312.0</v>
      </c>
      <c r="L41" s="11">
        <v>511.0</v>
      </c>
      <c r="M41" s="11">
        <v>237.0</v>
      </c>
      <c r="N41" s="11">
        <v>381.0</v>
      </c>
      <c r="O41" s="11">
        <v>304.0</v>
      </c>
      <c r="P41" s="11">
        <v>541.0</v>
      </c>
      <c r="Q41" s="11">
        <f t="shared" si="1"/>
        <v>507</v>
      </c>
      <c r="R41" s="11">
        <f t="shared" si="2"/>
        <v>823</v>
      </c>
      <c r="S41" s="11">
        <f t="shared" si="3"/>
        <v>618</v>
      </c>
      <c r="T41" s="11">
        <f t="shared" si="4"/>
        <v>845</v>
      </c>
      <c r="U41" s="10">
        <f>IF(Q41&gt;0,(I41/Q41-District!$B$4)*100,"")</f>
        <v>-12.78106992</v>
      </c>
      <c r="V41" s="10">
        <f>IF(R41&gt;0,(K41/R41-District!$B$5)*100,"")</f>
        <v>-11.83988653</v>
      </c>
      <c r="W41" s="10">
        <f>IF(S41&gt;0,(M41/S41-District!$B$6)*100,"")</f>
        <v>-12.63350614</v>
      </c>
      <c r="X41" s="10">
        <f>IF(T41&gt;0,(O41/T41-District!$B$7)*100,"")</f>
        <v>-13.52009078</v>
      </c>
      <c r="Y41" s="28">
        <f t="shared" si="5"/>
        <v>12.78106909</v>
      </c>
      <c r="Z41" s="5">
        <f t="shared" si="6"/>
        <v>151</v>
      </c>
      <c r="AA41" s="28" t="str">
        <f t="shared" si="7"/>
        <v/>
      </c>
      <c r="AB41" s="5" t="str">
        <f t="shared" si="8"/>
        <v/>
      </c>
      <c r="AC41" s="28">
        <f t="shared" si="9"/>
        <v>13.52008994</v>
      </c>
      <c r="AD41" s="5">
        <f t="shared" si="10"/>
        <v>177</v>
      </c>
    </row>
    <row r="42" ht="15.75" customHeight="1">
      <c r="A42" s="5" t="s">
        <v>647</v>
      </c>
      <c r="B42" s="5" t="s">
        <v>120</v>
      </c>
      <c r="C42" s="5" t="s">
        <v>610</v>
      </c>
      <c r="D42" s="5">
        <v>379.0</v>
      </c>
      <c r="E42" s="5" t="s">
        <v>122</v>
      </c>
      <c r="F42" s="5" t="s">
        <v>216</v>
      </c>
      <c r="G42" s="5"/>
      <c r="H42" s="5" t="s">
        <v>216</v>
      </c>
      <c r="I42" s="11">
        <v>352.0</v>
      </c>
      <c r="J42" s="11">
        <v>460.0</v>
      </c>
      <c r="K42" s="11">
        <v>478.0</v>
      </c>
      <c r="L42" s="11">
        <v>767.0</v>
      </c>
      <c r="M42" s="11">
        <v>378.0</v>
      </c>
      <c r="N42" s="11">
        <v>574.0</v>
      </c>
      <c r="O42" s="11">
        <v>469.0</v>
      </c>
      <c r="P42" s="11">
        <v>810.0</v>
      </c>
      <c r="Q42" s="11">
        <f t="shared" si="1"/>
        <v>812</v>
      </c>
      <c r="R42" s="11">
        <f t="shared" si="2"/>
        <v>1245</v>
      </c>
      <c r="S42" s="11">
        <f t="shared" si="3"/>
        <v>952</v>
      </c>
      <c r="T42" s="11">
        <f t="shared" si="4"/>
        <v>1279</v>
      </c>
      <c r="U42" s="10">
        <f>IF(Q42&gt;0,(I42/Q42-District!$B$4)*100,"")</f>
        <v>-10.06247993</v>
      </c>
      <c r="V42" s="10">
        <f>IF(R42&gt;0,(K42/R42-District!$B$5)*100,"")</f>
        <v>-11.35639729</v>
      </c>
      <c r="W42" s="10">
        <f>IF(S42&gt;0,(M42/S42-District!$B$6)*100,"")</f>
        <v>-11.27713835</v>
      </c>
      <c r="X42" s="10">
        <f>IF(T42&gt;0,(O42/T42-District!$B$7)*100,"")</f>
        <v>-12.82714927</v>
      </c>
      <c r="Y42" s="28">
        <f t="shared" si="5"/>
        <v>11.35639605</v>
      </c>
      <c r="Z42" s="5">
        <f t="shared" si="6"/>
        <v>140</v>
      </c>
      <c r="AA42" s="28" t="str">
        <f t="shared" si="7"/>
        <v/>
      </c>
      <c r="AB42" s="5" t="str">
        <f t="shared" si="8"/>
        <v/>
      </c>
      <c r="AC42" s="28">
        <f t="shared" si="9"/>
        <v>12.82714799</v>
      </c>
      <c r="AD42" s="5">
        <f t="shared" si="10"/>
        <v>169</v>
      </c>
    </row>
    <row r="43" ht="15.75" customHeight="1">
      <c r="A43" s="5" t="s">
        <v>648</v>
      </c>
      <c r="B43" s="5" t="s">
        <v>120</v>
      </c>
      <c r="C43" s="5" t="s">
        <v>649</v>
      </c>
      <c r="D43" s="5">
        <v>380.0</v>
      </c>
      <c r="E43" s="5" t="s">
        <v>122</v>
      </c>
      <c r="F43" s="5" t="s">
        <v>220</v>
      </c>
      <c r="G43" s="5" t="s">
        <v>220</v>
      </c>
      <c r="H43" s="5" t="s">
        <v>220</v>
      </c>
      <c r="I43" s="11">
        <v>161.0</v>
      </c>
      <c r="J43" s="11">
        <v>120.0</v>
      </c>
      <c r="K43" s="11">
        <v>175.0</v>
      </c>
      <c r="L43" s="11">
        <v>208.0</v>
      </c>
      <c r="M43" s="11">
        <v>138.0</v>
      </c>
      <c r="N43" s="11">
        <v>150.0</v>
      </c>
      <c r="O43" s="11">
        <v>175.0</v>
      </c>
      <c r="P43" s="11">
        <v>212.0</v>
      </c>
      <c r="Q43" s="11">
        <f t="shared" si="1"/>
        <v>281</v>
      </c>
      <c r="R43" s="11">
        <f t="shared" si="2"/>
        <v>383</v>
      </c>
      <c r="S43" s="11">
        <f t="shared" si="3"/>
        <v>288</v>
      </c>
      <c r="T43" s="11">
        <f t="shared" si="4"/>
        <v>387</v>
      </c>
      <c r="U43" s="10">
        <f>IF(Q43&gt;0,(I43/Q43-District!$B$4)*100,"")</f>
        <v>3.88314004</v>
      </c>
      <c r="V43" s="10">
        <f>IF(R43&gt;0,(K43/R43-District!$B$5)*100,"")</f>
        <v>-4.058065582</v>
      </c>
      <c r="W43" s="10">
        <f>IF(S43&gt;0,(M43/S43-District!$B$6)*100,"")</f>
        <v>-3.066354038</v>
      </c>
      <c r="X43" s="10">
        <f>IF(T43&gt;0,(O43/T43-District!$B$7)*100,"")</f>
        <v>-4.2767839</v>
      </c>
      <c r="Y43" s="28" t="str">
        <f t="shared" si="5"/>
        <v/>
      </c>
      <c r="Z43" s="5" t="str">
        <f t="shared" si="6"/>
        <v/>
      </c>
      <c r="AA43" s="28" t="str">
        <f t="shared" si="7"/>
        <v/>
      </c>
      <c r="AB43" s="5" t="str">
        <f t="shared" si="8"/>
        <v/>
      </c>
      <c r="AC43" s="28" t="str">
        <f t="shared" si="9"/>
        <v/>
      </c>
      <c r="AD43" s="5" t="str">
        <f t="shared" si="10"/>
        <v/>
      </c>
    </row>
    <row r="44" ht="15.75" customHeight="1">
      <c r="A44" s="5" t="s">
        <v>650</v>
      </c>
      <c r="B44" s="5" t="s">
        <v>120</v>
      </c>
      <c r="C44" s="5" t="s">
        <v>649</v>
      </c>
      <c r="D44" s="5">
        <v>390.0</v>
      </c>
      <c r="E44" s="5" t="s">
        <v>122</v>
      </c>
      <c r="F44" s="5" t="s">
        <v>221</v>
      </c>
      <c r="G44" s="5"/>
      <c r="H44" s="5" t="s">
        <v>221</v>
      </c>
      <c r="I44" s="11">
        <v>169.0</v>
      </c>
      <c r="J44" s="11">
        <v>132.0</v>
      </c>
      <c r="K44" s="11">
        <v>181.0</v>
      </c>
      <c r="L44" s="11">
        <v>205.0</v>
      </c>
      <c r="M44" s="11">
        <v>162.0</v>
      </c>
      <c r="N44" s="11">
        <v>150.0</v>
      </c>
      <c r="O44" s="11">
        <v>187.0</v>
      </c>
      <c r="P44" s="11">
        <v>210.0</v>
      </c>
      <c r="Q44" s="11">
        <f t="shared" si="1"/>
        <v>301</v>
      </c>
      <c r="R44" s="11">
        <f t="shared" si="2"/>
        <v>386</v>
      </c>
      <c r="S44" s="11">
        <f t="shared" si="3"/>
        <v>312</v>
      </c>
      <c r="T44" s="11">
        <f t="shared" si="4"/>
        <v>397</v>
      </c>
      <c r="U44" s="10">
        <f>IF(Q44&gt;0,(I44/Q44-District!$B$4)*100,"")</f>
        <v>2.733945777</v>
      </c>
      <c r="V44" s="10">
        <f>IF(R44&gt;0,(K44/R44-District!$B$5)*100,"")</f>
        <v>-2.858779878</v>
      </c>
      <c r="W44" s="10">
        <f>IF(S44&gt;0,(M44/S44-District!$B$6)*100,"")</f>
        <v>0.9400562185</v>
      </c>
      <c r="X44" s="10">
        <f>IF(T44&gt;0,(O44/T44-District!$B$7)*100,"")</f>
        <v>-2.393147583</v>
      </c>
      <c r="Y44" s="28">
        <f t="shared" si="5"/>
        <v>2.858779492</v>
      </c>
      <c r="Z44" s="5">
        <f t="shared" si="6"/>
        <v>36</v>
      </c>
      <c r="AA44" s="28" t="str">
        <f t="shared" si="7"/>
        <v/>
      </c>
      <c r="AB44" s="5" t="str">
        <f t="shared" si="8"/>
        <v/>
      </c>
      <c r="AC44" s="28">
        <f t="shared" si="9"/>
        <v>2.393147186</v>
      </c>
      <c r="AD44" s="5">
        <f t="shared" si="10"/>
        <v>40</v>
      </c>
    </row>
    <row r="45" ht="15.75" customHeight="1">
      <c r="A45" s="5" t="s">
        <v>651</v>
      </c>
      <c r="B45" s="5" t="s">
        <v>120</v>
      </c>
      <c r="C45" s="5" t="s">
        <v>649</v>
      </c>
      <c r="D45" s="5">
        <v>400.0</v>
      </c>
      <c r="E45" s="5" t="s">
        <v>122</v>
      </c>
      <c r="F45" s="5" t="s">
        <v>223</v>
      </c>
      <c r="G45" s="5"/>
      <c r="H45" s="5" t="s">
        <v>223</v>
      </c>
      <c r="I45" s="11">
        <v>159.0</v>
      </c>
      <c r="J45" s="11">
        <v>163.0</v>
      </c>
      <c r="K45" s="11">
        <v>170.0</v>
      </c>
      <c r="L45" s="11">
        <v>298.0</v>
      </c>
      <c r="M45" s="11">
        <v>159.0</v>
      </c>
      <c r="N45" s="11">
        <v>225.0</v>
      </c>
      <c r="O45" s="11">
        <v>195.0</v>
      </c>
      <c r="P45" s="11">
        <v>298.0</v>
      </c>
      <c r="Q45" s="11">
        <f t="shared" si="1"/>
        <v>322</v>
      </c>
      <c r="R45" s="11">
        <f t="shared" si="2"/>
        <v>468</v>
      </c>
      <c r="S45" s="11">
        <f t="shared" si="3"/>
        <v>384</v>
      </c>
      <c r="T45" s="11">
        <f t="shared" si="4"/>
        <v>493</v>
      </c>
      <c r="U45" s="10">
        <f>IF(Q45&gt;0,(I45/Q45-District!$B$4)*100,"")</f>
        <v>-4.033351638</v>
      </c>
      <c r="V45" s="10">
        <f>IF(R45&gt;0,(K45/R45-District!$B$5)*100,"")</f>
        <v>-13.42518526</v>
      </c>
      <c r="W45" s="10">
        <f>IF(S45&gt;0,(M45/S45-District!$B$6)*100,"")</f>
        <v>-9.576770705</v>
      </c>
      <c r="X45" s="10">
        <f>IF(T45&gt;0,(O45/T45-District!$B$7)*100,"")</f>
        <v>-9.942669607</v>
      </c>
      <c r="Y45" s="28">
        <f t="shared" si="5"/>
        <v>13.42518479</v>
      </c>
      <c r="Z45" s="5">
        <f t="shared" si="6"/>
        <v>164</v>
      </c>
      <c r="AA45" s="28" t="str">
        <f t="shared" si="7"/>
        <v/>
      </c>
      <c r="AB45" s="5" t="str">
        <f t="shared" si="8"/>
        <v/>
      </c>
      <c r="AC45" s="28">
        <f t="shared" si="9"/>
        <v>9.942669114</v>
      </c>
      <c r="AD45" s="5">
        <f t="shared" si="10"/>
        <v>131</v>
      </c>
    </row>
    <row r="46" ht="15.75" customHeight="1">
      <c r="A46" s="5" t="s">
        <v>652</v>
      </c>
      <c r="B46" s="5" t="s">
        <v>120</v>
      </c>
      <c r="C46" s="5" t="s">
        <v>649</v>
      </c>
      <c r="D46" s="5">
        <v>410.0</v>
      </c>
      <c r="E46" s="5" t="s">
        <v>122</v>
      </c>
      <c r="F46" s="5" t="s">
        <v>222</v>
      </c>
      <c r="G46" s="5"/>
      <c r="H46" s="5" t="s">
        <v>222</v>
      </c>
      <c r="I46" s="11">
        <v>85.0</v>
      </c>
      <c r="J46" s="11">
        <v>147.0</v>
      </c>
      <c r="K46" s="11">
        <v>94.0</v>
      </c>
      <c r="L46" s="11">
        <v>206.0</v>
      </c>
      <c r="M46" s="11">
        <v>98.0</v>
      </c>
      <c r="N46" s="11">
        <v>153.0</v>
      </c>
      <c r="O46" s="11">
        <v>103.0</v>
      </c>
      <c r="P46" s="11">
        <v>193.0</v>
      </c>
      <c r="Q46" s="11">
        <f t="shared" si="1"/>
        <v>232</v>
      </c>
      <c r="R46" s="11">
        <f t="shared" si="2"/>
        <v>300</v>
      </c>
      <c r="S46" s="11">
        <f t="shared" si="3"/>
        <v>251</v>
      </c>
      <c r="T46" s="11">
        <f t="shared" si="4"/>
        <v>296</v>
      </c>
      <c r="U46" s="10">
        <f>IF(Q46&gt;0,(I46/Q46-District!$B$4)*100,"")</f>
        <v>-16.77430259</v>
      </c>
      <c r="V46" s="10">
        <f>IF(R46&gt;0,(K46/R46-District!$B$5)*100,"")</f>
        <v>-18.41663825</v>
      </c>
      <c r="W46" s="10">
        <f>IF(S46&gt;0,(M46/S46-District!$B$6)*100,"")</f>
        <v>-11.939196</v>
      </c>
      <c r="X46" s="10">
        <f>IF(T46&gt;0,(O46/T46-District!$B$7)*100,"")</f>
        <v>-14.69912485</v>
      </c>
      <c r="Y46" s="28" t="str">
        <f t="shared" si="5"/>
        <v/>
      </c>
      <c r="Z46" s="5" t="str">
        <f t="shared" si="6"/>
        <v/>
      </c>
      <c r="AA46" s="28" t="str">
        <f t="shared" si="7"/>
        <v/>
      </c>
      <c r="AB46" s="5" t="str">
        <f t="shared" si="8"/>
        <v/>
      </c>
      <c r="AC46" s="28" t="str">
        <f t="shared" si="9"/>
        <v/>
      </c>
      <c r="AD46" s="5" t="str">
        <f t="shared" si="10"/>
        <v/>
      </c>
    </row>
    <row r="47" ht="15.75" customHeight="1">
      <c r="A47" s="5" t="s">
        <v>653</v>
      </c>
      <c r="B47" s="5" t="s">
        <v>120</v>
      </c>
      <c r="C47" s="5" t="s">
        <v>654</v>
      </c>
      <c r="D47" s="5">
        <v>420.0</v>
      </c>
      <c r="E47" s="5" t="s">
        <v>122</v>
      </c>
      <c r="F47" s="5" t="s">
        <v>227</v>
      </c>
      <c r="G47" s="5"/>
      <c r="H47" s="5" t="s">
        <v>227</v>
      </c>
      <c r="I47" s="11">
        <v>198.0</v>
      </c>
      <c r="J47" s="11">
        <v>374.0</v>
      </c>
      <c r="K47" s="11">
        <v>255.0</v>
      </c>
      <c r="L47" s="11">
        <v>611.0</v>
      </c>
      <c r="M47" s="11">
        <v>209.0</v>
      </c>
      <c r="N47" s="11">
        <v>498.0</v>
      </c>
      <c r="O47" s="11">
        <v>306.0</v>
      </c>
      <c r="P47" s="11">
        <v>652.0</v>
      </c>
      <c r="Q47" s="11">
        <f t="shared" si="1"/>
        <v>572</v>
      </c>
      <c r="R47" s="11">
        <f t="shared" si="2"/>
        <v>866</v>
      </c>
      <c r="S47" s="11">
        <f t="shared" si="3"/>
        <v>707</v>
      </c>
      <c r="T47" s="11">
        <f t="shared" si="4"/>
        <v>958</v>
      </c>
      <c r="U47" s="10">
        <f>IF(Q47&gt;0,(I47/Q47-District!$B$4)*100,"")</f>
        <v>-18.79684901</v>
      </c>
      <c r="V47" s="10">
        <f>IF(R47&gt;0,(K47/R47-District!$B$5)*100,"")</f>
        <v>-20.30424411</v>
      </c>
      <c r="W47" s="10">
        <f>IF(S47&gt;0,(M47/S47-District!$B$6)*100,"")</f>
        <v>-21.42149312</v>
      </c>
      <c r="X47" s="10">
        <f>IF(T47&gt;0,(O47/T47-District!$B$7)*100,"")</f>
        <v>-17.55487726</v>
      </c>
      <c r="Y47" s="28">
        <f t="shared" si="5"/>
        <v>20.30424324</v>
      </c>
      <c r="Z47" s="5">
        <f t="shared" si="6"/>
        <v>230</v>
      </c>
      <c r="AA47" s="28" t="str">
        <f t="shared" si="7"/>
        <v/>
      </c>
      <c r="AB47" s="5" t="str">
        <f t="shared" si="8"/>
        <v/>
      </c>
      <c r="AC47" s="28">
        <f t="shared" si="9"/>
        <v>21.42149217</v>
      </c>
      <c r="AD47" s="5">
        <f t="shared" si="10"/>
        <v>253</v>
      </c>
    </row>
    <row r="48" ht="15.75" customHeight="1">
      <c r="A48" s="5" t="s">
        <v>655</v>
      </c>
      <c r="B48" s="5" t="s">
        <v>120</v>
      </c>
      <c r="C48" s="5" t="s">
        <v>654</v>
      </c>
      <c r="D48" s="5">
        <v>430.0</v>
      </c>
      <c r="E48" s="5" t="s">
        <v>122</v>
      </c>
      <c r="F48" s="5" t="s">
        <v>228</v>
      </c>
      <c r="G48" s="5"/>
      <c r="H48" s="5" t="s">
        <v>228</v>
      </c>
      <c r="I48" s="11">
        <v>217.0</v>
      </c>
      <c r="J48" s="11">
        <v>393.0</v>
      </c>
      <c r="K48" s="11">
        <v>229.0</v>
      </c>
      <c r="L48" s="11">
        <v>679.0</v>
      </c>
      <c r="M48" s="11">
        <v>210.0</v>
      </c>
      <c r="N48" s="11">
        <v>536.0</v>
      </c>
      <c r="O48" s="11">
        <v>255.0</v>
      </c>
      <c r="P48" s="11">
        <v>717.0</v>
      </c>
      <c r="Q48" s="11">
        <f t="shared" si="1"/>
        <v>610</v>
      </c>
      <c r="R48" s="11">
        <f t="shared" si="2"/>
        <v>908</v>
      </c>
      <c r="S48" s="11">
        <f t="shared" si="3"/>
        <v>746</v>
      </c>
      <c r="T48" s="11">
        <f t="shared" si="4"/>
        <v>972</v>
      </c>
      <c r="U48" s="10">
        <f>IF(Q48&gt;0,(I48/Q48-District!$B$4)*100,"")</f>
        <v>-17.83846313</v>
      </c>
      <c r="V48" s="10">
        <f>IF(R48&gt;0,(K48/R48-District!$B$5)*100,"")</f>
        <v>-24.52970727</v>
      </c>
      <c r="W48" s="10">
        <f>IF(S48&gt;0,(M48/S48-District!$B$6)*100,"")</f>
        <v>-22.83288666</v>
      </c>
      <c r="X48" s="10">
        <f>IF(T48&gt;0,(O48/T48-District!$B$7)*100,"")</f>
        <v>-23.26185424</v>
      </c>
      <c r="Y48" s="28">
        <f t="shared" si="5"/>
        <v>24.52970636</v>
      </c>
      <c r="Z48" s="5">
        <f t="shared" si="6"/>
        <v>261</v>
      </c>
      <c r="AA48" s="28" t="str">
        <f t="shared" si="7"/>
        <v/>
      </c>
      <c r="AB48" s="5" t="str">
        <f t="shared" si="8"/>
        <v/>
      </c>
      <c r="AC48" s="28">
        <f t="shared" si="9"/>
        <v>23.26185327</v>
      </c>
      <c r="AD48" s="5">
        <f t="shared" si="10"/>
        <v>264</v>
      </c>
    </row>
    <row r="49" ht="15.75" customHeight="1">
      <c r="A49" s="5" t="s">
        <v>656</v>
      </c>
      <c r="B49" s="5" t="s">
        <v>120</v>
      </c>
      <c r="C49" s="5" t="s">
        <v>654</v>
      </c>
      <c r="D49" s="5">
        <v>435.0</v>
      </c>
      <c r="E49" s="5" t="s">
        <v>122</v>
      </c>
      <c r="F49" s="5" t="s">
        <v>229</v>
      </c>
      <c r="G49" s="5"/>
      <c r="H49" s="5" t="s">
        <v>229</v>
      </c>
      <c r="I49" s="11">
        <v>198.0</v>
      </c>
      <c r="J49" s="11">
        <v>369.0</v>
      </c>
      <c r="K49" s="11">
        <v>239.0</v>
      </c>
      <c r="L49" s="11">
        <v>602.0</v>
      </c>
      <c r="M49" s="11">
        <v>206.0</v>
      </c>
      <c r="N49" s="11">
        <v>472.0</v>
      </c>
      <c r="O49" s="11">
        <v>241.0</v>
      </c>
      <c r="P49" s="11">
        <v>586.0</v>
      </c>
      <c r="Q49" s="11">
        <f t="shared" si="1"/>
        <v>567</v>
      </c>
      <c r="R49" s="11">
        <f t="shared" si="2"/>
        <v>841</v>
      </c>
      <c r="S49" s="11">
        <f t="shared" si="3"/>
        <v>678</v>
      </c>
      <c r="T49" s="11">
        <f t="shared" si="4"/>
        <v>827</v>
      </c>
      <c r="U49" s="10">
        <f>IF(Q49&gt;0,(I49/Q49-District!$B$4)*100,"")</f>
        <v>-18.4915987</v>
      </c>
      <c r="V49" s="10">
        <f>IF(R49&gt;0,(K49/R49-District!$B$5)*100,"")</f>
        <v>-21.33142224</v>
      </c>
      <c r="W49" s="10">
        <f>IF(S49&gt;0,(M49/S49-District!$B$6)*100,"")</f>
        <v>-20.59953988</v>
      </c>
      <c r="X49" s="10">
        <f>IF(T49&gt;0,(O49/T49-District!$B$7)*100,"")</f>
        <v>-20.35494693</v>
      </c>
      <c r="Y49" s="28">
        <f t="shared" si="5"/>
        <v>21.3314214</v>
      </c>
      <c r="Z49" s="5">
        <f t="shared" si="6"/>
        <v>237</v>
      </c>
      <c r="AA49" s="28" t="str">
        <f t="shared" si="7"/>
        <v/>
      </c>
      <c r="AB49" s="5" t="str">
        <f t="shared" si="8"/>
        <v/>
      </c>
      <c r="AC49" s="28">
        <f t="shared" si="9"/>
        <v>20.59953905</v>
      </c>
      <c r="AD49" s="5">
        <f t="shared" si="10"/>
        <v>248</v>
      </c>
    </row>
    <row r="50" ht="15.75" customHeight="1">
      <c r="A50" s="5" t="s">
        <v>657</v>
      </c>
      <c r="B50" s="5" t="s">
        <v>120</v>
      </c>
      <c r="C50" s="5" t="s">
        <v>658</v>
      </c>
      <c r="D50" s="5">
        <v>440.0</v>
      </c>
      <c r="E50" s="5" t="s">
        <v>122</v>
      </c>
      <c r="F50" s="5" t="s">
        <v>231</v>
      </c>
      <c r="G50" s="5"/>
      <c r="H50" s="5" t="s">
        <v>231</v>
      </c>
      <c r="I50" s="11">
        <v>183.0</v>
      </c>
      <c r="J50" s="11">
        <v>377.0</v>
      </c>
      <c r="K50" s="11">
        <v>223.0</v>
      </c>
      <c r="L50" s="11">
        <v>610.0</v>
      </c>
      <c r="M50" s="11">
        <v>167.0</v>
      </c>
      <c r="N50" s="11">
        <v>435.0</v>
      </c>
      <c r="O50" s="11">
        <v>242.0</v>
      </c>
      <c r="P50" s="11">
        <v>547.0</v>
      </c>
      <c r="Q50" s="11">
        <f t="shared" si="1"/>
        <v>560</v>
      </c>
      <c r="R50" s="11">
        <f t="shared" si="2"/>
        <v>833</v>
      </c>
      <c r="S50" s="11">
        <f t="shared" si="3"/>
        <v>602</v>
      </c>
      <c r="T50" s="11">
        <f t="shared" si="4"/>
        <v>789</v>
      </c>
      <c r="U50" s="10">
        <f>IF(Q50&gt;0,(I50/Q50-District!$B$4)*100,"")</f>
        <v>-20.7336622</v>
      </c>
      <c r="V50" s="10">
        <f>IF(R50&gt;0,(K50/R50-District!$B$5)*100,"")</f>
        <v>-22.9792633</v>
      </c>
      <c r="W50" s="10">
        <f>IF(S50&gt;0,(M50/S50-District!$B$6)*100,"")</f>
        <v>-23.24215692</v>
      </c>
      <c r="X50" s="10">
        <f>IF(T50&gt;0,(O50/T50-District!$B$7)*100,"")</f>
        <v>-18.82468577</v>
      </c>
      <c r="Y50" s="28">
        <f t="shared" si="5"/>
        <v>22.97926247</v>
      </c>
      <c r="Z50" s="5">
        <f t="shared" si="6"/>
        <v>252</v>
      </c>
      <c r="AA50" s="28" t="str">
        <f t="shared" si="7"/>
        <v/>
      </c>
      <c r="AB50" s="5" t="str">
        <f t="shared" si="8"/>
        <v/>
      </c>
      <c r="AC50" s="28">
        <f t="shared" si="9"/>
        <v>23.24215613</v>
      </c>
      <c r="AD50" s="5">
        <f t="shared" si="10"/>
        <v>263</v>
      </c>
    </row>
    <row r="51" ht="15.75" customHeight="1">
      <c r="A51" s="5" t="s">
        <v>659</v>
      </c>
      <c r="B51" s="5" t="s">
        <v>120</v>
      </c>
      <c r="C51" s="5" t="s">
        <v>658</v>
      </c>
      <c r="D51" s="5">
        <v>450.0</v>
      </c>
      <c r="E51" s="5" t="s">
        <v>122</v>
      </c>
      <c r="F51" s="5" t="s">
        <v>232</v>
      </c>
      <c r="G51" s="5"/>
      <c r="H51" s="5" t="s">
        <v>232</v>
      </c>
      <c r="I51" s="11">
        <v>90.0</v>
      </c>
      <c r="J51" s="11">
        <v>197.0</v>
      </c>
      <c r="K51" s="11">
        <v>100.0</v>
      </c>
      <c r="L51" s="11">
        <v>288.0</v>
      </c>
      <c r="M51" s="11">
        <v>78.0</v>
      </c>
      <c r="N51" s="11">
        <v>221.0</v>
      </c>
      <c r="O51" s="11">
        <v>109.0</v>
      </c>
      <c r="P51" s="11">
        <v>302.0</v>
      </c>
      <c r="Q51" s="11">
        <f t="shared" si="1"/>
        <v>287</v>
      </c>
      <c r="R51" s="11">
        <f t="shared" si="2"/>
        <v>388</v>
      </c>
      <c r="S51" s="11">
        <f t="shared" si="3"/>
        <v>299</v>
      </c>
      <c r="T51" s="11">
        <f t="shared" si="4"/>
        <v>411</v>
      </c>
      <c r="U51" s="10">
        <f>IF(Q51&gt;0,(I51/Q51-District!$B$4)*100,"")</f>
        <v>-22.05334861</v>
      </c>
      <c r="V51" s="10">
        <f>IF(R51&gt;0,(K51/R51-District!$B$5)*100,"")</f>
        <v>-23.97677571</v>
      </c>
      <c r="W51" s="10">
        <f>IF(S51&gt;0,(M51/S51-District!$B$6)*100,"")</f>
        <v>-24.89606418</v>
      </c>
      <c r="X51" s="10">
        <f>IF(T51&gt;0,(O51/T51-District!$B$7)*100,"")</f>
        <v>-22.97574088</v>
      </c>
      <c r="Y51" s="28" t="str">
        <f t="shared" si="5"/>
        <v/>
      </c>
      <c r="Z51" s="5" t="str">
        <f t="shared" si="6"/>
        <v/>
      </c>
      <c r="AA51" s="28" t="str">
        <f t="shared" si="7"/>
        <v/>
      </c>
      <c r="AB51" s="5" t="str">
        <f t="shared" si="8"/>
        <v/>
      </c>
      <c r="AC51" s="28" t="str">
        <f t="shared" si="9"/>
        <v/>
      </c>
      <c r="AD51" s="5" t="str">
        <f t="shared" si="10"/>
        <v/>
      </c>
    </row>
    <row r="52" ht="15.75" customHeight="1">
      <c r="A52" s="5" t="s">
        <v>660</v>
      </c>
      <c r="B52" s="5" t="s">
        <v>120</v>
      </c>
      <c r="C52" s="5" t="s">
        <v>661</v>
      </c>
      <c r="D52" s="5">
        <v>460.0</v>
      </c>
      <c r="E52" s="5" t="s">
        <v>122</v>
      </c>
      <c r="F52" s="5" t="s">
        <v>233</v>
      </c>
      <c r="G52" s="5"/>
      <c r="H52" s="5" t="s">
        <v>233</v>
      </c>
      <c r="I52" s="11">
        <v>50.0</v>
      </c>
      <c r="J52" s="11">
        <v>48.0</v>
      </c>
      <c r="K52" s="11">
        <v>62.0</v>
      </c>
      <c r="L52" s="11">
        <v>91.0</v>
      </c>
      <c r="M52" s="11">
        <v>46.0</v>
      </c>
      <c r="N52" s="11">
        <v>54.0</v>
      </c>
      <c r="O52" s="11">
        <v>58.0</v>
      </c>
      <c r="P52" s="11">
        <v>105.0</v>
      </c>
      <c r="Q52" s="11">
        <f t="shared" si="1"/>
        <v>98</v>
      </c>
      <c r="R52" s="11">
        <f t="shared" si="2"/>
        <v>153</v>
      </c>
      <c r="S52" s="11">
        <f t="shared" si="3"/>
        <v>100</v>
      </c>
      <c r="T52" s="11">
        <f t="shared" si="4"/>
        <v>163</v>
      </c>
      <c r="U52" s="10">
        <f>IF(Q52&gt;0,(I52/Q52-District!$B$4)*100,"")</f>
        <v>-2.391825462</v>
      </c>
      <c r="V52" s="10">
        <f>IF(R52&gt;0,(K52/R52-District!$B$5)*100,"")</f>
        <v>-9.227095771</v>
      </c>
      <c r="W52" s="10">
        <f>IF(S52&gt;0,(M52/S52-District!$B$6)*100,"")</f>
        <v>-4.983020705</v>
      </c>
      <c r="X52" s="10">
        <f>IF(T52&gt;0,(O52/T52-District!$B$7)*100,"")</f>
        <v>-13.91360006</v>
      </c>
      <c r="Y52" s="28" t="str">
        <f t="shared" si="5"/>
        <v/>
      </c>
      <c r="Z52" s="5" t="str">
        <f t="shared" si="6"/>
        <v/>
      </c>
      <c r="AA52" s="28" t="str">
        <f t="shared" si="7"/>
        <v/>
      </c>
      <c r="AB52" s="5" t="str">
        <f t="shared" si="8"/>
        <v/>
      </c>
      <c r="AC52" s="28" t="str">
        <f t="shared" si="9"/>
        <v/>
      </c>
      <c r="AD52" s="5" t="str">
        <f t="shared" si="10"/>
        <v/>
      </c>
    </row>
    <row r="53" ht="15.75" customHeight="1">
      <c r="A53" s="5" t="s">
        <v>662</v>
      </c>
      <c r="B53" s="5" t="s">
        <v>234</v>
      </c>
      <c r="C53" s="5" t="s">
        <v>235</v>
      </c>
      <c r="D53" s="5">
        <v>10.0</v>
      </c>
      <c r="E53" s="5" t="s">
        <v>122</v>
      </c>
      <c r="F53" s="5" t="s">
        <v>235</v>
      </c>
      <c r="G53" s="5" t="s">
        <v>235</v>
      </c>
      <c r="H53" s="5" t="s">
        <v>235</v>
      </c>
      <c r="I53" s="11">
        <v>454.0</v>
      </c>
      <c r="J53" s="11">
        <v>406.0</v>
      </c>
      <c r="K53" s="11">
        <v>644.0</v>
      </c>
      <c r="L53" s="11">
        <v>735.0</v>
      </c>
      <c r="M53" s="11">
        <v>494.0</v>
      </c>
      <c r="N53" s="11">
        <v>519.0</v>
      </c>
      <c r="O53" s="11">
        <v>601.0</v>
      </c>
      <c r="P53" s="11">
        <v>766.0</v>
      </c>
      <c r="Q53" s="11">
        <f t="shared" si="1"/>
        <v>860</v>
      </c>
      <c r="R53" s="11">
        <f t="shared" si="2"/>
        <v>1379</v>
      </c>
      <c r="S53" s="11">
        <f t="shared" si="3"/>
        <v>1013</v>
      </c>
      <c r="T53" s="11">
        <f t="shared" si="4"/>
        <v>1367</v>
      </c>
      <c r="U53" s="10">
        <f>IF(Q53&gt;0,(I53/Q53-District!$B$4)*100,"")</f>
        <v>-0.621535951</v>
      </c>
      <c r="V53" s="10">
        <f>IF(R53&gt;0,(K53/R53-District!$B$5)*100,"")</f>
        <v>-3.049463973</v>
      </c>
      <c r="W53" s="10">
        <f>IF(S53&gt;0,(M53/S53-District!$B$6)*100,"")</f>
        <v>-2.216979244</v>
      </c>
      <c r="X53" s="10">
        <f>IF(T53&gt;0,(O53/T53-District!$B$7)*100,"")</f>
        <v>-5.53153553</v>
      </c>
      <c r="Y53" s="28">
        <f t="shared" si="5"/>
        <v>3.049462594</v>
      </c>
      <c r="Z53" s="5">
        <f t="shared" si="6"/>
        <v>43</v>
      </c>
      <c r="AA53" s="28">
        <f t="shared" si="7"/>
        <v>3.04946296</v>
      </c>
      <c r="AB53" s="5">
        <f t="shared" si="8"/>
        <v>47</v>
      </c>
      <c r="AC53" s="28">
        <f t="shared" si="9"/>
        <v>5.531534163</v>
      </c>
      <c r="AD53" s="5">
        <f t="shared" si="10"/>
        <v>87</v>
      </c>
    </row>
    <row r="54" ht="15.75" customHeight="1">
      <c r="A54" s="5" t="s">
        <v>663</v>
      </c>
      <c r="B54" s="5" t="s">
        <v>234</v>
      </c>
      <c r="C54" s="5" t="s">
        <v>236</v>
      </c>
      <c r="D54" s="5">
        <v>20.0</v>
      </c>
      <c r="E54" s="5" t="s">
        <v>122</v>
      </c>
      <c r="F54" s="5" t="s">
        <v>285</v>
      </c>
      <c r="G54" s="5" t="s">
        <v>285</v>
      </c>
      <c r="H54" s="5" t="s">
        <v>285</v>
      </c>
      <c r="I54" s="11">
        <v>357.0</v>
      </c>
      <c r="J54" s="11">
        <v>33.0</v>
      </c>
      <c r="K54" s="11">
        <v>529.0</v>
      </c>
      <c r="L54" s="11">
        <v>130.0</v>
      </c>
      <c r="M54" s="11">
        <v>240.0</v>
      </c>
      <c r="N54" s="11">
        <v>63.0</v>
      </c>
      <c r="O54" s="11">
        <v>487.0</v>
      </c>
      <c r="P54" s="11">
        <v>191.0</v>
      </c>
      <c r="Q54" s="11">
        <f t="shared" si="1"/>
        <v>390</v>
      </c>
      <c r="R54" s="11">
        <f t="shared" si="2"/>
        <v>659</v>
      </c>
      <c r="S54" s="11">
        <f t="shared" si="3"/>
        <v>303</v>
      </c>
      <c r="T54" s="11">
        <f t="shared" si="4"/>
        <v>678</v>
      </c>
      <c r="U54" s="10">
        <f>IF(Q54&gt;0,(I54/Q54-District!$B$4)*100,"")</f>
        <v>38.12622791</v>
      </c>
      <c r="V54" s="10">
        <f>IF(R54&gt;0,(K54/R54-District!$B$5)*100,"")</f>
        <v>30.52316954</v>
      </c>
      <c r="W54" s="10">
        <f>IF(S54&gt;0,(M54/S54-District!$B$6)*100,"")</f>
        <v>28.22490009</v>
      </c>
      <c r="X54" s="10">
        <f>IF(T54&gt;0,(O54/T54-District!$B$7)*100,"")</f>
        <v>22.33248641</v>
      </c>
      <c r="Y54" s="28">
        <f t="shared" si="5"/>
        <v>38.12622725</v>
      </c>
      <c r="Z54" s="5">
        <f t="shared" si="6"/>
        <v>292</v>
      </c>
      <c r="AA54" s="28">
        <f t="shared" si="7"/>
        <v>30.52316923</v>
      </c>
      <c r="AB54" s="5">
        <f t="shared" si="8"/>
        <v>251</v>
      </c>
      <c r="AC54" s="28">
        <f t="shared" si="9"/>
        <v>28.22489941</v>
      </c>
      <c r="AD54" s="5">
        <f t="shared" si="10"/>
        <v>284</v>
      </c>
    </row>
    <row r="55" ht="15.75" customHeight="1">
      <c r="A55" s="5" t="s">
        <v>664</v>
      </c>
      <c r="B55" s="5" t="s">
        <v>234</v>
      </c>
      <c r="C55" s="5" t="s">
        <v>236</v>
      </c>
      <c r="D55" s="5">
        <v>30.0</v>
      </c>
      <c r="E55" s="5" t="s">
        <v>122</v>
      </c>
      <c r="F55" s="5" t="s">
        <v>286</v>
      </c>
      <c r="G55" s="5" t="s">
        <v>286</v>
      </c>
      <c r="H55" s="5" t="s">
        <v>286</v>
      </c>
      <c r="I55" s="11">
        <v>251.0</v>
      </c>
      <c r="J55" s="11">
        <v>40.0</v>
      </c>
      <c r="K55" s="11">
        <v>456.0</v>
      </c>
      <c r="L55" s="11">
        <v>140.0</v>
      </c>
      <c r="M55" s="11">
        <v>236.0</v>
      </c>
      <c r="N55" s="11">
        <v>68.0</v>
      </c>
      <c r="O55" s="11">
        <v>418.0</v>
      </c>
      <c r="P55" s="11">
        <v>181.0</v>
      </c>
      <c r="Q55" s="11">
        <f t="shared" si="1"/>
        <v>291</v>
      </c>
      <c r="R55" s="11">
        <f t="shared" si="2"/>
        <v>596</v>
      </c>
      <c r="S55" s="11">
        <f t="shared" si="3"/>
        <v>304</v>
      </c>
      <c r="T55" s="11">
        <f t="shared" si="4"/>
        <v>599</v>
      </c>
      <c r="U55" s="10">
        <f>IF(Q55&gt;0,(I55/Q55-District!$B$4)*100,"")</f>
        <v>32.84206191</v>
      </c>
      <c r="V55" s="10">
        <f>IF(R55&gt;0,(K55/R55-District!$B$5)*100,"")</f>
        <v>26.76009553</v>
      </c>
      <c r="W55" s="10">
        <f>IF(S55&gt;0,(M55/S55-District!$B$6)*100,"")</f>
        <v>26.64855824</v>
      </c>
      <c r="X55" s="10">
        <f>IF(T55&gt;0,(O55/T55-District!$B$7)*100,"")</f>
        <v>20.28654948</v>
      </c>
      <c r="Y55" s="28" t="str">
        <f t="shared" si="5"/>
        <v/>
      </c>
      <c r="Z55" s="5" t="str">
        <f t="shared" si="6"/>
        <v/>
      </c>
      <c r="AA55" s="28">
        <f t="shared" si="7"/>
        <v>26.76009522</v>
      </c>
      <c r="AB55" s="5">
        <f t="shared" si="8"/>
        <v>241</v>
      </c>
      <c r="AC55" s="28">
        <f t="shared" si="9"/>
        <v>26.64855764</v>
      </c>
      <c r="AD55" s="5">
        <f t="shared" si="10"/>
        <v>281</v>
      </c>
    </row>
    <row r="56" ht="15.75" customHeight="1">
      <c r="A56" s="5" t="s">
        <v>665</v>
      </c>
      <c r="B56" s="5" t="s">
        <v>234</v>
      </c>
      <c r="C56" s="5" t="s">
        <v>236</v>
      </c>
      <c r="D56" s="5">
        <v>40.0</v>
      </c>
      <c r="E56" s="5" t="s">
        <v>122</v>
      </c>
      <c r="F56" s="5" t="s">
        <v>287</v>
      </c>
      <c r="G56" s="5" t="s">
        <v>287</v>
      </c>
      <c r="H56" s="5" t="s">
        <v>287</v>
      </c>
      <c r="I56" s="11">
        <v>333.0</v>
      </c>
      <c r="J56" s="11">
        <v>49.0</v>
      </c>
      <c r="K56" s="11">
        <v>531.0</v>
      </c>
      <c r="L56" s="11">
        <v>162.0</v>
      </c>
      <c r="M56" s="11">
        <v>365.0</v>
      </c>
      <c r="N56" s="11">
        <v>72.0</v>
      </c>
      <c r="O56" s="11">
        <v>677.0</v>
      </c>
      <c r="P56" s="11">
        <v>264.0</v>
      </c>
      <c r="Q56" s="11">
        <f t="shared" si="1"/>
        <v>382</v>
      </c>
      <c r="R56" s="11">
        <f t="shared" si="2"/>
        <v>693</v>
      </c>
      <c r="S56" s="11">
        <f t="shared" si="3"/>
        <v>437</v>
      </c>
      <c r="T56" s="11">
        <f t="shared" si="4"/>
        <v>941</v>
      </c>
      <c r="U56" s="10">
        <f>IF(Q56&gt;0,(I56/Q56-District!$B$4)*100,"")</f>
        <v>33.76054124</v>
      </c>
      <c r="V56" s="10">
        <f>IF(R56&gt;0,(K56/R56-District!$B$5)*100,"")</f>
        <v>26.87340504</v>
      </c>
      <c r="W56" s="10">
        <f>IF(S56&gt;0,(M56/S56-District!$B$6)*100,"")</f>
        <v>32.54100676</v>
      </c>
      <c r="X56" s="10">
        <f>IF(T56&gt;0,(O56/T56-District!$B$7)*100,"")</f>
        <v>22.4483175</v>
      </c>
      <c r="Y56" s="28">
        <f t="shared" si="5"/>
        <v>33.76054055</v>
      </c>
      <c r="Z56" s="5">
        <f t="shared" si="6"/>
        <v>288</v>
      </c>
      <c r="AA56" s="28">
        <f t="shared" si="7"/>
        <v>32.54100632</v>
      </c>
      <c r="AB56" s="5">
        <f t="shared" si="8"/>
        <v>252</v>
      </c>
      <c r="AC56" s="28">
        <f t="shared" si="9"/>
        <v>32.54100581</v>
      </c>
      <c r="AD56" s="5">
        <f t="shared" si="10"/>
        <v>290</v>
      </c>
    </row>
    <row r="57" ht="15.75" customHeight="1">
      <c r="A57" s="5" t="s">
        <v>666</v>
      </c>
      <c r="B57" s="5" t="s">
        <v>234</v>
      </c>
      <c r="C57" s="5" t="s">
        <v>236</v>
      </c>
      <c r="D57" s="5">
        <v>50.0</v>
      </c>
      <c r="E57" s="5" t="s">
        <v>122</v>
      </c>
      <c r="F57" s="5" t="s">
        <v>288</v>
      </c>
      <c r="G57" s="5" t="s">
        <v>288</v>
      </c>
      <c r="H57" s="5" t="s">
        <v>288</v>
      </c>
      <c r="I57" s="11">
        <v>221.0</v>
      </c>
      <c r="J57" s="11">
        <v>48.0</v>
      </c>
      <c r="K57" s="11">
        <v>319.0</v>
      </c>
      <c r="L57" s="11">
        <v>98.0</v>
      </c>
      <c r="M57" s="11">
        <v>173.0</v>
      </c>
      <c r="N57" s="11">
        <v>59.0</v>
      </c>
      <c r="O57" s="11">
        <v>283.0</v>
      </c>
      <c r="P57" s="11">
        <v>138.0</v>
      </c>
      <c r="Q57" s="11">
        <f t="shared" si="1"/>
        <v>269</v>
      </c>
      <c r="R57" s="11">
        <f t="shared" si="2"/>
        <v>417</v>
      </c>
      <c r="S57" s="11">
        <f t="shared" si="3"/>
        <v>232</v>
      </c>
      <c r="T57" s="11">
        <f t="shared" si="4"/>
        <v>421</v>
      </c>
      <c r="U57" s="10">
        <f>IF(Q57&gt;0,(I57/Q57-District!$B$4)*100,"")</f>
        <v>28.7439002</v>
      </c>
      <c r="V57" s="10">
        <f>IF(R57&gt;0,(K57/R57-District!$B$5)*100,"")</f>
        <v>26.74882937</v>
      </c>
      <c r="W57" s="10">
        <f>IF(S57&gt;0,(M57/S57-District!$B$6)*100,"")</f>
        <v>23.58594481</v>
      </c>
      <c r="X57" s="10">
        <f>IF(T57&gt;0,(O57/T57-District!$B$7)*100,"")</f>
        <v>17.72448047</v>
      </c>
      <c r="Y57" s="28" t="str">
        <f t="shared" si="5"/>
        <v/>
      </c>
      <c r="Z57" s="5" t="str">
        <f t="shared" si="6"/>
        <v/>
      </c>
      <c r="AA57" s="28" t="str">
        <f t="shared" si="7"/>
        <v/>
      </c>
      <c r="AB57" s="5" t="str">
        <f t="shared" si="8"/>
        <v/>
      </c>
      <c r="AC57" s="28" t="str">
        <f t="shared" si="9"/>
        <v/>
      </c>
      <c r="AD57" s="5" t="str">
        <f t="shared" si="10"/>
        <v/>
      </c>
    </row>
    <row r="58" ht="15.75" customHeight="1">
      <c r="A58" s="5" t="s">
        <v>667</v>
      </c>
      <c r="B58" s="5" t="s">
        <v>234</v>
      </c>
      <c r="C58" s="5" t="s">
        <v>236</v>
      </c>
      <c r="D58" s="5">
        <v>60.0</v>
      </c>
      <c r="E58" s="5" t="s">
        <v>122</v>
      </c>
      <c r="F58" s="5" t="s">
        <v>289</v>
      </c>
      <c r="G58" s="5" t="s">
        <v>289</v>
      </c>
      <c r="H58" s="5" t="s">
        <v>289</v>
      </c>
      <c r="I58" s="11">
        <v>283.0</v>
      </c>
      <c r="J58" s="11">
        <v>48.0</v>
      </c>
      <c r="K58" s="11">
        <v>435.0</v>
      </c>
      <c r="L58" s="11">
        <v>105.0</v>
      </c>
      <c r="M58" s="11">
        <v>224.0</v>
      </c>
      <c r="N58" s="11">
        <v>57.0</v>
      </c>
      <c r="O58" s="11">
        <v>447.0</v>
      </c>
      <c r="P58" s="11">
        <v>152.0</v>
      </c>
      <c r="Q58" s="11">
        <f t="shared" si="1"/>
        <v>331</v>
      </c>
      <c r="R58" s="11">
        <f t="shared" si="2"/>
        <v>540</v>
      </c>
      <c r="S58" s="11">
        <f t="shared" si="3"/>
        <v>281</v>
      </c>
      <c r="T58" s="11">
        <f t="shared" si="4"/>
        <v>599</v>
      </c>
      <c r="U58" s="10">
        <f>IF(Q58&gt;0,(I58/Q58-District!$B$4)*100,"")</f>
        <v>32.0862558</v>
      </c>
      <c r="V58" s="10">
        <f>IF(R58&gt;0,(K58/R58-District!$B$5)*100,"")</f>
        <v>30.80558397</v>
      </c>
      <c r="W58" s="10">
        <f>IF(S58&gt;0,(M58/S58-District!$B$6)*100,"")</f>
        <v>28.73228179</v>
      </c>
      <c r="X58" s="10">
        <f>IF(T58&gt;0,(O58/T58-District!$B$7)*100,"")</f>
        <v>25.12795181</v>
      </c>
      <c r="Y58" s="28">
        <f t="shared" si="5"/>
        <v>32.08625526</v>
      </c>
      <c r="Z58" s="5">
        <f t="shared" si="6"/>
        <v>282</v>
      </c>
      <c r="AA58" s="28" t="str">
        <f t="shared" si="7"/>
        <v/>
      </c>
      <c r="AB58" s="5" t="str">
        <f t="shared" si="8"/>
        <v/>
      </c>
      <c r="AC58" s="28" t="str">
        <f t="shared" si="9"/>
        <v/>
      </c>
      <c r="AD58" s="5" t="str">
        <f t="shared" si="10"/>
        <v/>
      </c>
    </row>
    <row r="59" ht="15.75" customHeight="1">
      <c r="A59" s="5" t="s">
        <v>668</v>
      </c>
      <c r="B59" s="5" t="s">
        <v>234</v>
      </c>
      <c r="C59" s="5" t="s">
        <v>236</v>
      </c>
      <c r="D59" s="5">
        <v>70.0</v>
      </c>
      <c r="E59" s="5" t="s">
        <v>122</v>
      </c>
      <c r="F59" s="5" t="s">
        <v>290</v>
      </c>
      <c r="G59" s="5" t="s">
        <v>290</v>
      </c>
      <c r="H59" s="5" t="s">
        <v>290</v>
      </c>
      <c r="I59" s="11">
        <v>167.0</v>
      </c>
      <c r="J59" s="11">
        <v>35.0</v>
      </c>
      <c r="K59" s="11">
        <v>253.0</v>
      </c>
      <c r="L59" s="11">
        <v>77.0</v>
      </c>
      <c r="M59" s="11">
        <v>93.0</v>
      </c>
      <c r="N59" s="11">
        <v>30.0</v>
      </c>
      <c r="O59" s="11">
        <v>179.0</v>
      </c>
      <c r="P59" s="11">
        <v>112.0</v>
      </c>
      <c r="Q59" s="11">
        <f t="shared" si="1"/>
        <v>202</v>
      </c>
      <c r="R59" s="11">
        <f t="shared" si="2"/>
        <v>330</v>
      </c>
      <c r="S59" s="11">
        <f t="shared" si="3"/>
        <v>123</v>
      </c>
      <c r="T59" s="11">
        <f t="shared" si="4"/>
        <v>291</v>
      </c>
      <c r="U59" s="10">
        <f>IF(Q59&gt;0,(I59/Q59-District!$B$4)*100,"")</f>
        <v>29.2610337</v>
      </c>
      <c r="V59" s="10">
        <f>IF(R59&gt;0,(K59/R59-District!$B$5)*100,"")</f>
        <v>26.91669508</v>
      </c>
      <c r="W59" s="10">
        <f>IF(S59&gt;0,(M59/S59-District!$B$6)*100,"")</f>
        <v>24.62673539</v>
      </c>
      <c r="X59" s="10">
        <f>IF(T59&gt;0,(O59/T59-District!$B$7)*100,"")</f>
        <v>12.01560535</v>
      </c>
      <c r="Y59" s="28" t="str">
        <f t="shared" si="5"/>
        <v/>
      </c>
      <c r="Z59" s="5" t="str">
        <f t="shared" si="6"/>
        <v/>
      </c>
      <c r="AA59" s="28" t="str">
        <f t="shared" si="7"/>
        <v/>
      </c>
      <c r="AB59" s="5" t="str">
        <f t="shared" si="8"/>
        <v/>
      </c>
      <c r="AC59" s="28" t="str">
        <f t="shared" si="9"/>
        <v/>
      </c>
      <c r="AD59" s="5" t="str">
        <f t="shared" si="10"/>
        <v/>
      </c>
    </row>
    <row r="60" ht="15.75" customHeight="1">
      <c r="A60" s="5" t="s">
        <v>669</v>
      </c>
      <c r="B60" s="5" t="s">
        <v>234</v>
      </c>
      <c r="C60" s="5" t="s">
        <v>236</v>
      </c>
      <c r="D60" s="5">
        <v>80.0</v>
      </c>
      <c r="E60" s="5" t="s">
        <v>122</v>
      </c>
      <c r="F60" s="5" t="s">
        <v>292</v>
      </c>
      <c r="G60" s="5" t="s">
        <v>292</v>
      </c>
      <c r="H60" s="5" t="s">
        <v>292</v>
      </c>
      <c r="I60" s="11">
        <v>240.0</v>
      </c>
      <c r="J60" s="11">
        <v>71.0</v>
      </c>
      <c r="K60" s="11">
        <v>400.0</v>
      </c>
      <c r="L60" s="11">
        <v>151.0</v>
      </c>
      <c r="M60" s="11">
        <v>206.0</v>
      </c>
      <c r="N60" s="11">
        <v>84.0</v>
      </c>
      <c r="O60" s="11">
        <v>357.0</v>
      </c>
      <c r="P60" s="11">
        <v>225.0</v>
      </c>
      <c r="Q60" s="11">
        <f t="shared" si="1"/>
        <v>311</v>
      </c>
      <c r="R60" s="11">
        <f t="shared" si="2"/>
        <v>551</v>
      </c>
      <c r="S60" s="11">
        <f t="shared" si="3"/>
        <v>290</v>
      </c>
      <c r="T60" s="11">
        <f t="shared" si="4"/>
        <v>582</v>
      </c>
      <c r="U60" s="10">
        <f>IF(Q60&gt;0,(I60/Q60-District!$B$4)*100,"")</f>
        <v>23.75818438</v>
      </c>
      <c r="V60" s="10">
        <f>IF(R60&gt;0,(K60/R60-District!$B$5)*100,"")</f>
        <v>22.84530972</v>
      </c>
      <c r="W60" s="10">
        <f>IF(S60&gt;0,(M60/S60-District!$B$6)*100,"")</f>
        <v>20.05146205</v>
      </c>
      <c r="X60" s="10">
        <f>IF(T60&gt;0,(O60/T60-District!$B$7)*100,"")</f>
        <v>11.84378404</v>
      </c>
      <c r="Y60" s="28">
        <f t="shared" si="5"/>
        <v>23.75818383</v>
      </c>
      <c r="Z60" s="5">
        <f t="shared" si="6"/>
        <v>259</v>
      </c>
      <c r="AA60" s="28" t="str">
        <f t="shared" si="7"/>
        <v/>
      </c>
      <c r="AB60" s="5" t="str">
        <f t="shared" si="8"/>
        <v/>
      </c>
      <c r="AC60" s="28" t="str">
        <f t="shared" si="9"/>
        <v/>
      </c>
      <c r="AD60" s="5" t="str">
        <f t="shared" si="10"/>
        <v/>
      </c>
    </row>
    <row r="61" ht="15.75" customHeight="1">
      <c r="A61" s="5" t="s">
        <v>670</v>
      </c>
      <c r="B61" s="5" t="s">
        <v>234</v>
      </c>
      <c r="C61" s="5" t="s">
        <v>236</v>
      </c>
      <c r="D61" s="5">
        <v>90.0</v>
      </c>
      <c r="E61" s="5" t="s">
        <v>122</v>
      </c>
      <c r="F61" s="5" t="s">
        <v>293</v>
      </c>
      <c r="G61" s="5" t="s">
        <v>293</v>
      </c>
      <c r="H61" s="5" t="s">
        <v>293</v>
      </c>
      <c r="I61" s="11">
        <v>398.0</v>
      </c>
      <c r="J61" s="11">
        <v>69.0</v>
      </c>
      <c r="K61" s="11">
        <v>631.0</v>
      </c>
      <c r="L61" s="11">
        <v>181.0</v>
      </c>
      <c r="M61" s="11">
        <v>305.0</v>
      </c>
      <c r="N61" s="11">
        <v>94.0</v>
      </c>
      <c r="O61" s="11">
        <v>520.0</v>
      </c>
      <c r="P61" s="11">
        <v>193.0</v>
      </c>
      <c r="Q61" s="11">
        <f t="shared" si="1"/>
        <v>467</v>
      </c>
      <c r="R61" s="11">
        <f t="shared" si="2"/>
        <v>812</v>
      </c>
      <c r="S61" s="11">
        <f t="shared" si="3"/>
        <v>399</v>
      </c>
      <c r="T61" s="11">
        <f t="shared" si="4"/>
        <v>713</v>
      </c>
      <c r="U61" s="10">
        <f>IF(Q61&gt;0,(I61/Q61-District!$B$4)*100,"")</f>
        <v>31.81260577</v>
      </c>
      <c r="V61" s="10">
        <f>IF(R61&gt;0,(K61/R61-District!$B$5)*100,"")</f>
        <v>27.95938802</v>
      </c>
      <c r="W61" s="10">
        <f>IF(S61&gt;0,(M61/S61-District!$B$6)*100,"")</f>
        <v>25.45808205</v>
      </c>
      <c r="X61" s="10">
        <f>IF(T61&gt;0,(O61/T61-District!$B$7)*100,"")</f>
        <v>23.43485415</v>
      </c>
      <c r="Y61" s="28">
        <f t="shared" si="5"/>
        <v>31.81260496</v>
      </c>
      <c r="Z61" s="5">
        <f t="shared" si="6"/>
        <v>281</v>
      </c>
      <c r="AA61" s="28">
        <f t="shared" si="7"/>
        <v>27.95938762</v>
      </c>
      <c r="AB61" s="5">
        <f t="shared" si="8"/>
        <v>244</v>
      </c>
      <c r="AC61" s="28">
        <f t="shared" si="9"/>
        <v>25.45808134</v>
      </c>
      <c r="AD61" s="5">
        <f t="shared" si="10"/>
        <v>277</v>
      </c>
    </row>
    <row r="62" ht="15.75" customHeight="1">
      <c r="A62" s="5" t="s">
        <v>671</v>
      </c>
      <c r="B62" s="5" t="s">
        <v>234</v>
      </c>
      <c r="C62" s="5" t="s">
        <v>236</v>
      </c>
      <c r="D62" s="5">
        <v>110.0</v>
      </c>
      <c r="E62" s="5" t="s">
        <v>122</v>
      </c>
      <c r="F62" s="5" t="s">
        <v>294</v>
      </c>
      <c r="G62" s="5" t="s">
        <v>294</v>
      </c>
      <c r="H62" s="5" t="s">
        <v>294</v>
      </c>
      <c r="I62" s="11">
        <v>160.0</v>
      </c>
      <c r="J62" s="11">
        <v>29.0</v>
      </c>
      <c r="K62" s="11">
        <v>225.0</v>
      </c>
      <c r="L62" s="11">
        <v>80.0</v>
      </c>
      <c r="M62" s="11">
        <v>116.0</v>
      </c>
      <c r="N62" s="11">
        <v>25.0</v>
      </c>
      <c r="O62" s="11">
        <v>218.0</v>
      </c>
      <c r="P62" s="11">
        <v>86.0</v>
      </c>
      <c r="Q62" s="11">
        <f t="shared" si="1"/>
        <v>189</v>
      </c>
      <c r="R62" s="11">
        <f t="shared" si="2"/>
        <v>305</v>
      </c>
      <c r="S62" s="11">
        <f t="shared" si="3"/>
        <v>141</v>
      </c>
      <c r="T62" s="11">
        <f t="shared" si="4"/>
        <v>304</v>
      </c>
      <c r="U62" s="10">
        <f>IF(Q62&gt;0,(I62/Q62-District!$B$4)*100,"")</f>
        <v>31.24385103</v>
      </c>
      <c r="V62" s="10">
        <f>IF(R62&gt;0,(K62/R62-District!$B$5)*100,"")</f>
        <v>24.02052022</v>
      </c>
      <c r="W62" s="10">
        <f>IF(S62&gt;0,(M62/S62-District!$B$6)*100,"")</f>
        <v>31.28648284</v>
      </c>
      <c r="X62" s="10">
        <f>IF(T62&gt;0,(O62/T62-District!$B$7)*100,"")</f>
        <v>22.21410417</v>
      </c>
      <c r="Y62" s="28" t="str">
        <f t="shared" si="5"/>
        <v/>
      </c>
      <c r="Z62" s="5" t="str">
        <f t="shared" si="6"/>
        <v/>
      </c>
      <c r="AA62" s="28" t="str">
        <f t="shared" si="7"/>
        <v/>
      </c>
      <c r="AB62" s="5" t="str">
        <f t="shared" si="8"/>
        <v/>
      </c>
      <c r="AC62" s="28" t="str">
        <f t="shared" si="9"/>
        <v/>
      </c>
      <c r="AD62" s="5" t="str">
        <f t="shared" si="10"/>
        <v/>
      </c>
    </row>
    <row r="63" ht="15.75" customHeight="1">
      <c r="A63" s="5" t="s">
        <v>672</v>
      </c>
      <c r="B63" s="5" t="s">
        <v>234</v>
      </c>
      <c r="C63" s="5" t="s">
        <v>236</v>
      </c>
      <c r="D63" s="5">
        <v>120.0</v>
      </c>
      <c r="E63" s="5" t="s">
        <v>122</v>
      </c>
      <c r="F63" s="5" t="s">
        <v>295</v>
      </c>
      <c r="G63" s="5" t="s">
        <v>295</v>
      </c>
      <c r="H63" s="5" t="s">
        <v>295</v>
      </c>
      <c r="I63" s="11">
        <v>222.0</v>
      </c>
      <c r="J63" s="11">
        <v>34.0</v>
      </c>
      <c r="K63" s="11">
        <v>294.0</v>
      </c>
      <c r="L63" s="11">
        <v>80.0</v>
      </c>
      <c r="M63" s="11">
        <v>147.0</v>
      </c>
      <c r="N63" s="11">
        <v>26.0</v>
      </c>
      <c r="O63" s="11">
        <v>262.0</v>
      </c>
      <c r="P63" s="11">
        <v>109.0</v>
      </c>
      <c r="Q63" s="11">
        <f t="shared" si="1"/>
        <v>256</v>
      </c>
      <c r="R63" s="11">
        <f t="shared" si="2"/>
        <v>374</v>
      </c>
      <c r="S63" s="11">
        <f t="shared" si="3"/>
        <v>173</v>
      </c>
      <c r="T63" s="11">
        <f t="shared" si="4"/>
        <v>371</v>
      </c>
      <c r="U63" s="10">
        <f>IF(Q63&gt;0,(I63/Q63-District!$B$4)*100,"")</f>
        <v>33.30651637</v>
      </c>
      <c r="V63" s="10">
        <f>IF(R63&gt;0,(K63/R63-District!$B$5)*100,"")</f>
        <v>28.85965408</v>
      </c>
      <c r="W63" s="10">
        <f>IF(S63&gt;0,(M63/S63-District!$B$6)*100,"")</f>
        <v>33.98807756</v>
      </c>
      <c r="X63" s="10">
        <f>IF(T63&gt;0,(O63/T63-District!$B$7)*100,"")</f>
        <v>21.12352395</v>
      </c>
      <c r="Y63" s="28" t="str">
        <f t="shared" si="5"/>
        <v/>
      </c>
      <c r="Z63" s="5" t="str">
        <f t="shared" si="6"/>
        <v/>
      </c>
      <c r="AA63" s="28" t="str">
        <f t="shared" si="7"/>
        <v/>
      </c>
      <c r="AB63" s="5" t="str">
        <f t="shared" si="8"/>
        <v/>
      </c>
      <c r="AC63" s="28" t="str">
        <f t="shared" si="9"/>
        <v/>
      </c>
      <c r="AD63" s="5" t="str">
        <f t="shared" si="10"/>
        <v/>
      </c>
    </row>
    <row r="64" ht="15.75" customHeight="1">
      <c r="A64" s="5" t="s">
        <v>673</v>
      </c>
      <c r="B64" s="5" t="s">
        <v>234</v>
      </c>
      <c r="C64" s="5" t="s">
        <v>236</v>
      </c>
      <c r="D64" s="5">
        <v>130.0</v>
      </c>
      <c r="E64" s="5" t="s">
        <v>122</v>
      </c>
      <c r="F64" s="5" t="s">
        <v>296</v>
      </c>
      <c r="G64" s="5" t="s">
        <v>296</v>
      </c>
      <c r="H64" s="5" t="s">
        <v>296</v>
      </c>
      <c r="I64" s="11">
        <v>290.0</v>
      </c>
      <c r="J64" s="11">
        <v>42.0</v>
      </c>
      <c r="K64" s="11">
        <v>482.0</v>
      </c>
      <c r="L64" s="11">
        <v>138.0</v>
      </c>
      <c r="M64" s="11">
        <v>220.0</v>
      </c>
      <c r="N64" s="11">
        <v>55.0</v>
      </c>
      <c r="O64" s="11">
        <v>424.0</v>
      </c>
      <c r="P64" s="11">
        <v>151.0</v>
      </c>
      <c r="Q64" s="11">
        <f t="shared" si="1"/>
        <v>332</v>
      </c>
      <c r="R64" s="11">
        <f t="shared" si="2"/>
        <v>620</v>
      </c>
      <c r="S64" s="11">
        <f t="shared" si="3"/>
        <v>275</v>
      </c>
      <c r="T64" s="11">
        <f t="shared" si="4"/>
        <v>575</v>
      </c>
      <c r="U64" s="10">
        <f>IF(Q64&gt;0,(I64/Q64-District!$B$4)*100,"")</f>
        <v>33.93716396</v>
      </c>
      <c r="V64" s="10">
        <f>IF(R64&gt;0,(K64/R64-District!$B$5)*100,"")</f>
        <v>27.9919639</v>
      </c>
      <c r="W64" s="10">
        <f>IF(S64&gt;0,(M64/S64-District!$B$6)*100,"")</f>
        <v>29.0169793</v>
      </c>
      <c r="X64" s="10">
        <f>IF(T64&gt;0,(O64/T64-District!$B$7)*100,"")</f>
        <v>24.24270829</v>
      </c>
      <c r="Y64" s="28">
        <f t="shared" si="5"/>
        <v>33.93716334</v>
      </c>
      <c r="Z64" s="5">
        <f t="shared" si="6"/>
        <v>289</v>
      </c>
      <c r="AA64" s="28" t="str">
        <f t="shared" si="7"/>
        <v/>
      </c>
      <c r="AB64" s="5" t="str">
        <f t="shared" si="8"/>
        <v/>
      </c>
      <c r="AC64" s="28" t="str">
        <f t="shared" si="9"/>
        <v/>
      </c>
      <c r="AD64" s="5" t="str">
        <f t="shared" si="10"/>
        <v/>
      </c>
    </row>
    <row r="65" ht="15.75" customHeight="1">
      <c r="A65" s="5" t="s">
        <v>674</v>
      </c>
      <c r="B65" s="5" t="s">
        <v>234</v>
      </c>
      <c r="C65" s="5" t="s">
        <v>236</v>
      </c>
      <c r="D65" s="5">
        <v>140.0</v>
      </c>
      <c r="E65" s="5" t="s">
        <v>122</v>
      </c>
      <c r="F65" s="5" t="s">
        <v>297</v>
      </c>
      <c r="G65" s="5" t="s">
        <v>297</v>
      </c>
      <c r="H65" s="5" t="s">
        <v>297</v>
      </c>
      <c r="I65" s="11">
        <v>426.0</v>
      </c>
      <c r="J65" s="11">
        <v>127.0</v>
      </c>
      <c r="K65" s="11">
        <v>571.0</v>
      </c>
      <c r="L65" s="11">
        <v>240.0</v>
      </c>
      <c r="M65" s="11">
        <v>338.0</v>
      </c>
      <c r="N65" s="11">
        <v>159.0</v>
      </c>
      <c r="O65" s="11">
        <v>565.0</v>
      </c>
      <c r="P65" s="11">
        <v>277.0</v>
      </c>
      <c r="Q65" s="11">
        <f t="shared" si="1"/>
        <v>553</v>
      </c>
      <c r="R65" s="11">
        <f t="shared" si="2"/>
        <v>811</v>
      </c>
      <c r="S65" s="11">
        <f t="shared" si="3"/>
        <v>497</v>
      </c>
      <c r="T65" s="11">
        <f t="shared" si="4"/>
        <v>842</v>
      </c>
      <c r="U65" s="10">
        <f>IF(Q65&gt;0,(I65/Q65-District!$B$4)*100,"")</f>
        <v>23.62212442</v>
      </c>
      <c r="V65" s="10">
        <f>IF(R65&gt;0,(K65/R65-District!$B$5)*100,"")</f>
        <v>20.65693347</v>
      </c>
      <c r="W65" s="10">
        <f>IF(S65&gt;0,(M65/S65-District!$B$6)*100,"")</f>
        <v>17.02502759</v>
      </c>
      <c r="X65" s="10">
        <f>IF(T65&gt;0,(O65/T65-District!$B$7)*100,"")</f>
        <v>17.60571562</v>
      </c>
      <c r="Y65" s="28">
        <f t="shared" si="5"/>
        <v>23.62212361</v>
      </c>
      <c r="Z65" s="5">
        <f t="shared" si="6"/>
        <v>258</v>
      </c>
      <c r="AA65" s="28">
        <f t="shared" si="7"/>
        <v>20.65693297</v>
      </c>
      <c r="AB65" s="5">
        <f t="shared" si="8"/>
        <v>218</v>
      </c>
      <c r="AC65" s="28">
        <f t="shared" si="9"/>
        <v>17.60571478</v>
      </c>
      <c r="AD65" s="5">
        <f t="shared" si="10"/>
        <v>217</v>
      </c>
    </row>
    <row r="66" ht="15.75" customHeight="1">
      <c r="A66" s="5" t="s">
        <v>675</v>
      </c>
      <c r="B66" s="5" t="s">
        <v>234</v>
      </c>
      <c r="C66" s="5" t="s">
        <v>236</v>
      </c>
      <c r="D66" s="5">
        <v>150.0</v>
      </c>
      <c r="E66" s="5" t="s">
        <v>122</v>
      </c>
      <c r="F66" s="5" t="s">
        <v>298</v>
      </c>
      <c r="G66" s="5" t="s">
        <v>298</v>
      </c>
      <c r="H66" s="5" t="s">
        <v>298</v>
      </c>
      <c r="I66" s="11">
        <v>214.0</v>
      </c>
      <c r="J66" s="11">
        <v>51.0</v>
      </c>
      <c r="K66" s="11">
        <v>266.0</v>
      </c>
      <c r="L66" s="11">
        <v>86.0</v>
      </c>
      <c r="M66" s="11">
        <v>158.0</v>
      </c>
      <c r="N66" s="11">
        <v>60.0</v>
      </c>
      <c r="O66" s="11">
        <v>260.0</v>
      </c>
      <c r="P66" s="11">
        <v>121.0</v>
      </c>
      <c r="Q66" s="11">
        <f t="shared" si="1"/>
        <v>265</v>
      </c>
      <c r="R66" s="11">
        <f t="shared" si="2"/>
        <v>352</v>
      </c>
      <c r="S66" s="11">
        <f t="shared" si="3"/>
        <v>218</v>
      </c>
      <c r="T66" s="11">
        <f t="shared" si="4"/>
        <v>381</v>
      </c>
      <c r="U66" s="10">
        <f>IF(Q66&gt;0,(I66/Q66-District!$B$4)*100,"")</f>
        <v>27.34248336</v>
      </c>
      <c r="V66" s="10">
        <f>IF(R66&gt;0,(K66/R66-District!$B$5)*100,"")</f>
        <v>25.81821023</v>
      </c>
      <c r="W66" s="10">
        <f>IF(S66&gt;0,(M66/S66-District!$B$6)*100,"")</f>
        <v>21.49404352</v>
      </c>
      <c r="X66" s="10">
        <f>IF(T66&gt;0,(O66/T66-District!$B$7)*100,"")</f>
        <v>18.74504767</v>
      </c>
      <c r="Y66" s="28" t="str">
        <f t="shared" si="5"/>
        <v/>
      </c>
      <c r="Z66" s="5" t="str">
        <f t="shared" si="6"/>
        <v/>
      </c>
      <c r="AA66" s="28" t="str">
        <f t="shared" si="7"/>
        <v/>
      </c>
      <c r="AB66" s="5" t="str">
        <f t="shared" si="8"/>
        <v/>
      </c>
      <c r="AC66" s="28" t="str">
        <f t="shared" si="9"/>
        <v/>
      </c>
      <c r="AD66" s="5" t="str">
        <f t="shared" si="10"/>
        <v/>
      </c>
    </row>
    <row r="67" ht="15.75" customHeight="1">
      <c r="A67" s="5" t="s">
        <v>676</v>
      </c>
      <c r="B67" s="5" t="s">
        <v>234</v>
      </c>
      <c r="C67" s="5" t="s">
        <v>236</v>
      </c>
      <c r="D67" s="5">
        <v>160.0</v>
      </c>
      <c r="E67" s="5" t="s">
        <v>122</v>
      </c>
      <c r="F67" s="5" t="s">
        <v>299</v>
      </c>
      <c r="G67" s="5" t="s">
        <v>299</v>
      </c>
      <c r="H67" s="5" t="s">
        <v>299</v>
      </c>
      <c r="I67" s="11">
        <v>296.0</v>
      </c>
      <c r="J67" s="11">
        <v>45.0</v>
      </c>
      <c r="K67" s="11">
        <v>384.0</v>
      </c>
      <c r="L67" s="11">
        <v>111.0</v>
      </c>
      <c r="M67" s="11">
        <v>180.0</v>
      </c>
      <c r="N67" s="11">
        <v>58.0</v>
      </c>
      <c r="O67" s="11">
        <v>317.0</v>
      </c>
      <c r="P67" s="11">
        <v>152.0</v>
      </c>
      <c r="Q67" s="11">
        <f t="shared" si="1"/>
        <v>341</v>
      </c>
      <c r="R67" s="11">
        <f t="shared" si="2"/>
        <v>495</v>
      </c>
      <c r="S67" s="11">
        <f t="shared" si="3"/>
        <v>238</v>
      </c>
      <c r="T67" s="11">
        <f t="shared" si="4"/>
        <v>469</v>
      </c>
      <c r="U67" s="10">
        <f>IF(Q67&gt;0,(I67/Q67-District!$B$4)*100,"")</f>
        <v>33.39128544</v>
      </c>
      <c r="V67" s="10">
        <f>IF(R67&gt;0,(K67/R67-District!$B$5)*100,"")</f>
        <v>27.82578599</v>
      </c>
      <c r="W67" s="10">
        <f>IF(S67&gt;0,(M67/S67-District!$B$6)*100,"")</f>
        <v>24.6472314</v>
      </c>
      <c r="X67" s="10">
        <f>IF(T67&gt;0,(O67/T67-District!$B$7)*100,"")</f>
        <v>18.09419619</v>
      </c>
      <c r="Y67" s="28">
        <f t="shared" si="5"/>
        <v>33.39128494</v>
      </c>
      <c r="Z67" s="5">
        <f t="shared" si="6"/>
        <v>287</v>
      </c>
      <c r="AA67" s="28" t="str">
        <f t="shared" si="7"/>
        <v/>
      </c>
      <c r="AB67" s="5" t="str">
        <f t="shared" si="8"/>
        <v/>
      </c>
      <c r="AC67" s="28" t="str">
        <f t="shared" si="9"/>
        <v/>
      </c>
      <c r="AD67" s="5" t="str">
        <f t="shared" si="10"/>
        <v/>
      </c>
    </row>
    <row r="68" ht="15.75" customHeight="1">
      <c r="A68" s="5" t="s">
        <v>677</v>
      </c>
      <c r="B68" s="5" t="s">
        <v>234</v>
      </c>
      <c r="C68" s="5" t="s">
        <v>236</v>
      </c>
      <c r="D68" s="5">
        <v>170.0</v>
      </c>
      <c r="E68" s="5" t="s">
        <v>122</v>
      </c>
      <c r="F68" s="5" t="s">
        <v>300</v>
      </c>
      <c r="G68" s="5" t="s">
        <v>300</v>
      </c>
      <c r="H68" s="5" t="s">
        <v>300</v>
      </c>
      <c r="I68" s="11">
        <v>329.0</v>
      </c>
      <c r="J68" s="11">
        <v>184.0</v>
      </c>
      <c r="K68" s="11">
        <v>434.0</v>
      </c>
      <c r="L68" s="11">
        <v>274.0</v>
      </c>
      <c r="M68" s="11">
        <v>275.0</v>
      </c>
      <c r="N68" s="11">
        <v>147.0</v>
      </c>
      <c r="O68" s="11">
        <v>424.0</v>
      </c>
      <c r="P68" s="11">
        <v>264.0</v>
      </c>
      <c r="Q68" s="11">
        <f t="shared" si="1"/>
        <v>513</v>
      </c>
      <c r="R68" s="11">
        <f t="shared" si="2"/>
        <v>708</v>
      </c>
      <c r="S68" s="11">
        <f t="shared" si="3"/>
        <v>422</v>
      </c>
      <c r="T68" s="11">
        <f t="shared" si="4"/>
        <v>688</v>
      </c>
      <c r="U68" s="10">
        <f>IF(Q68&gt;0,(I68/Q68-District!$B$4)*100,"")</f>
        <v>10.72031998</v>
      </c>
      <c r="V68" s="10">
        <f>IF(R68&gt;0,(K68/R68-District!$B$5)*100,"")</f>
        <v>11.54946344</v>
      </c>
      <c r="W68" s="10">
        <f>IF(S68&gt;0,(M68/S68-District!$B$6)*100,"")</f>
        <v>14.18285607</v>
      </c>
      <c r="X68" s="10">
        <f>IF(T68&gt;0,(O68/T68-District!$B$7)*100,"")</f>
        <v>12.13148483</v>
      </c>
      <c r="Y68" s="28">
        <f t="shared" si="5"/>
        <v>11.54946273</v>
      </c>
      <c r="Z68" s="5">
        <f t="shared" si="6"/>
        <v>141</v>
      </c>
      <c r="AA68" s="28">
        <f t="shared" si="7"/>
        <v>14.18285565</v>
      </c>
      <c r="AB68" s="5">
        <f t="shared" si="8"/>
        <v>162</v>
      </c>
      <c r="AC68" s="28">
        <f t="shared" si="9"/>
        <v>14.18285538</v>
      </c>
      <c r="AD68" s="5">
        <f t="shared" si="10"/>
        <v>184</v>
      </c>
    </row>
    <row r="69" ht="15.75" customHeight="1">
      <c r="A69" s="5" t="s">
        <v>678</v>
      </c>
      <c r="B69" s="5" t="s">
        <v>234</v>
      </c>
      <c r="C69" s="5" t="s">
        <v>236</v>
      </c>
      <c r="D69" s="5">
        <v>180.0</v>
      </c>
      <c r="E69" s="5" t="s">
        <v>122</v>
      </c>
      <c r="F69" s="5" t="s">
        <v>301</v>
      </c>
      <c r="G69" s="5" t="s">
        <v>301</v>
      </c>
      <c r="H69" s="5" t="s">
        <v>301</v>
      </c>
      <c r="I69" s="11">
        <v>305.0</v>
      </c>
      <c r="J69" s="11">
        <v>50.0</v>
      </c>
      <c r="K69" s="11">
        <v>461.0</v>
      </c>
      <c r="L69" s="11">
        <v>149.0</v>
      </c>
      <c r="M69" s="11">
        <v>240.0</v>
      </c>
      <c r="N69" s="11">
        <v>61.0</v>
      </c>
      <c r="O69" s="11">
        <v>469.0</v>
      </c>
      <c r="P69" s="11">
        <v>215.0</v>
      </c>
      <c r="Q69" s="11">
        <f t="shared" si="1"/>
        <v>355</v>
      </c>
      <c r="R69" s="11">
        <f t="shared" si="2"/>
        <v>610</v>
      </c>
      <c r="S69" s="11">
        <f t="shared" si="3"/>
        <v>301</v>
      </c>
      <c r="T69" s="11">
        <f t="shared" si="4"/>
        <v>684</v>
      </c>
      <c r="U69" s="10">
        <f>IF(Q69&gt;0,(I69/Q69-District!$B$4)*100,"")</f>
        <v>32.50325933</v>
      </c>
      <c r="V69" s="10">
        <f>IF(R69&gt;0,(K69/R69-District!$B$5)*100,"")</f>
        <v>25.8237989</v>
      </c>
      <c r="W69" s="10">
        <f>IF(S69&gt;0,(M69/S69-District!$B$6)*100,"")</f>
        <v>28.75119856</v>
      </c>
      <c r="X69" s="10">
        <f>IF(T69&gt;0,(O69/T69-District!$B$7)*100,"")</f>
        <v>19.07082932</v>
      </c>
      <c r="Y69" s="28">
        <f t="shared" si="5"/>
        <v>32.50325872</v>
      </c>
      <c r="Z69" s="5">
        <f t="shared" si="6"/>
        <v>283</v>
      </c>
      <c r="AA69" s="28">
        <f t="shared" si="7"/>
        <v>28.75119826</v>
      </c>
      <c r="AB69" s="5">
        <f t="shared" si="8"/>
        <v>247</v>
      </c>
      <c r="AC69" s="28">
        <f t="shared" si="9"/>
        <v>28.75119788</v>
      </c>
      <c r="AD69" s="5">
        <f t="shared" si="10"/>
        <v>287</v>
      </c>
    </row>
    <row r="70" ht="15.75" customHeight="1">
      <c r="A70" s="5" t="s">
        <v>679</v>
      </c>
      <c r="B70" s="5" t="s">
        <v>234</v>
      </c>
      <c r="C70" s="5" t="s">
        <v>236</v>
      </c>
      <c r="D70" s="5">
        <v>190.0</v>
      </c>
      <c r="E70" s="5" t="s">
        <v>122</v>
      </c>
      <c r="F70" s="5" t="s">
        <v>237</v>
      </c>
      <c r="G70" s="5" t="s">
        <v>237</v>
      </c>
      <c r="H70" s="5" t="s">
        <v>237</v>
      </c>
      <c r="I70" s="11">
        <v>342.0</v>
      </c>
      <c r="J70" s="11">
        <v>49.0</v>
      </c>
      <c r="K70" s="11">
        <v>529.0</v>
      </c>
      <c r="L70" s="11">
        <v>143.0</v>
      </c>
      <c r="M70" s="11">
        <v>264.0</v>
      </c>
      <c r="N70" s="11">
        <v>71.0</v>
      </c>
      <c r="O70" s="11">
        <v>437.0</v>
      </c>
      <c r="P70" s="11">
        <v>173.0</v>
      </c>
      <c r="Q70" s="11">
        <f t="shared" si="1"/>
        <v>391</v>
      </c>
      <c r="R70" s="11">
        <f t="shared" si="2"/>
        <v>672</v>
      </c>
      <c r="S70" s="11">
        <f t="shared" si="3"/>
        <v>335</v>
      </c>
      <c r="T70" s="11">
        <f t="shared" si="4"/>
        <v>610</v>
      </c>
      <c r="U70" s="10">
        <f>IF(Q70&gt;0,(I70/Q70-District!$B$4)*100,"")</f>
        <v>34.05579707</v>
      </c>
      <c r="V70" s="10">
        <f>IF(R70&gt;0,(K70/R70-District!$B$5)*100,"")</f>
        <v>28.97026651</v>
      </c>
      <c r="W70" s="10">
        <f>IF(S70&gt;0,(M70/S70-District!$B$6)*100,"")</f>
        <v>27.82294944</v>
      </c>
      <c r="X70" s="10">
        <f>IF(T70&gt;0,(O70/T70-District!$B$7)*100,"")</f>
        <v>22.14292212</v>
      </c>
      <c r="Y70" s="28">
        <f t="shared" si="5"/>
        <v>34.05579639</v>
      </c>
      <c r="Z70" s="5">
        <f t="shared" si="6"/>
        <v>290</v>
      </c>
      <c r="AA70" s="28">
        <f t="shared" si="7"/>
        <v>28.97026617</v>
      </c>
      <c r="AB70" s="5">
        <f t="shared" si="8"/>
        <v>249</v>
      </c>
      <c r="AC70" s="28">
        <f t="shared" si="9"/>
        <v>27.82294883</v>
      </c>
      <c r="AD70" s="5">
        <f t="shared" si="10"/>
        <v>283</v>
      </c>
    </row>
    <row r="71" ht="15.75" customHeight="1">
      <c r="A71" s="5" t="s">
        <v>680</v>
      </c>
      <c r="B71" s="5" t="s">
        <v>234</v>
      </c>
      <c r="C71" s="5" t="s">
        <v>236</v>
      </c>
      <c r="D71" s="5">
        <v>200.0</v>
      </c>
      <c r="E71" s="5" t="s">
        <v>122</v>
      </c>
      <c r="F71" s="5" t="s">
        <v>238</v>
      </c>
      <c r="G71" s="5" t="s">
        <v>238</v>
      </c>
      <c r="H71" s="5" t="s">
        <v>238</v>
      </c>
      <c r="I71" s="11">
        <v>252.0</v>
      </c>
      <c r="J71" s="11">
        <v>67.0</v>
      </c>
      <c r="K71" s="11">
        <v>369.0</v>
      </c>
      <c r="L71" s="11">
        <v>139.0</v>
      </c>
      <c r="M71" s="11">
        <v>152.0</v>
      </c>
      <c r="N71" s="11">
        <v>57.0</v>
      </c>
      <c r="O71" s="11">
        <v>328.0</v>
      </c>
      <c r="P71" s="11">
        <v>173.0</v>
      </c>
      <c r="Q71" s="11">
        <f t="shared" si="1"/>
        <v>319</v>
      </c>
      <c r="R71" s="11">
        <f t="shared" si="2"/>
        <v>508</v>
      </c>
      <c r="S71" s="11">
        <f t="shared" si="3"/>
        <v>209</v>
      </c>
      <c r="T71" s="11">
        <f t="shared" si="4"/>
        <v>501</v>
      </c>
      <c r="U71" s="10">
        <f>IF(Q71&gt;0,(I71/Q71-District!$B$4)*100,"")</f>
        <v>25.58463158</v>
      </c>
      <c r="V71" s="10">
        <f>IF(R71&gt;0,(K71/R71-District!$B$5)*100,"")</f>
        <v>22.88782369</v>
      </c>
      <c r="W71" s="10">
        <f>IF(S71&gt;0,(M71/S71-District!$B$6)*100,"")</f>
        <v>21.74425202</v>
      </c>
      <c r="X71" s="10">
        <f>IF(T71&gt;0,(O71/T71-District!$B$7)*100,"")</f>
        <v>15.97263973</v>
      </c>
      <c r="Y71" s="28">
        <f t="shared" si="5"/>
        <v>25.58463107</v>
      </c>
      <c r="Z71" s="5">
        <f t="shared" si="6"/>
        <v>265</v>
      </c>
      <c r="AA71" s="28" t="str">
        <f t="shared" si="7"/>
        <v/>
      </c>
      <c r="AB71" s="5" t="str">
        <f t="shared" si="8"/>
        <v/>
      </c>
      <c r="AC71" s="28" t="str">
        <f t="shared" si="9"/>
        <v/>
      </c>
      <c r="AD71" s="5" t="str">
        <f t="shared" si="10"/>
        <v/>
      </c>
    </row>
    <row r="72" ht="15.75" customHeight="1">
      <c r="A72" s="5" t="s">
        <v>681</v>
      </c>
      <c r="B72" s="5" t="s">
        <v>234</v>
      </c>
      <c r="C72" s="5" t="s">
        <v>236</v>
      </c>
      <c r="D72" s="5">
        <v>210.0</v>
      </c>
      <c r="E72" s="5" t="s">
        <v>122</v>
      </c>
      <c r="F72" s="5" t="s">
        <v>239</v>
      </c>
      <c r="G72" s="5" t="s">
        <v>239</v>
      </c>
      <c r="H72" s="5" t="s">
        <v>239</v>
      </c>
      <c r="I72" s="11">
        <v>267.0</v>
      </c>
      <c r="J72" s="11">
        <v>48.0</v>
      </c>
      <c r="K72" s="11">
        <v>400.0</v>
      </c>
      <c r="L72" s="11">
        <v>117.0</v>
      </c>
      <c r="M72" s="11">
        <v>191.0</v>
      </c>
      <c r="N72" s="11">
        <v>48.0</v>
      </c>
      <c r="O72" s="11">
        <v>347.0</v>
      </c>
      <c r="P72" s="11">
        <v>147.0</v>
      </c>
      <c r="Q72" s="11">
        <f t="shared" si="1"/>
        <v>315</v>
      </c>
      <c r="R72" s="11">
        <f t="shared" si="2"/>
        <v>517</v>
      </c>
      <c r="S72" s="11">
        <f t="shared" si="3"/>
        <v>239</v>
      </c>
      <c r="T72" s="11">
        <f t="shared" si="4"/>
        <v>494</v>
      </c>
      <c r="U72" s="10">
        <f>IF(Q72&gt;0,(I72/Q72-District!$B$4)*100,"")</f>
        <v>31.34967114</v>
      </c>
      <c r="V72" s="10">
        <f>IF(R72&gt;0,(K72/R72-District!$B$5)*100,"")</f>
        <v>27.61946748</v>
      </c>
      <c r="W72" s="10">
        <f>IF(S72&gt;0,(M72/S72-District!$B$6)*100,"")</f>
        <v>28.93329729</v>
      </c>
      <c r="X72" s="10">
        <f>IF(T72&gt;0,(O72/T72-District!$B$7)*100,"")</f>
        <v>20.74649284</v>
      </c>
      <c r="Y72" s="28">
        <f t="shared" si="5"/>
        <v>31.34967062</v>
      </c>
      <c r="Z72" s="5">
        <f t="shared" si="6"/>
        <v>280</v>
      </c>
      <c r="AA72" s="28" t="str">
        <f t="shared" si="7"/>
        <v/>
      </c>
      <c r="AB72" s="5" t="str">
        <f t="shared" si="8"/>
        <v/>
      </c>
      <c r="AC72" s="28" t="str">
        <f t="shared" si="9"/>
        <v/>
      </c>
      <c r="AD72" s="5" t="str">
        <f t="shared" si="10"/>
        <v/>
      </c>
    </row>
    <row r="73" ht="15.75" customHeight="1">
      <c r="A73" s="5" t="s">
        <v>682</v>
      </c>
      <c r="B73" s="5" t="s">
        <v>234</v>
      </c>
      <c r="C73" s="5" t="s">
        <v>236</v>
      </c>
      <c r="D73" s="5">
        <v>220.0</v>
      </c>
      <c r="E73" s="5" t="s">
        <v>122</v>
      </c>
      <c r="F73" s="5" t="s">
        <v>240</v>
      </c>
      <c r="G73" s="5" t="s">
        <v>240</v>
      </c>
      <c r="H73" s="5" t="s">
        <v>240</v>
      </c>
      <c r="I73" s="11">
        <v>234.0</v>
      </c>
      <c r="J73" s="11">
        <v>69.0</v>
      </c>
      <c r="K73" s="11">
        <v>341.0</v>
      </c>
      <c r="L73" s="11">
        <v>128.0</v>
      </c>
      <c r="M73" s="11">
        <v>182.0</v>
      </c>
      <c r="N73" s="11">
        <v>56.0</v>
      </c>
      <c r="O73" s="11">
        <v>314.0</v>
      </c>
      <c r="P73" s="11">
        <v>149.0</v>
      </c>
      <c r="Q73" s="11">
        <f t="shared" si="1"/>
        <v>303</v>
      </c>
      <c r="R73" s="11">
        <f t="shared" si="2"/>
        <v>469</v>
      </c>
      <c r="S73" s="11">
        <f t="shared" si="3"/>
        <v>238</v>
      </c>
      <c r="T73" s="11">
        <f t="shared" si="4"/>
        <v>463</v>
      </c>
      <c r="U73" s="10">
        <f>IF(Q73&gt;0,(I73/Q73-District!$B$4)*100,"")</f>
        <v>23.81548915</v>
      </c>
      <c r="V73" s="10">
        <f>IF(R73&gt;0,(K73/R73-District!$B$5)*100,"")</f>
        <v>22.95791754</v>
      </c>
      <c r="W73" s="10">
        <f>IF(S73&gt;0,(M73/S73-District!$B$6)*100,"")</f>
        <v>25.48756753</v>
      </c>
      <c r="X73" s="10">
        <f>IF(T73&gt;0,(O73/T73-District!$B$7)*100,"")</f>
        <v>18.32215237</v>
      </c>
      <c r="Y73" s="28">
        <f t="shared" si="5"/>
        <v>23.81548868</v>
      </c>
      <c r="Z73" s="5">
        <f t="shared" si="6"/>
        <v>260</v>
      </c>
      <c r="AA73" s="28" t="str">
        <f t="shared" si="7"/>
        <v/>
      </c>
      <c r="AB73" s="5" t="str">
        <f t="shared" si="8"/>
        <v/>
      </c>
      <c r="AC73" s="28" t="str">
        <f t="shared" si="9"/>
        <v/>
      </c>
      <c r="AD73" s="5" t="str">
        <f t="shared" si="10"/>
        <v/>
      </c>
    </row>
    <row r="74" ht="15.75" customHeight="1">
      <c r="A74" s="5" t="s">
        <v>683</v>
      </c>
      <c r="B74" s="5" t="s">
        <v>234</v>
      </c>
      <c r="C74" s="5" t="s">
        <v>236</v>
      </c>
      <c r="D74" s="5">
        <v>230.0</v>
      </c>
      <c r="E74" s="5" t="s">
        <v>122</v>
      </c>
      <c r="F74" s="5" t="s">
        <v>241</v>
      </c>
      <c r="G74" s="5" t="s">
        <v>241</v>
      </c>
      <c r="H74" s="5" t="s">
        <v>241</v>
      </c>
      <c r="I74" s="11">
        <v>297.0</v>
      </c>
      <c r="J74" s="11">
        <v>58.0</v>
      </c>
      <c r="K74" s="11">
        <v>422.0</v>
      </c>
      <c r="L74" s="11">
        <v>126.0</v>
      </c>
      <c r="M74" s="11">
        <v>182.0</v>
      </c>
      <c r="N74" s="11">
        <v>50.0</v>
      </c>
      <c r="O74" s="11">
        <v>364.0</v>
      </c>
      <c r="P74" s="11">
        <v>137.0</v>
      </c>
      <c r="Q74" s="11">
        <f t="shared" si="1"/>
        <v>355</v>
      </c>
      <c r="R74" s="11">
        <f t="shared" si="2"/>
        <v>548</v>
      </c>
      <c r="S74" s="11">
        <f t="shared" si="3"/>
        <v>232</v>
      </c>
      <c r="T74" s="11">
        <f t="shared" si="4"/>
        <v>501</v>
      </c>
      <c r="U74" s="10">
        <f>IF(Q74&gt;0,(I74/Q74-District!$B$4)*100,"")</f>
        <v>30.24973821</v>
      </c>
      <c r="V74" s="10">
        <f>IF(R74&gt;0,(K74/R74-District!$B$5)*100,"")</f>
        <v>27.25732768</v>
      </c>
      <c r="W74" s="10">
        <f>IF(S74&gt;0,(M74/S74-District!$B$6)*100,"")</f>
        <v>27.46525516</v>
      </c>
      <c r="X74" s="10">
        <f>IF(T74&gt;0,(O74/T74-District!$B$7)*100,"")</f>
        <v>23.15826848</v>
      </c>
      <c r="Y74" s="28">
        <f t="shared" si="5"/>
        <v>30.24973766</v>
      </c>
      <c r="Z74" s="5">
        <f t="shared" si="6"/>
        <v>276</v>
      </c>
      <c r="AA74" s="28" t="str">
        <f t="shared" si="7"/>
        <v/>
      </c>
      <c r="AB74" s="5" t="str">
        <f t="shared" si="8"/>
        <v/>
      </c>
      <c r="AC74" s="28" t="str">
        <f t="shared" si="9"/>
        <v/>
      </c>
      <c r="AD74" s="5" t="str">
        <f t="shared" si="10"/>
        <v/>
      </c>
    </row>
    <row r="75" ht="15.75" customHeight="1">
      <c r="A75" s="5" t="s">
        <v>684</v>
      </c>
      <c r="B75" s="5" t="s">
        <v>234</v>
      </c>
      <c r="C75" s="5" t="s">
        <v>236</v>
      </c>
      <c r="D75" s="5">
        <v>240.0</v>
      </c>
      <c r="E75" s="5" t="s">
        <v>122</v>
      </c>
      <c r="F75" s="5" t="s">
        <v>242</v>
      </c>
      <c r="G75" s="5" t="s">
        <v>242</v>
      </c>
      <c r="H75" s="5" t="s">
        <v>242</v>
      </c>
      <c r="I75" s="11">
        <v>365.0</v>
      </c>
      <c r="J75" s="11">
        <v>93.0</v>
      </c>
      <c r="K75" s="11">
        <v>469.0</v>
      </c>
      <c r="L75" s="11">
        <v>178.0</v>
      </c>
      <c r="M75" s="11">
        <v>258.0</v>
      </c>
      <c r="N75" s="11">
        <v>100.0</v>
      </c>
      <c r="O75" s="11">
        <v>399.0</v>
      </c>
      <c r="P75" s="11">
        <v>171.0</v>
      </c>
      <c r="Q75" s="11">
        <f t="shared" si="1"/>
        <v>458</v>
      </c>
      <c r="R75" s="11">
        <f t="shared" si="2"/>
        <v>647</v>
      </c>
      <c r="S75" s="11">
        <f t="shared" si="3"/>
        <v>358</v>
      </c>
      <c r="T75" s="11">
        <f t="shared" si="4"/>
        <v>570</v>
      </c>
      <c r="U75" s="10">
        <f>IF(Q75&gt;0,(I75/Q75-District!$B$4)*100,"")</f>
        <v>26.28208952</v>
      </c>
      <c r="V75" s="10">
        <f>IF(R75&gt;0,(K75/R75-District!$B$5)*100,"")</f>
        <v>22.73843645</v>
      </c>
      <c r="W75" s="10">
        <f>IF(S75&gt;0,(M75/S75-District!$B$6)*100,"")</f>
        <v>21.0840184</v>
      </c>
      <c r="X75" s="10">
        <f>IF(T75&gt;0,(O75/T75-District!$B$7)*100,"")</f>
        <v>20.50357786</v>
      </c>
      <c r="Y75" s="28">
        <f t="shared" si="5"/>
        <v>26.28208887</v>
      </c>
      <c r="Z75" s="5">
        <f t="shared" si="6"/>
        <v>268</v>
      </c>
      <c r="AA75" s="28">
        <f t="shared" si="7"/>
        <v>22.73843609</v>
      </c>
      <c r="AB75" s="5">
        <f t="shared" si="8"/>
        <v>228</v>
      </c>
      <c r="AC75" s="28">
        <f t="shared" si="9"/>
        <v>21.08401783</v>
      </c>
      <c r="AD75" s="5">
        <f t="shared" si="10"/>
        <v>249</v>
      </c>
    </row>
    <row r="76" ht="15.75" customHeight="1">
      <c r="A76" s="5" t="s">
        <v>685</v>
      </c>
      <c r="B76" s="5" t="s">
        <v>234</v>
      </c>
      <c r="C76" s="5" t="s">
        <v>236</v>
      </c>
      <c r="D76" s="5">
        <v>250.0</v>
      </c>
      <c r="E76" s="5" t="s">
        <v>122</v>
      </c>
      <c r="F76" s="5" t="s">
        <v>243</v>
      </c>
      <c r="G76" s="5" t="s">
        <v>243</v>
      </c>
      <c r="H76" s="5" t="s">
        <v>243</v>
      </c>
      <c r="I76" s="11">
        <v>755.0</v>
      </c>
      <c r="J76" s="11">
        <v>169.0</v>
      </c>
      <c r="K76" s="11">
        <v>795.0</v>
      </c>
      <c r="L76" s="11">
        <v>250.0</v>
      </c>
      <c r="M76" s="11">
        <v>611.0</v>
      </c>
      <c r="N76" s="11">
        <v>154.0</v>
      </c>
      <c r="O76" s="11">
        <v>1034.0</v>
      </c>
      <c r="P76" s="11">
        <v>285.0</v>
      </c>
      <c r="Q76" s="11">
        <f t="shared" si="1"/>
        <v>924</v>
      </c>
      <c r="R76" s="11">
        <f t="shared" si="2"/>
        <v>1045</v>
      </c>
      <c r="S76" s="11">
        <f t="shared" si="3"/>
        <v>765</v>
      </c>
      <c r="T76" s="11">
        <f t="shared" si="4"/>
        <v>1319</v>
      </c>
      <c r="U76" s="10">
        <f>IF(Q76&gt;0,(I76/Q76-District!$B$4)*100,"")</f>
        <v>28.29772308</v>
      </c>
      <c r="V76" s="10">
        <f>IF(R76&gt;0,(K76/R76-District!$B$5)*100,"")</f>
        <v>26.32658344</v>
      </c>
      <c r="W76" s="10">
        <f>IF(S76&gt;0,(M76/S76-District!$B$6)*100,"")</f>
        <v>28.88626034</v>
      </c>
      <c r="X76" s="10">
        <f>IF(T76&gt;0,(O76/T76-District!$B$7)*100,"")</f>
        <v>28.89629962</v>
      </c>
      <c r="Y76" s="28">
        <f t="shared" si="5"/>
        <v>28.29772204</v>
      </c>
      <c r="Z76" s="5">
        <f t="shared" si="6"/>
        <v>272</v>
      </c>
      <c r="AA76" s="28">
        <f t="shared" si="7"/>
        <v>28.88625958</v>
      </c>
      <c r="AB76" s="5">
        <f t="shared" si="8"/>
        <v>248</v>
      </c>
      <c r="AC76" s="28">
        <f t="shared" si="9"/>
        <v>28.8962983</v>
      </c>
      <c r="AD76" s="5">
        <f t="shared" si="10"/>
        <v>288</v>
      </c>
    </row>
    <row r="77" ht="15.75" customHeight="1">
      <c r="A77" s="5" t="s">
        <v>686</v>
      </c>
      <c r="B77" s="5" t="s">
        <v>234</v>
      </c>
      <c r="C77" s="5" t="s">
        <v>236</v>
      </c>
      <c r="D77" s="5">
        <v>260.0</v>
      </c>
      <c r="E77" s="5" t="s">
        <v>122</v>
      </c>
      <c r="F77" s="5" t="s">
        <v>244</v>
      </c>
      <c r="G77" s="5" t="s">
        <v>244</v>
      </c>
      <c r="H77" s="5" t="s">
        <v>244</v>
      </c>
      <c r="I77" s="11">
        <v>301.0</v>
      </c>
      <c r="J77" s="11">
        <v>128.0</v>
      </c>
      <c r="K77" s="11">
        <v>386.0</v>
      </c>
      <c r="L77" s="11">
        <v>215.0</v>
      </c>
      <c r="M77" s="11">
        <v>280.0</v>
      </c>
      <c r="N77" s="11">
        <v>119.0</v>
      </c>
      <c r="O77" s="11">
        <v>377.0</v>
      </c>
      <c r="P77" s="11">
        <v>190.0</v>
      </c>
      <c r="Q77" s="11">
        <f t="shared" si="1"/>
        <v>429</v>
      </c>
      <c r="R77" s="11">
        <f t="shared" si="2"/>
        <v>601</v>
      </c>
      <c r="S77" s="11">
        <f t="shared" si="3"/>
        <v>399</v>
      </c>
      <c r="T77" s="11">
        <f t="shared" si="4"/>
        <v>567</v>
      </c>
      <c r="U77" s="10">
        <f>IF(Q77&gt;0,(I77/Q77-District!$B$4)*100,"")</f>
        <v>16.75093654</v>
      </c>
      <c r="V77" s="10">
        <f>IF(R77&gt;0,(K77/R77-District!$B$5)*100,"")</f>
        <v>14.47631793</v>
      </c>
      <c r="W77" s="10">
        <f>IF(S77&gt;0,(M77/S77-District!$B$6)*100,"")</f>
        <v>19.19241789</v>
      </c>
      <c r="X77" s="10">
        <f>IF(T77&gt;0,(O77/T77-District!$B$7)*100,"")</f>
        <v>16.99387768</v>
      </c>
      <c r="Y77" s="28">
        <f t="shared" si="5"/>
        <v>16.75093594</v>
      </c>
      <c r="Z77" s="5">
        <f t="shared" si="6"/>
        <v>198</v>
      </c>
      <c r="AA77" s="28">
        <f t="shared" si="7"/>
        <v>19.19241749</v>
      </c>
      <c r="AB77" s="5">
        <f t="shared" si="8"/>
        <v>206</v>
      </c>
      <c r="AC77" s="28">
        <f t="shared" si="9"/>
        <v>19.19241732</v>
      </c>
      <c r="AD77" s="5">
        <f t="shared" si="10"/>
        <v>234</v>
      </c>
    </row>
    <row r="78" ht="15.75" customHeight="1">
      <c r="A78" s="5" t="s">
        <v>687</v>
      </c>
      <c r="B78" s="5" t="s">
        <v>234</v>
      </c>
      <c r="C78" s="5" t="s">
        <v>236</v>
      </c>
      <c r="D78" s="5">
        <v>270.0</v>
      </c>
      <c r="E78" s="5" t="s">
        <v>122</v>
      </c>
      <c r="F78" s="5" t="s">
        <v>245</v>
      </c>
      <c r="G78" s="5" t="s">
        <v>245</v>
      </c>
      <c r="H78" s="5" t="s">
        <v>245</v>
      </c>
      <c r="I78" s="11">
        <v>484.0</v>
      </c>
      <c r="J78" s="11">
        <v>251.0</v>
      </c>
      <c r="K78" s="11">
        <v>626.0</v>
      </c>
      <c r="L78" s="11">
        <v>372.0</v>
      </c>
      <c r="M78" s="11">
        <v>425.0</v>
      </c>
      <c r="N78" s="11">
        <v>264.0</v>
      </c>
      <c r="O78" s="11">
        <v>619.0</v>
      </c>
      <c r="P78" s="11">
        <v>400.0</v>
      </c>
      <c r="Q78" s="11">
        <f t="shared" si="1"/>
        <v>735</v>
      </c>
      <c r="R78" s="11">
        <f t="shared" si="2"/>
        <v>998</v>
      </c>
      <c r="S78" s="11">
        <f t="shared" si="3"/>
        <v>689</v>
      </c>
      <c r="T78" s="11">
        <f t="shared" si="4"/>
        <v>1019</v>
      </c>
      <c r="U78" s="10">
        <f>IF(Q78&gt;0,(I78/Q78-District!$B$4)*100,"")</f>
        <v>12.43810651</v>
      </c>
      <c r="V78" s="10">
        <f>IF(R78&gt;0,(K78/R78-District!$B$5)*100,"")</f>
        <v>12.97547931</v>
      </c>
      <c r="W78" s="10">
        <f>IF(S78&gt;0,(M78/S78-District!$B$6)*100,"")</f>
        <v>10.70057871</v>
      </c>
      <c r="X78" s="10">
        <f>IF(T78&gt;0,(O78/T78-District!$B$7)*100,"")</f>
        <v>11.2494071</v>
      </c>
      <c r="Y78" s="28">
        <f t="shared" si="5"/>
        <v>12.97547832</v>
      </c>
      <c r="Z78" s="5">
        <f t="shared" si="6"/>
        <v>155</v>
      </c>
      <c r="AA78" s="28">
        <f t="shared" si="7"/>
        <v>12.97547863</v>
      </c>
      <c r="AB78" s="5">
        <f t="shared" si="8"/>
        <v>151</v>
      </c>
      <c r="AC78" s="28">
        <f t="shared" si="9"/>
        <v>11.24940608</v>
      </c>
      <c r="AD78" s="5">
        <f t="shared" si="10"/>
        <v>153</v>
      </c>
    </row>
    <row r="79" ht="15.75" customHeight="1">
      <c r="A79" s="5" t="s">
        <v>688</v>
      </c>
      <c r="B79" s="5" t="s">
        <v>234</v>
      </c>
      <c r="C79" s="5" t="s">
        <v>236</v>
      </c>
      <c r="D79" s="5">
        <v>280.0</v>
      </c>
      <c r="E79" s="5" t="s">
        <v>122</v>
      </c>
      <c r="F79" s="5" t="s">
        <v>246</v>
      </c>
      <c r="G79" s="5" t="s">
        <v>246</v>
      </c>
      <c r="H79" s="5" t="s">
        <v>246</v>
      </c>
      <c r="I79" s="11">
        <v>355.0</v>
      </c>
      <c r="J79" s="11">
        <v>190.0</v>
      </c>
      <c r="K79" s="11">
        <v>448.0</v>
      </c>
      <c r="L79" s="11">
        <v>263.0</v>
      </c>
      <c r="M79" s="11">
        <v>339.0</v>
      </c>
      <c r="N79" s="11">
        <v>205.0</v>
      </c>
      <c r="O79" s="11">
        <v>438.0</v>
      </c>
      <c r="P79" s="11">
        <v>259.0</v>
      </c>
      <c r="Q79" s="11">
        <f t="shared" si="1"/>
        <v>545</v>
      </c>
      <c r="R79" s="11">
        <f t="shared" si="2"/>
        <v>711</v>
      </c>
      <c r="S79" s="11">
        <f t="shared" si="3"/>
        <v>544</v>
      </c>
      <c r="T79" s="11">
        <f t="shared" si="4"/>
        <v>697</v>
      </c>
      <c r="U79" s="10">
        <f>IF(Q79&gt;0,(I79/Q79-District!$B$4)*100,"")</f>
        <v>11.72538105</v>
      </c>
      <c r="V79" s="10">
        <f>IF(R79&gt;0,(K79/R79-District!$B$5)*100,"")</f>
        <v>13.2598737</v>
      </c>
      <c r="W79" s="10">
        <f>IF(S79&gt;0,(M79/S79-District!$B$6)*100,"")</f>
        <v>11.33315577</v>
      </c>
      <c r="X79" s="10">
        <f>IF(T79&gt;0,(O79/T79-District!$B$7)*100,"")</f>
        <v>13.34432391</v>
      </c>
      <c r="Y79" s="28">
        <f t="shared" si="5"/>
        <v>13.25987299</v>
      </c>
      <c r="Z79" s="5">
        <f t="shared" si="6"/>
        <v>162</v>
      </c>
      <c r="AA79" s="28">
        <f t="shared" si="7"/>
        <v>13.25987316</v>
      </c>
      <c r="AB79" s="5">
        <f t="shared" si="8"/>
        <v>157</v>
      </c>
      <c r="AC79" s="28">
        <f t="shared" si="9"/>
        <v>13.34432321</v>
      </c>
      <c r="AD79" s="5">
        <f t="shared" si="10"/>
        <v>176</v>
      </c>
    </row>
    <row r="80" ht="15.75" customHeight="1">
      <c r="A80" s="5" t="s">
        <v>689</v>
      </c>
      <c r="B80" s="5" t="s">
        <v>234</v>
      </c>
      <c r="C80" s="5" t="s">
        <v>236</v>
      </c>
      <c r="D80" s="5">
        <v>290.0</v>
      </c>
      <c r="E80" s="5" t="s">
        <v>122</v>
      </c>
      <c r="F80" s="5" t="s">
        <v>248</v>
      </c>
      <c r="G80" s="5" t="s">
        <v>248</v>
      </c>
      <c r="H80" s="5" t="s">
        <v>248</v>
      </c>
      <c r="I80" s="11">
        <v>362.0</v>
      </c>
      <c r="J80" s="11">
        <v>109.0</v>
      </c>
      <c r="K80" s="11">
        <v>474.0</v>
      </c>
      <c r="L80" s="11">
        <v>193.0</v>
      </c>
      <c r="M80" s="11">
        <v>287.0</v>
      </c>
      <c r="N80" s="11">
        <v>97.0</v>
      </c>
      <c r="O80" s="11">
        <v>428.0</v>
      </c>
      <c r="P80" s="11">
        <v>195.0</v>
      </c>
      <c r="Q80" s="11">
        <f t="shared" si="1"/>
        <v>471</v>
      </c>
      <c r="R80" s="11">
        <f t="shared" si="2"/>
        <v>667</v>
      </c>
      <c r="S80" s="11">
        <f t="shared" si="3"/>
        <v>384</v>
      </c>
      <c r="T80" s="11">
        <f t="shared" si="4"/>
        <v>623</v>
      </c>
      <c r="U80" s="10">
        <f>IF(Q80&gt;0,(I80/Q80-District!$B$4)*100,"")</f>
        <v>23.44551584</v>
      </c>
      <c r="V80" s="10">
        <f>IF(R80&gt;0,(K80/R80-District!$B$5)*100,"")</f>
        <v>21.31449618</v>
      </c>
      <c r="W80" s="10">
        <f>IF(S80&gt;0,(M80/S80-District!$B$6)*100,"")</f>
        <v>23.75656263</v>
      </c>
      <c r="X80" s="10">
        <f>IF(T80&gt;0,(O80/T80-District!$B$7)*100,"")</f>
        <v>19.20341734</v>
      </c>
      <c r="Y80" s="28">
        <f t="shared" si="5"/>
        <v>23.44551518</v>
      </c>
      <c r="Z80" s="5">
        <f t="shared" si="6"/>
        <v>255</v>
      </c>
      <c r="AA80" s="28">
        <f t="shared" si="7"/>
        <v>23.75656224</v>
      </c>
      <c r="AB80" s="5">
        <f t="shared" si="8"/>
        <v>235</v>
      </c>
      <c r="AC80" s="28">
        <f t="shared" si="9"/>
        <v>23.75656201</v>
      </c>
      <c r="AD80" s="5">
        <f t="shared" si="10"/>
        <v>268</v>
      </c>
    </row>
    <row r="81" ht="15.75" customHeight="1">
      <c r="A81" s="5" t="s">
        <v>690</v>
      </c>
      <c r="B81" s="5" t="s">
        <v>234</v>
      </c>
      <c r="C81" s="5" t="s">
        <v>236</v>
      </c>
      <c r="D81" s="5">
        <v>300.0</v>
      </c>
      <c r="E81" s="5" t="s">
        <v>122</v>
      </c>
      <c r="F81" s="5" t="s">
        <v>250</v>
      </c>
      <c r="G81" s="5" t="s">
        <v>250</v>
      </c>
      <c r="H81" s="5" t="s">
        <v>250</v>
      </c>
      <c r="I81" s="11">
        <v>449.0</v>
      </c>
      <c r="J81" s="11">
        <v>148.0</v>
      </c>
      <c r="K81" s="11">
        <v>613.0</v>
      </c>
      <c r="L81" s="11">
        <v>277.0</v>
      </c>
      <c r="M81" s="11">
        <v>327.0</v>
      </c>
      <c r="N81" s="11">
        <v>159.0</v>
      </c>
      <c r="O81" s="11">
        <v>563.0</v>
      </c>
      <c r="P81" s="11">
        <v>322.0</v>
      </c>
      <c r="Q81" s="11">
        <f t="shared" si="1"/>
        <v>597</v>
      </c>
      <c r="R81" s="11">
        <f t="shared" si="2"/>
        <v>890</v>
      </c>
      <c r="S81" s="11">
        <f t="shared" si="3"/>
        <v>486</v>
      </c>
      <c r="T81" s="11">
        <f t="shared" si="4"/>
        <v>885</v>
      </c>
      <c r="U81" s="10">
        <f>IF(Q81&gt;0,(I81/Q81-District!$B$4)*100,"")</f>
        <v>21.79714661</v>
      </c>
      <c r="V81" s="10">
        <f>IF(R81&gt;0,(K81/R81-District!$B$5)*100,"")</f>
        <v>19.12643291</v>
      </c>
      <c r="W81" s="10">
        <f>IF(S81&gt;0,(M81/S81-District!$B$6)*100,"")</f>
        <v>16.30092991</v>
      </c>
      <c r="X81" s="10">
        <f>IF(T81&gt;0,(O81/T81-District!$B$7)*100,"")</f>
        <v>14.11939707</v>
      </c>
      <c r="Y81" s="28">
        <f t="shared" si="5"/>
        <v>21.79714572</v>
      </c>
      <c r="Z81" s="5">
        <f t="shared" si="6"/>
        <v>242</v>
      </c>
      <c r="AA81" s="28">
        <f t="shared" si="7"/>
        <v>19.12643242</v>
      </c>
      <c r="AB81" s="5">
        <f t="shared" si="8"/>
        <v>203</v>
      </c>
      <c r="AC81" s="28">
        <f t="shared" si="9"/>
        <v>16.30092903</v>
      </c>
      <c r="AD81" s="5">
        <f t="shared" si="10"/>
        <v>204</v>
      </c>
    </row>
    <row r="82" ht="15.75" customHeight="1">
      <c r="A82" s="5" t="s">
        <v>691</v>
      </c>
      <c r="B82" s="5" t="s">
        <v>234</v>
      </c>
      <c r="C82" s="5" t="s">
        <v>236</v>
      </c>
      <c r="D82" s="5">
        <v>310.0</v>
      </c>
      <c r="E82" s="5" t="s">
        <v>122</v>
      </c>
      <c r="F82" s="5" t="s">
        <v>251</v>
      </c>
      <c r="G82" s="5" t="s">
        <v>251</v>
      </c>
      <c r="H82" s="5" t="s">
        <v>251</v>
      </c>
      <c r="I82" s="11">
        <v>325.0</v>
      </c>
      <c r="J82" s="11">
        <v>176.0</v>
      </c>
      <c r="K82" s="11">
        <v>422.0</v>
      </c>
      <c r="L82" s="11">
        <v>250.0</v>
      </c>
      <c r="M82" s="11">
        <v>309.0</v>
      </c>
      <c r="N82" s="11">
        <v>187.0</v>
      </c>
      <c r="O82" s="11">
        <v>472.0</v>
      </c>
      <c r="P82" s="11">
        <v>273.0</v>
      </c>
      <c r="Q82" s="11">
        <f t="shared" si="1"/>
        <v>501</v>
      </c>
      <c r="R82" s="11">
        <f t="shared" si="2"/>
        <v>672</v>
      </c>
      <c r="S82" s="11">
        <f t="shared" si="3"/>
        <v>496</v>
      </c>
      <c r="T82" s="11">
        <f t="shared" si="4"/>
        <v>745</v>
      </c>
      <c r="U82" s="10">
        <f>IF(Q82&gt;0,(I82/Q82-District!$B$4)*100,"")</f>
        <v>11.45802586</v>
      </c>
      <c r="V82" s="10">
        <f>IF(R82&gt;0,(K82/R82-District!$B$5)*100,"")</f>
        <v>13.04764746</v>
      </c>
      <c r="W82" s="10">
        <f>IF(S82&gt;0,(M82/S82-District!$B$6)*100,"")</f>
        <v>11.31536639</v>
      </c>
      <c r="X82" s="10">
        <f>IF(T82&gt;0,(O82/T82-District!$B$7)*100,"")</f>
        <v>13.85928256</v>
      </c>
      <c r="Y82" s="28">
        <f t="shared" si="5"/>
        <v>13.04764679</v>
      </c>
      <c r="Z82" s="5">
        <f t="shared" si="6"/>
        <v>157</v>
      </c>
      <c r="AA82" s="28">
        <f t="shared" si="7"/>
        <v>13.04764696</v>
      </c>
      <c r="AB82" s="5">
        <f t="shared" si="8"/>
        <v>152</v>
      </c>
      <c r="AC82" s="28">
        <f t="shared" si="9"/>
        <v>13.85928181</v>
      </c>
      <c r="AD82" s="5">
        <f t="shared" si="10"/>
        <v>180</v>
      </c>
    </row>
    <row r="83" ht="15.75" customHeight="1">
      <c r="A83" s="5" t="s">
        <v>692</v>
      </c>
      <c r="B83" s="5" t="s">
        <v>234</v>
      </c>
      <c r="C83" s="5" t="s">
        <v>236</v>
      </c>
      <c r="D83" s="5">
        <v>320.0</v>
      </c>
      <c r="E83" s="5" t="s">
        <v>122</v>
      </c>
      <c r="F83" s="5" t="s">
        <v>252</v>
      </c>
      <c r="G83" s="5" t="s">
        <v>252</v>
      </c>
      <c r="H83" s="5" t="s">
        <v>252</v>
      </c>
      <c r="I83" s="11">
        <v>307.0</v>
      </c>
      <c r="J83" s="11">
        <v>193.0</v>
      </c>
      <c r="K83" s="11">
        <v>426.0</v>
      </c>
      <c r="L83" s="11">
        <v>319.0</v>
      </c>
      <c r="M83" s="11">
        <v>334.0</v>
      </c>
      <c r="N83" s="11">
        <v>232.0</v>
      </c>
      <c r="O83" s="11">
        <v>426.0</v>
      </c>
      <c r="P83" s="11">
        <v>331.0</v>
      </c>
      <c r="Q83" s="11">
        <f t="shared" si="1"/>
        <v>500</v>
      </c>
      <c r="R83" s="11">
        <f t="shared" si="2"/>
        <v>745</v>
      </c>
      <c r="S83" s="11">
        <f t="shared" si="3"/>
        <v>566</v>
      </c>
      <c r="T83" s="11">
        <f t="shared" si="4"/>
        <v>757</v>
      </c>
      <c r="U83" s="10">
        <f>IF(Q83&gt;0,(I83/Q83-District!$B$4)*100,"")</f>
        <v>7.987766375</v>
      </c>
      <c r="V83" s="10">
        <f>IF(R83&gt;0,(K83/R83-District!$B$5)*100,"")</f>
        <v>7.431236466</v>
      </c>
      <c r="W83" s="10">
        <f>IF(S83&gt;0,(M83/S83-District!$B$6)*100,"")</f>
        <v>8.027580002</v>
      </c>
      <c r="X83" s="10">
        <f>IF(T83&gt;0,(O83/T83-District!$B$7)*100,"")</f>
        <v>6.778346682</v>
      </c>
      <c r="Y83" s="28">
        <f t="shared" si="5"/>
        <v>7.98776563</v>
      </c>
      <c r="Z83" s="5">
        <f t="shared" si="6"/>
        <v>107</v>
      </c>
      <c r="AA83" s="28">
        <f t="shared" si="7"/>
        <v>8.027579436</v>
      </c>
      <c r="AB83" s="5">
        <f t="shared" si="8"/>
        <v>104</v>
      </c>
      <c r="AC83" s="28">
        <f t="shared" si="9"/>
        <v>8.027579245</v>
      </c>
      <c r="AD83" s="5">
        <f t="shared" si="10"/>
        <v>113</v>
      </c>
    </row>
    <row r="84" ht="15.75" customHeight="1">
      <c r="A84" s="5" t="s">
        <v>693</v>
      </c>
      <c r="B84" s="5" t="s">
        <v>234</v>
      </c>
      <c r="C84" s="5" t="s">
        <v>236</v>
      </c>
      <c r="D84" s="5">
        <v>330.0</v>
      </c>
      <c r="E84" s="5" t="s">
        <v>122</v>
      </c>
      <c r="F84" s="5" t="s">
        <v>253</v>
      </c>
      <c r="G84" s="5" t="s">
        <v>253</v>
      </c>
      <c r="H84" s="5" t="s">
        <v>253</v>
      </c>
      <c r="I84" s="11">
        <v>331.0</v>
      </c>
      <c r="J84" s="11">
        <v>135.0</v>
      </c>
      <c r="K84" s="11">
        <v>467.0</v>
      </c>
      <c r="L84" s="11">
        <v>261.0</v>
      </c>
      <c r="M84" s="11">
        <v>256.0</v>
      </c>
      <c r="N84" s="11">
        <v>154.0</v>
      </c>
      <c r="O84" s="11">
        <v>418.0</v>
      </c>
      <c r="P84" s="11">
        <v>278.0</v>
      </c>
      <c r="Q84" s="11">
        <f t="shared" si="1"/>
        <v>466</v>
      </c>
      <c r="R84" s="11">
        <f t="shared" si="2"/>
        <v>728</v>
      </c>
      <c r="S84" s="11">
        <f t="shared" si="3"/>
        <v>410</v>
      </c>
      <c r="T84" s="11">
        <f t="shared" si="4"/>
        <v>696</v>
      </c>
      <c r="U84" s="10">
        <f>IF(Q84&gt;0,(I84/Q84-District!$B$4)*100,"")</f>
        <v>17.61780929</v>
      </c>
      <c r="V84" s="10">
        <f>IF(R84&gt;0,(K84/R84-District!$B$5)*100,"")</f>
        <v>14.39838006</v>
      </c>
      <c r="W84" s="10">
        <f>IF(S84&gt;0,(M84/S84-District!$B$6)*100,"")</f>
        <v>11.45600369</v>
      </c>
      <c r="X84" s="10">
        <f>IF(T84&gt;0,(O84/T84-District!$B$7)*100,"")</f>
        <v>10.56104912</v>
      </c>
      <c r="Y84" s="28">
        <f t="shared" si="5"/>
        <v>17.61780857</v>
      </c>
      <c r="Z84" s="5">
        <f t="shared" si="6"/>
        <v>204</v>
      </c>
      <c r="AA84" s="28">
        <f t="shared" si="7"/>
        <v>14.39837965</v>
      </c>
      <c r="AB84" s="5">
        <f t="shared" si="8"/>
        <v>165</v>
      </c>
      <c r="AC84" s="28">
        <f t="shared" si="9"/>
        <v>11.45600299</v>
      </c>
      <c r="AD84" s="5">
        <f t="shared" si="10"/>
        <v>154</v>
      </c>
    </row>
    <row r="85" ht="15.75" customHeight="1">
      <c r="A85" s="5" t="s">
        <v>694</v>
      </c>
      <c r="B85" s="5" t="s">
        <v>234</v>
      </c>
      <c r="C85" s="5" t="s">
        <v>236</v>
      </c>
      <c r="D85" s="5">
        <v>340.0</v>
      </c>
      <c r="E85" s="5" t="s">
        <v>122</v>
      </c>
      <c r="F85" s="5" t="s">
        <v>254</v>
      </c>
      <c r="G85" s="5" t="s">
        <v>254</v>
      </c>
      <c r="H85" s="5" t="s">
        <v>254</v>
      </c>
      <c r="I85" s="11">
        <v>363.0</v>
      </c>
      <c r="J85" s="11">
        <v>70.0</v>
      </c>
      <c r="K85" s="11">
        <v>496.0</v>
      </c>
      <c r="L85" s="11">
        <v>146.0</v>
      </c>
      <c r="M85" s="11">
        <v>274.0</v>
      </c>
      <c r="N85" s="11">
        <v>74.0</v>
      </c>
      <c r="O85" s="11">
        <v>424.0</v>
      </c>
      <c r="P85" s="11">
        <v>188.0</v>
      </c>
      <c r="Q85" s="11">
        <f t="shared" si="1"/>
        <v>433</v>
      </c>
      <c r="R85" s="11">
        <f t="shared" si="2"/>
        <v>642</v>
      </c>
      <c r="S85" s="11">
        <f t="shared" si="3"/>
        <v>348</v>
      </c>
      <c r="T85" s="11">
        <f t="shared" si="4"/>
        <v>612</v>
      </c>
      <c r="U85" s="10">
        <f>IF(Q85&gt;0,(I85/Q85-District!$B$4)*100,"")</f>
        <v>30.42148462</v>
      </c>
      <c r="V85" s="10">
        <f>IF(R85&gt;0,(K85/R85-District!$B$5)*100,"")</f>
        <v>27.50859539</v>
      </c>
      <c r="W85" s="10">
        <f>IF(S85&gt;0,(M85/S85-District!$B$6)*100,"")</f>
        <v>27.75261148</v>
      </c>
      <c r="X85" s="10">
        <f>IF(T85&gt;0,(O85/T85-District!$B$7)*100,"")</f>
        <v>19.78462361</v>
      </c>
      <c r="Y85" s="28">
        <f t="shared" si="5"/>
        <v>30.42148398</v>
      </c>
      <c r="Z85" s="5">
        <f t="shared" si="6"/>
        <v>278</v>
      </c>
      <c r="AA85" s="28">
        <f t="shared" si="7"/>
        <v>27.75261113</v>
      </c>
      <c r="AB85" s="5">
        <f t="shared" si="8"/>
        <v>243</v>
      </c>
      <c r="AC85" s="28">
        <f t="shared" si="9"/>
        <v>27.75261087</v>
      </c>
      <c r="AD85" s="5">
        <f t="shared" si="10"/>
        <v>282</v>
      </c>
    </row>
    <row r="86" ht="15.75" customHeight="1">
      <c r="A86" s="5" t="s">
        <v>695</v>
      </c>
      <c r="B86" s="5" t="s">
        <v>234</v>
      </c>
      <c r="C86" s="5" t="s">
        <v>236</v>
      </c>
      <c r="D86" s="5">
        <v>350.0</v>
      </c>
      <c r="E86" s="5" t="s">
        <v>122</v>
      </c>
      <c r="F86" s="5" t="s">
        <v>255</v>
      </c>
      <c r="G86" s="5" t="s">
        <v>255</v>
      </c>
      <c r="H86" s="5" t="s">
        <v>255</v>
      </c>
      <c r="I86" s="11">
        <v>282.0</v>
      </c>
      <c r="J86" s="11">
        <v>102.0</v>
      </c>
      <c r="K86" s="11">
        <v>360.0</v>
      </c>
      <c r="L86" s="11">
        <v>173.0</v>
      </c>
      <c r="M86" s="11">
        <v>211.0</v>
      </c>
      <c r="N86" s="11">
        <v>83.0</v>
      </c>
      <c r="O86" s="11">
        <v>330.0</v>
      </c>
      <c r="P86" s="11">
        <v>195.0</v>
      </c>
      <c r="Q86" s="11">
        <f t="shared" si="1"/>
        <v>384</v>
      </c>
      <c r="R86" s="11">
        <f t="shared" si="2"/>
        <v>533</v>
      </c>
      <c r="S86" s="11">
        <f t="shared" si="3"/>
        <v>294</v>
      </c>
      <c r="T86" s="11">
        <f t="shared" si="4"/>
        <v>525</v>
      </c>
      <c r="U86" s="10">
        <f>IF(Q86&gt;0,(I86/Q86-District!$B$4)*100,"")</f>
        <v>20.02526637</v>
      </c>
      <c r="V86" s="10">
        <f>IF(R86&gt;0,(K86/R86-District!$B$5)*100,"")</f>
        <v>17.7922423</v>
      </c>
      <c r="W86" s="10">
        <f>IF(S86&gt;0,(M86/S86-District!$B$6)*100,"")</f>
        <v>20.78568678</v>
      </c>
      <c r="X86" s="10">
        <f>IF(T86&gt;0,(O86/T86-District!$B$7)*100,"")</f>
        <v>13.36072071</v>
      </c>
      <c r="Y86" s="28">
        <f t="shared" si="5"/>
        <v>20.02526584</v>
      </c>
      <c r="Z86" s="5">
        <f t="shared" si="6"/>
        <v>226</v>
      </c>
      <c r="AA86" s="28" t="str">
        <f t="shared" si="7"/>
        <v/>
      </c>
      <c r="AB86" s="5" t="str">
        <f t="shared" si="8"/>
        <v/>
      </c>
      <c r="AC86" s="28" t="str">
        <f t="shared" si="9"/>
        <v/>
      </c>
      <c r="AD86" s="5" t="str">
        <f t="shared" si="10"/>
        <v/>
      </c>
    </row>
    <row r="87" ht="15.75" customHeight="1">
      <c r="A87" s="5" t="s">
        <v>696</v>
      </c>
      <c r="B87" s="5" t="s">
        <v>234</v>
      </c>
      <c r="C87" s="5" t="s">
        <v>236</v>
      </c>
      <c r="D87" s="5">
        <v>360.0</v>
      </c>
      <c r="E87" s="5" t="s">
        <v>122</v>
      </c>
      <c r="F87" s="5" t="s">
        <v>256</v>
      </c>
      <c r="G87" s="5" t="s">
        <v>256</v>
      </c>
      <c r="H87" s="5" t="s">
        <v>256</v>
      </c>
      <c r="I87" s="11">
        <v>343.0</v>
      </c>
      <c r="J87" s="11">
        <v>118.0</v>
      </c>
      <c r="K87" s="11">
        <v>455.0</v>
      </c>
      <c r="L87" s="11">
        <v>203.0</v>
      </c>
      <c r="M87" s="11">
        <v>256.0</v>
      </c>
      <c r="N87" s="11">
        <v>123.0</v>
      </c>
      <c r="O87" s="11">
        <v>441.0</v>
      </c>
      <c r="P87" s="11">
        <v>232.0</v>
      </c>
      <c r="Q87" s="11">
        <f t="shared" si="1"/>
        <v>461</v>
      </c>
      <c r="R87" s="11">
        <f t="shared" si="2"/>
        <v>658</v>
      </c>
      <c r="S87" s="11">
        <f t="shared" si="3"/>
        <v>379</v>
      </c>
      <c r="T87" s="11">
        <f t="shared" si="4"/>
        <v>673</v>
      </c>
      <c r="U87" s="10">
        <f>IF(Q87&gt;0,(I87/Q87-District!$B$4)*100,"")</f>
        <v>20.99123709</v>
      </c>
      <c r="V87" s="10">
        <f>IF(R87&gt;0,(K87/R87-District!$B$5)*100,"")</f>
        <v>19.39896458</v>
      </c>
      <c r="W87" s="10">
        <f>IF(S87&gt;0,(M87/S87-District!$B$6)*100,"")</f>
        <v>16.56315344</v>
      </c>
      <c r="X87" s="10">
        <f>IF(T87&gt;0,(O87/T87-District!$B$7)*100,"")</f>
        <v>16.03106671</v>
      </c>
      <c r="Y87" s="28">
        <f t="shared" si="5"/>
        <v>20.99123643</v>
      </c>
      <c r="Z87" s="5">
        <f t="shared" si="6"/>
        <v>235</v>
      </c>
      <c r="AA87" s="28">
        <f t="shared" si="7"/>
        <v>19.3989642</v>
      </c>
      <c r="AB87" s="5">
        <f t="shared" si="8"/>
        <v>211</v>
      </c>
      <c r="AC87" s="28">
        <f t="shared" si="9"/>
        <v>16.56315276</v>
      </c>
      <c r="AD87" s="5">
        <f t="shared" si="10"/>
        <v>210</v>
      </c>
    </row>
    <row r="88" ht="15.75" customHeight="1">
      <c r="A88" s="5" t="s">
        <v>697</v>
      </c>
      <c r="B88" s="5" t="s">
        <v>234</v>
      </c>
      <c r="C88" s="5" t="s">
        <v>236</v>
      </c>
      <c r="D88" s="5">
        <v>370.0</v>
      </c>
      <c r="E88" s="5" t="s">
        <v>122</v>
      </c>
      <c r="F88" s="5" t="s">
        <v>257</v>
      </c>
      <c r="G88" s="5" t="s">
        <v>257</v>
      </c>
      <c r="H88" s="5" t="s">
        <v>257</v>
      </c>
      <c r="I88" s="11">
        <v>238.0</v>
      </c>
      <c r="J88" s="11">
        <v>99.0</v>
      </c>
      <c r="K88" s="11">
        <v>323.0</v>
      </c>
      <c r="L88" s="11">
        <v>136.0</v>
      </c>
      <c r="M88" s="11">
        <v>209.0</v>
      </c>
      <c r="N88" s="11">
        <v>82.0</v>
      </c>
      <c r="O88" s="11">
        <v>313.0</v>
      </c>
      <c r="P88" s="11">
        <v>155.0</v>
      </c>
      <c r="Q88" s="11">
        <f t="shared" si="1"/>
        <v>337</v>
      </c>
      <c r="R88" s="11">
        <f t="shared" si="2"/>
        <v>459</v>
      </c>
      <c r="S88" s="11">
        <f t="shared" si="3"/>
        <v>291</v>
      </c>
      <c r="T88" s="11">
        <f t="shared" si="4"/>
        <v>468</v>
      </c>
      <c r="U88" s="10">
        <f>IF(Q88&gt;0,(I88/Q88-District!$B$4)*100,"")</f>
        <v>17.21091178</v>
      </c>
      <c r="V88" s="10">
        <f>IF(R88&gt;0,(K88/R88-District!$B$5)*100,"")</f>
        <v>20.62039878</v>
      </c>
      <c r="W88" s="10">
        <f>IF(S88&gt;0,(M88/S88-District!$B$6)*100,"")</f>
        <v>20.83828514</v>
      </c>
      <c r="X88" s="10">
        <f>IF(T88&gt;0,(O88/T88-District!$B$7)*100,"")</f>
        <v>17.38391974</v>
      </c>
      <c r="Y88" s="28">
        <f t="shared" si="5"/>
        <v>20.62039832</v>
      </c>
      <c r="Z88" s="5">
        <f t="shared" si="6"/>
        <v>233</v>
      </c>
      <c r="AA88" s="28" t="str">
        <f t="shared" si="7"/>
        <v/>
      </c>
      <c r="AB88" s="5" t="str">
        <f t="shared" si="8"/>
        <v/>
      </c>
      <c r="AC88" s="28" t="str">
        <f t="shared" si="9"/>
        <v/>
      </c>
      <c r="AD88" s="5" t="str">
        <f t="shared" si="10"/>
        <v/>
      </c>
    </row>
    <row r="89" ht="15.75" customHeight="1">
      <c r="A89" s="5" t="s">
        <v>698</v>
      </c>
      <c r="B89" s="5" t="s">
        <v>234</v>
      </c>
      <c r="C89" s="5" t="s">
        <v>236</v>
      </c>
      <c r="D89" s="5">
        <v>380.0</v>
      </c>
      <c r="E89" s="5" t="s">
        <v>122</v>
      </c>
      <c r="F89" s="5" t="s">
        <v>258</v>
      </c>
      <c r="G89" s="5" t="s">
        <v>258</v>
      </c>
      <c r="H89" s="5" t="s">
        <v>258</v>
      </c>
      <c r="I89" s="11">
        <v>481.0</v>
      </c>
      <c r="J89" s="11">
        <v>174.0</v>
      </c>
      <c r="K89" s="11">
        <v>705.0</v>
      </c>
      <c r="L89" s="11">
        <v>345.0</v>
      </c>
      <c r="M89" s="11">
        <v>368.0</v>
      </c>
      <c r="N89" s="11">
        <v>206.0</v>
      </c>
      <c r="O89" s="11">
        <v>658.0</v>
      </c>
      <c r="P89" s="11">
        <v>375.0</v>
      </c>
      <c r="Q89" s="11">
        <f t="shared" si="1"/>
        <v>655</v>
      </c>
      <c r="R89" s="11">
        <f t="shared" si="2"/>
        <v>1050</v>
      </c>
      <c r="S89" s="11">
        <f t="shared" si="3"/>
        <v>574</v>
      </c>
      <c r="T89" s="11">
        <f t="shared" si="4"/>
        <v>1033</v>
      </c>
      <c r="U89" s="10">
        <f>IF(Q89&gt;0,(I89/Q89-District!$B$4)*100,"")</f>
        <v>20.02288088</v>
      </c>
      <c r="V89" s="10">
        <f>IF(R89&gt;0,(K89/R89-District!$B$5)*100,"")</f>
        <v>17.39288556</v>
      </c>
      <c r="W89" s="10">
        <f>IF(S89&gt;0,(M89/S89-District!$B$6)*100,"")</f>
        <v>13.12847755</v>
      </c>
      <c r="X89" s="10">
        <f>IF(T89&gt;0,(O89/T89-District!$B$7)*100,"")</f>
        <v>14.20154494</v>
      </c>
      <c r="Y89" s="28">
        <f t="shared" si="5"/>
        <v>20.02287983</v>
      </c>
      <c r="Z89" s="5">
        <f t="shared" si="6"/>
        <v>225</v>
      </c>
      <c r="AA89" s="28">
        <f t="shared" si="7"/>
        <v>17.39288498</v>
      </c>
      <c r="AB89" s="5">
        <f t="shared" si="8"/>
        <v>192</v>
      </c>
      <c r="AC89" s="28">
        <f t="shared" si="9"/>
        <v>14.20154391</v>
      </c>
      <c r="AD89" s="5">
        <f t="shared" si="10"/>
        <v>187</v>
      </c>
    </row>
    <row r="90" ht="15.75" customHeight="1">
      <c r="A90" s="5" t="s">
        <v>699</v>
      </c>
      <c r="B90" s="5" t="s">
        <v>234</v>
      </c>
      <c r="C90" s="5" t="s">
        <v>236</v>
      </c>
      <c r="D90" s="5">
        <v>390.0</v>
      </c>
      <c r="E90" s="5" t="s">
        <v>122</v>
      </c>
      <c r="F90" s="5" t="s">
        <v>259</v>
      </c>
      <c r="G90" s="5" t="s">
        <v>259</v>
      </c>
      <c r="H90" s="5" t="s">
        <v>259</v>
      </c>
      <c r="I90" s="11">
        <v>497.0</v>
      </c>
      <c r="J90" s="11">
        <v>124.0</v>
      </c>
      <c r="K90" s="11">
        <v>789.0</v>
      </c>
      <c r="L90" s="11">
        <v>315.0</v>
      </c>
      <c r="M90" s="11">
        <v>385.0</v>
      </c>
      <c r="N90" s="11">
        <v>168.0</v>
      </c>
      <c r="O90" s="11">
        <v>693.0</v>
      </c>
      <c r="P90" s="11">
        <v>389.0</v>
      </c>
      <c r="Q90" s="11">
        <f t="shared" si="1"/>
        <v>621</v>
      </c>
      <c r="R90" s="11">
        <f t="shared" si="2"/>
        <v>1104</v>
      </c>
      <c r="S90" s="11">
        <f t="shared" si="3"/>
        <v>553</v>
      </c>
      <c r="T90" s="11">
        <f t="shared" si="4"/>
        <v>1082</v>
      </c>
      <c r="U90" s="10">
        <f>IF(Q90&gt;0,(I90/Q90-District!$B$4)*100,"")</f>
        <v>26.61997249</v>
      </c>
      <c r="V90" s="10">
        <f>IF(R90&gt;0,(K90/R90-District!$B$5)*100,"")</f>
        <v>21.71741972</v>
      </c>
      <c r="W90" s="10">
        <f>IF(S90&gt;0,(M90/S90-District!$B$6)*100,"")</f>
        <v>18.63723246</v>
      </c>
      <c r="X90" s="10">
        <f>IF(T90&gt;0,(O90/T90-District!$B$7)*100,"")</f>
        <v>14.55163701</v>
      </c>
      <c r="Y90" s="28">
        <f t="shared" si="5"/>
        <v>26.61997139</v>
      </c>
      <c r="Z90" s="5">
        <f t="shared" si="6"/>
        <v>269</v>
      </c>
      <c r="AA90" s="28">
        <f t="shared" si="7"/>
        <v>21.71741916</v>
      </c>
      <c r="AB90" s="5">
        <f t="shared" si="8"/>
        <v>224</v>
      </c>
      <c r="AC90" s="28">
        <f t="shared" si="9"/>
        <v>18.63723138</v>
      </c>
      <c r="AD90" s="5">
        <f t="shared" si="10"/>
        <v>226</v>
      </c>
    </row>
    <row r="91" ht="15.75" customHeight="1">
      <c r="A91" s="5" t="s">
        <v>700</v>
      </c>
      <c r="B91" s="5" t="s">
        <v>234</v>
      </c>
      <c r="C91" s="5" t="s">
        <v>236</v>
      </c>
      <c r="D91" s="5">
        <v>400.0</v>
      </c>
      <c r="E91" s="5" t="s">
        <v>122</v>
      </c>
      <c r="F91" s="5" t="s">
        <v>261</v>
      </c>
      <c r="G91" s="5" t="s">
        <v>261</v>
      </c>
      <c r="H91" s="5" t="s">
        <v>261</v>
      </c>
      <c r="I91" s="11">
        <v>348.0</v>
      </c>
      <c r="J91" s="11">
        <v>169.0</v>
      </c>
      <c r="K91" s="11">
        <v>508.0</v>
      </c>
      <c r="L91" s="11">
        <v>307.0</v>
      </c>
      <c r="M91" s="11">
        <v>308.0</v>
      </c>
      <c r="N91" s="11">
        <v>215.0</v>
      </c>
      <c r="O91" s="11">
        <v>446.0</v>
      </c>
      <c r="P91" s="11">
        <v>382.0</v>
      </c>
      <c r="Q91" s="11">
        <f t="shared" si="1"/>
        <v>517</v>
      </c>
      <c r="R91" s="11">
        <f t="shared" si="2"/>
        <v>815</v>
      </c>
      <c r="S91" s="11">
        <f t="shared" si="3"/>
        <v>523</v>
      </c>
      <c r="T91" s="11">
        <f t="shared" si="4"/>
        <v>828</v>
      </c>
      <c r="U91" s="10">
        <f>IF(Q91&gt;0,(I91/Q91-District!$B$4)*100,"")</f>
        <v>13.89917837</v>
      </c>
      <c r="V91" s="10">
        <f>IF(R91&gt;0,(K91/R91-District!$B$5)*100,"")</f>
        <v>12.58131676</v>
      </c>
      <c r="W91" s="10">
        <f>IF(S91&gt;0,(M91/S91-District!$B$6)*100,"")</f>
        <v>7.90799268</v>
      </c>
      <c r="X91" s="10">
        <f>IF(T91&gt;0,(O91/T91-District!$B$7)*100,"")</f>
        <v>4.368312157</v>
      </c>
      <c r="Y91" s="28">
        <f t="shared" si="5"/>
        <v>13.89917755</v>
      </c>
      <c r="Z91" s="5">
        <f t="shared" si="6"/>
        <v>169</v>
      </c>
      <c r="AA91" s="28">
        <f t="shared" si="7"/>
        <v>12.58131623</v>
      </c>
      <c r="AB91" s="5">
        <f t="shared" si="8"/>
        <v>145</v>
      </c>
      <c r="AC91" s="28">
        <f t="shared" si="9"/>
        <v>7.907991852</v>
      </c>
      <c r="AD91" s="5">
        <f t="shared" si="10"/>
        <v>112</v>
      </c>
    </row>
    <row r="92" ht="15.75" customHeight="1">
      <c r="A92" s="5" t="s">
        <v>701</v>
      </c>
      <c r="B92" s="5" t="s">
        <v>234</v>
      </c>
      <c r="C92" s="5" t="s">
        <v>236</v>
      </c>
      <c r="D92" s="5">
        <v>410.0</v>
      </c>
      <c r="E92" s="5" t="s">
        <v>122</v>
      </c>
      <c r="F92" s="5" t="s">
        <v>262</v>
      </c>
      <c r="G92" s="5" t="s">
        <v>262</v>
      </c>
      <c r="H92" s="5" t="s">
        <v>262</v>
      </c>
      <c r="I92" s="11">
        <v>400.0</v>
      </c>
      <c r="J92" s="11">
        <v>189.0</v>
      </c>
      <c r="K92" s="11">
        <v>649.0</v>
      </c>
      <c r="L92" s="11">
        <v>361.0</v>
      </c>
      <c r="M92" s="11">
        <v>391.0</v>
      </c>
      <c r="N92" s="11">
        <v>209.0</v>
      </c>
      <c r="O92" s="11">
        <v>627.0</v>
      </c>
      <c r="P92" s="11">
        <v>389.0</v>
      </c>
      <c r="Q92" s="11">
        <f t="shared" si="1"/>
        <v>589</v>
      </c>
      <c r="R92" s="11">
        <f t="shared" si="2"/>
        <v>1010</v>
      </c>
      <c r="S92" s="11">
        <f t="shared" si="3"/>
        <v>600</v>
      </c>
      <c r="T92" s="11">
        <f t="shared" si="4"/>
        <v>1016</v>
      </c>
      <c r="U92" s="10">
        <f>IF(Q92&gt;0,(I92/Q92-District!$B$4)*100,"")</f>
        <v>14.49948115</v>
      </c>
      <c r="V92" s="10">
        <f>IF(R92&gt;0,(K92/R92-District!$B$5)*100,"")</f>
        <v>14.50745415</v>
      </c>
      <c r="W92" s="10">
        <f>IF(S92&gt;0,(M92/S92-District!$B$6)*100,"")</f>
        <v>14.18364596</v>
      </c>
      <c r="X92" s="10">
        <f>IF(T92&gt;0,(O92/T92-District!$B$7)*100,"")</f>
        <v>12.21617628</v>
      </c>
      <c r="Y92" s="28">
        <f t="shared" si="5"/>
        <v>14.50745314</v>
      </c>
      <c r="Z92" s="5">
        <f t="shared" si="6"/>
        <v>172</v>
      </c>
      <c r="AA92" s="28">
        <f t="shared" si="7"/>
        <v>14.50745355</v>
      </c>
      <c r="AB92" s="5">
        <f t="shared" si="8"/>
        <v>166</v>
      </c>
      <c r="AC92" s="28">
        <f t="shared" si="9"/>
        <v>14.18364495</v>
      </c>
      <c r="AD92" s="5">
        <f t="shared" si="10"/>
        <v>185</v>
      </c>
    </row>
    <row r="93" ht="15.75" customHeight="1">
      <c r="A93" s="5" t="s">
        <v>702</v>
      </c>
      <c r="B93" s="5" t="s">
        <v>234</v>
      </c>
      <c r="C93" s="5" t="s">
        <v>236</v>
      </c>
      <c r="D93" s="5">
        <v>420.0</v>
      </c>
      <c r="E93" s="5" t="s">
        <v>122</v>
      </c>
      <c r="F93" s="5" t="s">
        <v>263</v>
      </c>
      <c r="G93" s="5" t="s">
        <v>263</v>
      </c>
      <c r="H93" s="5" t="s">
        <v>263</v>
      </c>
      <c r="I93" s="11">
        <v>488.0</v>
      </c>
      <c r="J93" s="11">
        <v>238.0</v>
      </c>
      <c r="K93" s="11">
        <v>690.0</v>
      </c>
      <c r="L93" s="11">
        <v>365.0</v>
      </c>
      <c r="M93" s="11">
        <v>427.0</v>
      </c>
      <c r="N93" s="11">
        <v>242.0</v>
      </c>
      <c r="O93" s="11">
        <v>645.0</v>
      </c>
      <c r="P93" s="11">
        <v>418.0</v>
      </c>
      <c r="Q93" s="11">
        <f t="shared" si="1"/>
        <v>726</v>
      </c>
      <c r="R93" s="11">
        <f t="shared" si="2"/>
        <v>1055</v>
      </c>
      <c r="S93" s="11">
        <f t="shared" si="3"/>
        <v>669</v>
      </c>
      <c r="T93" s="11">
        <f t="shared" si="4"/>
        <v>1063</v>
      </c>
      <c r="U93" s="10">
        <f>IF(Q93&gt;0,(I93/Q93-District!$B$4)*100,"")</f>
        <v>13.80539723</v>
      </c>
      <c r="V93" s="10">
        <f>IF(R93&gt;0,(K93/R93-District!$B$5)*100,"")</f>
        <v>15.65287201</v>
      </c>
      <c r="W93" s="10">
        <f>IF(S93&gt;0,(M93/S93-District!$B$6)*100,"")</f>
        <v>12.84358617</v>
      </c>
      <c r="X93" s="10">
        <f>IF(T93&gt;0,(O93/T93-District!$B$7)*100,"")</f>
        <v>11.18090617</v>
      </c>
      <c r="Y93" s="28">
        <f t="shared" si="5"/>
        <v>15.65287096</v>
      </c>
      <c r="Z93" s="5">
        <f t="shared" si="6"/>
        <v>186</v>
      </c>
      <c r="AA93" s="28">
        <f t="shared" si="7"/>
        <v>15.65287135</v>
      </c>
      <c r="AB93" s="5">
        <f t="shared" si="8"/>
        <v>174</v>
      </c>
      <c r="AC93" s="28">
        <f t="shared" si="9"/>
        <v>12.84358511</v>
      </c>
      <c r="AD93" s="5">
        <f t="shared" si="10"/>
        <v>170</v>
      </c>
    </row>
    <row r="94" ht="15.75" customHeight="1">
      <c r="A94" s="5" t="s">
        <v>703</v>
      </c>
      <c r="B94" s="5" t="s">
        <v>234</v>
      </c>
      <c r="C94" s="5" t="s">
        <v>236</v>
      </c>
      <c r="D94" s="5">
        <v>430.0</v>
      </c>
      <c r="E94" s="5" t="s">
        <v>122</v>
      </c>
      <c r="F94" s="5" t="s">
        <v>264</v>
      </c>
      <c r="G94" s="5" t="s">
        <v>264</v>
      </c>
      <c r="H94" s="5" t="s">
        <v>264</v>
      </c>
      <c r="I94" s="11">
        <v>339.0</v>
      </c>
      <c r="J94" s="11">
        <v>138.0</v>
      </c>
      <c r="K94" s="11">
        <v>499.0</v>
      </c>
      <c r="L94" s="11">
        <v>246.0</v>
      </c>
      <c r="M94" s="11">
        <v>288.0</v>
      </c>
      <c r="N94" s="11">
        <v>176.0</v>
      </c>
      <c r="O94" s="11">
        <v>452.0</v>
      </c>
      <c r="P94" s="11">
        <v>341.0</v>
      </c>
      <c r="Q94" s="11">
        <f t="shared" si="1"/>
        <v>477</v>
      </c>
      <c r="R94" s="11">
        <f t="shared" si="2"/>
        <v>745</v>
      </c>
      <c r="S94" s="11">
        <f t="shared" si="3"/>
        <v>464</v>
      </c>
      <c r="T94" s="11">
        <f t="shared" si="4"/>
        <v>793</v>
      </c>
      <c r="U94" s="10">
        <f>IF(Q94&gt;0,(I94/Q94-District!$B$4)*100,"")</f>
        <v>17.65694876</v>
      </c>
      <c r="V94" s="10">
        <f>IF(R94&gt;0,(K94/R94-District!$B$5)*100,"")</f>
        <v>17.22989418</v>
      </c>
      <c r="W94" s="10">
        <f>IF(S94&gt;0,(M94/S94-District!$B$6)*100,"")</f>
        <v>11.08594481</v>
      </c>
      <c r="X94" s="10">
        <f>IF(T94&gt;0,(O94/T94-District!$B$7)*100,"")</f>
        <v>7.502316823</v>
      </c>
      <c r="Y94" s="28">
        <f t="shared" si="5"/>
        <v>17.65694802</v>
      </c>
      <c r="Z94" s="5">
        <f t="shared" si="6"/>
        <v>205</v>
      </c>
      <c r="AA94" s="28">
        <f t="shared" si="7"/>
        <v>17.22989372</v>
      </c>
      <c r="AB94" s="5">
        <f t="shared" si="8"/>
        <v>191</v>
      </c>
      <c r="AC94" s="28">
        <f t="shared" si="9"/>
        <v>11.08594402</v>
      </c>
      <c r="AD94" s="5">
        <f t="shared" si="10"/>
        <v>151</v>
      </c>
    </row>
    <row r="95" ht="15.75" customHeight="1">
      <c r="A95" s="5" t="s">
        <v>704</v>
      </c>
      <c r="B95" s="5" t="s">
        <v>234</v>
      </c>
      <c r="C95" s="5" t="s">
        <v>236</v>
      </c>
      <c r="D95" s="5">
        <v>440.0</v>
      </c>
      <c r="E95" s="5" t="s">
        <v>122</v>
      </c>
      <c r="F95" s="5" t="s">
        <v>265</v>
      </c>
      <c r="G95" s="5" t="s">
        <v>265</v>
      </c>
      <c r="H95" s="5" t="s">
        <v>265</v>
      </c>
      <c r="I95" s="11">
        <v>387.0</v>
      </c>
      <c r="J95" s="11">
        <v>154.0</v>
      </c>
      <c r="K95" s="11">
        <v>595.0</v>
      </c>
      <c r="L95" s="11">
        <v>282.0</v>
      </c>
      <c r="M95" s="11">
        <v>283.0</v>
      </c>
      <c r="N95" s="11">
        <v>158.0</v>
      </c>
      <c r="O95" s="11">
        <v>541.0</v>
      </c>
      <c r="P95" s="11">
        <v>325.0</v>
      </c>
      <c r="Q95" s="11">
        <f t="shared" si="1"/>
        <v>541</v>
      </c>
      <c r="R95" s="11">
        <f t="shared" si="2"/>
        <v>877</v>
      </c>
      <c r="S95" s="11">
        <f t="shared" si="3"/>
        <v>441</v>
      </c>
      <c r="T95" s="11">
        <f t="shared" si="4"/>
        <v>866</v>
      </c>
      <c r="U95" s="10">
        <f>IF(Q95&gt;0,(I95/Q95-District!$B$4)*100,"")</f>
        <v>18.12196231</v>
      </c>
      <c r="V95" s="10">
        <f>IF(R95&gt;0,(K95/R95-District!$B$5)*100,"")</f>
        <v>18.0949543</v>
      </c>
      <c r="W95" s="10">
        <f>IF(S95&gt;0,(M95/S95-District!$B$6)*100,"")</f>
        <v>13.1893149</v>
      </c>
      <c r="X95" s="10">
        <f>IF(T95&gt;0,(O95/T95-District!$B$7)*100,"")</f>
        <v>12.9747095</v>
      </c>
      <c r="Y95" s="28">
        <f t="shared" si="5"/>
        <v>18.12196143</v>
      </c>
      <c r="Z95" s="5">
        <f t="shared" si="6"/>
        <v>207</v>
      </c>
      <c r="AA95" s="28">
        <f t="shared" si="7"/>
        <v>18.09495386</v>
      </c>
      <c r="AB95" s="5">
        <f t="shared" si="8"/>
        <v>196</v>
      </c>
      <c r="AC95" s="28">
        <f t="shared" si="9"/>
        <v>13.18931403</v>
      </c>
      <c r="AD95" s="5">
        <f t="shared" si="10"/>
        <v>174</v>
      </c>
    </row>
    <row r="96" ht="15.75" customHeight="1">
      <c r="A96" s="5" t="s">
        <v>705</v>
      </c>
      <c r="B96" s="5" t="s">
        <v>234</v>
      </c>
      <c r="C96" s="5" t="s">
        <v>236</v>
      </c>
      <c r="D96" s="5">
        <v>450.0</v>
      </c>
      <c r="E96" s="5" t="s">
        <v>122</v>
      </c>
      <c r="F96" s="5" t="s">
        <v>266</v>
      </c>
      <c r="G96" s="5" t="s">
        <v>266</v>
      </c>
      <c r="H96" s="5" t="s">
        <v>266</v>
      </c>
      <c r="I96" s="11">
        <v>559.0</v>
      </c>
      <c r="J96" s="11">
        <v>255.0</v>
      </c>
      <c r="K96" s="11">
        <v>800.0</v>
      </c>
      <c r="L96" s="11">
        <v>494.0</v>
      </c>
      <c r="M96" s="11">
        <v>474.0</v>
      </c>
      <c r="N96" s="11">
        <v>300.0</v>
      </c>
      <c r="O96" s="11">
        <v>783.0</v>
      </c>
      <c r="P96" s="11">
        <v>562.0</v>
      </c>
      <c r="Q96" s="11">
        <f t="shared" si="1"/>
        <v>814</v>
      </c>
      <c r="R96" s="11">
        <f t="shared" si="2"/>
        <v>1294</v>
      </c>
      <c r="S96" s="11">
        <f t="shared" si="3"/>
        <v>774</v>
      </c>
      <c r="T96" s="11">
        <f t="shared" si="4"/>
        <v>1345</v>
      </c>
      <c r="U96" s="10">
        <f>IF(Q96&gt;0,(I96/Q96-District!$B$4)*100,"")</f>
        <v>15.26098505</v>
      </c>
      <c r="V96" s="10">
        <f>IF(R96&gt;0,(K96/R96-District!$B$5)*100,"")</f>
        <v>12.07383058</v>
      </c>
      <c r="W96" s="10">
        <f>IF(S96&gt;0,(M96/S96-District!$B$6)*100,"")</f>
        <v>10.25728937</v>
      </c>
      <c r="X96" s="10">
        <f>IF(T96&gt;0,(O96/T96-District!$B$7)*100,"")</f>
        <v>8.71919124</v>
      </c>
      <c r="Y96" s="28">
        <f t="shared" si="5"/>
        <v>15.26098375</v>
      </c>
      <c r="Z96" s="5">
        <f t="shared" si="6"/>
        <v>178</v>
      </c>
      <c r="AA96" s="28">
        <f t="shared" si="7"/>
        <v>12.0738298</v>
      </c>
      <c r="AB96" s="5">
        <f t="shared" si="8"/>
        <v>139</v>
      </c>
      <c r="AC96" s="28">
        <f t="shared" si="9"/>
        <v>10.25728803</v>
      </c>
      <c r="AD96" s="5">
        <f t="shared" si="10"/>
        <v>135</v>
      </c>
    </row>
    <row r="97" ht="15.75" customHeight="1">
      <c r="A97" s="5" t="s">
        <v>706</v>
      </c>
      <c r="B97" s="5" t="s">
        <v>234</v>
      </c>
      <c r="C97" s="5" t="s">
        <v>236</v>
      </c>
      <c r="D97" s="5">
        <v>460.0</v>
      </c>
      <c r="E97" s="5" t="s">
        <v>122</v>
      </c>
      <c r="F97" s="5" t="s">
        <v>267</v>
      </c>
      <c r="G97" s="5" t="s">
        <v>267</v>
      </c>
      <c r="H97" s="5" t="s">
        <v>267</v>
      </c>
      <c r="I97" s="11">
        <v>337.0</v>
      </c>
      <c r="J97" s="11">
        <v>161.0</v>
      </c>
      <c r="K97" s="11">
        <v>451.0</v>
      </c>
      <c r="L97" s="11">
        <v>233.0</v>
      </c>
      <c r="M97" s="11">
        <v>346.0</v>
      </c>
      <c r="N97" s="11">
        <v>146.0</v>
      </c>
      <c r="O97" s="11">
        <v>454.0</v>
      </c>
      <c r="P97" s="11">
        <v>218.0</v>
      </c>
      <c r="Q97" s="11">
        <f t="shared" si="1"/>
        <v>498</v>
      </c>
      <c r="R97" s="11">
        <f t="shared" si="2"/>
        <v>684</v>
      </c>
      <c r="S97" s="11">
        <f t="shared" si="3"/>
        <v>492</v>
      </c>
      <c r="T97" s="11">
        <f t="shared" si="4"/>
        <v>672</v>
      </c>
      <c r="U97" s="10">
        <f>IF(Q97&gt;0,(I97/Q97-District!$B$4)*100,"")</f>
        <v>14.25844911</v>
      </c>
      <c r="V97" s="10">
        <f>IF(R97&gt;0,(K97/R97-District!$B$5)*100,"")</f>
        <v>16.18570093</v>
      </c>
      <c r="W97" s="10">
        <f>IF(S97&gt;0,(M97/S97-District!$B$6)*100,"")</f>
        <v>19.34218255</v>
      </c>
      <c r="X97" s="10">
        <f>IF(T97&gt;0,(O97/T97-District!$B$7)*100,"")</f>
        <v>18.06310167</v>
      </c>
      <c r="Y97" s="28">
        <f t="shared" si="5"/>
        <v>16.18570024</v>
      </c>
      <c r="Z97" s="5">
        <f t="shared" si="6"/>
        <v>194</v>
      </c>
      <c r="AA97" s="28">
        <f t="shared" si="7"/>
        <v>19.34218206</v>
      </c>
      <c r="AB97" s="5">
        <f t="shared" si="8"/>
        <v>210</v>
      </c>
      <c r="AC97" s="28">
        <f t="shared" si="9"/>
        <v>19.34218188</v>
      </c>
      <c r="AD97" s="5">
        <f t="shared" si="10"/>
        <v>237</v>
      </c>
    </row>
    <row r="98" ht="15.75" customHeight="1">
      <c r="A98" s="5" t="s">
        <v>707</v>
      </c>
      <c r="B98" s="5" t="s">
        <v>234</v>
      </c>
      <c r="C98" s="5" t="s">
        <v>236</v>
      </c>
      <c r="D98" s="5">
        <v>470.0</v>
      </c>
      <c r="E98" s="5" t="s">
        <v>122</v>
      </c>
      <c r="F98" s="5" t="s">
        <v>268</v>
      </c>
      <c r="G98" s="5" t="s">
        <v>268</v>
      </c>
      <c r="H98" s="5" t="s">
        <v>268</v>
      </c>
      <c r="I98" s="11">
        <v>382.0</v>
      </c>
      <c r="J98" s="11">
        <v>205.0</v>
      </c>
      <c r="K98" s="11">
        <v>473.0</v>
      </c>
      <c r="L98" s="11">
        <v>294.0</v>
      </c>
      <c r="M98" s="11">
        <v>410.0</v>
      </c>
      <c r="N98" s="11">
        <v>212.0</v>
      </c>
      <c r="O98" s="11">
        <v>502.0</v>
      </c>
      <c r="P98" s="11">
        <v>274.0</v>
      </c>
      <c r="Q98" s="11">
        <f t="shared" si="1"/>
        <v>587</v>
      </c>
      <c r="R98" s="11">
        <f t="shared" si="2"/>
        <v>767</v>
      </c>
      <c r="S98" s="11">
        <f t="shared" si="3"/>
        <v>622</v>
      </c>
      <c r="T98" s="11">
        <f t="shared" si="4"/>
        <v>776</v>
      </c>
      <c r="U98" s="10">
        <f>IF(Q98&gt;0,(I98/Q98-District!$B$4)*100,"")</f>
        <v>11.66442736</v>
      </c>
      <c r="V98" s="10">
        <f>IF(R98&gt;0,(K98/R98-District!$B$5)*100,"")</f>
        <v>11.91886805</v>
      </c>
      <c r="W98" s="10">
        <f>IF(S98&gt;0,(M98/S98-District!$B$6)*100,"")</f>
        <v>14.93337801</v>
      </c>
      <c r="X98" s="10">
        <f>IF(T98&gt;0,(O98/T98-District!$B$7)*100,"")</f>
        <v>15.19429951</v>
      </c>
      <c r="Y98" s="28">
        <f t="shared" si="5"/>
        <v>11.91886728</v>
      </c>
      <c r="Z98" s="5">
        <f t="shared" si="6"/>
        <v>144</v>
      </c>
      <c r="AA98" s="28">
        <f t="shared" si="7"/>
        <v>14.93337739</v>
      </c>
      <c r="AB98" s="5">
        <f t="shared" si="8"/>
        <v>168</v>
      </c>
      <c r="AC98" s="28">
        <f t="shared" si="9"/>
        <v>15.19429873</v>
      </c>
      <c r="AD98" s="5">
        <f t="shared" si="10"/>
        <v>194</v>
      </c>
    </row>
    <row r="99" ht="15.75" customHeight="1">
      <c r="A99" s="5" t="s">
        <v>708</v>
      </c>
      <c r="B99" s="5" t="s">
        <v>234</v>
      </c>
      <c r="C99" s="5" t="s">
        <v>236</v>
      </c>
      <c r="D99" s="5">
        <v>480.0</v>
      </c>
      <c r="E99" s="5" t="s">
        <v>122</v>
      </c>
      <c r="F99" s="5" t="s">
        <v>270</v>
      </c>
      <c r="G99" s="5" t="s">
        <v>270</v>
      </c>
      <c r="H99" s="5" t="s">
        <v>270</v>
      </c>
      <c r="I99" s="11">
        <v>415.0</v>
      </c>
      <c r="J99" s="11">
        <v>235.0</v>
      </c>
      <c r="K99" s="11">
        <v>491.0</v>
      </c>
      <c r="L99" s="11">
        <v>298.0</v>
      </c>
      <c r="M99" s="11">
        <v>446.0</v>
      </c>
      <c r="N99" s="11">
        <v>239.0</v>
      </c>
      <c r="O99" s="11">
        <v>502.0</v>
      </c>
      <c r="P99" s="11">
        <v>283.0</v>
      </c>
      <c r="Q99" s="11">
        <f t="shared" si="1"/>
        <v>650</v>
      </c>
      <c r="R99" s="11">
        <f t="shared" si="2"/>
        <v>789</v>
      </c>
      <c r="S99" s="11">
        <f t="shared" si="3"/>
        <v>685</v>
      </c>
      <c r="T99" s="11">
        <f t="shared" si="4"/>
        <v>785</v>
      </c>
      <c r="U99" s="10">
        <f>IF(Q99&gt;0,(I99/Q99-District!$B$4)*100,"")</f>
        <v>10.43392022</v>
      </c>
      <c r="V99" s="10">
        <f>IF(R99&gt;0,(K99/R99-District!$B$5)*100,"")</f>
        <v>12.48070015</v>
      </c>
      <c r="W99" s="10">
        <f>IF(S99&gt;0,(M99/S99-District!$B$6)*100,"")</f>
        <v>14.12646835</v>
      </c>
      <c r="X99" s="10">
        <f>IF(T99&gt;0,(O99/T99-District!$B$7)*100,"")</f>
        <v>14.45262244</v>
      </c>
      <c r="Y99" s="28">
        <f t="shared" si="5"/>
        <v>12.48069936</v>
      </c>
      <c r="Z99" s="5">
        <f t="shared" si="6"/>
        <v>145</v>
      </c>
      <c r="AA99" s="28">
        <f t="shared" si="7"/>
        <v>14.12646766</v>
      </c>
      <c r="AB99" s="5">
        <f t="shared" si="8"/>
        <v>161</v>
      </c>
      <c r="AC99" s="28">
        <f t="shared" si="9"/>
        <v>14.45262166</v>
      </c>
      <c r="AD99" s="5">
        <f t="shared" si="10"/>
        <v>190</v>
      </c>
    </row>
    <row r="100" ht="15.75" customHeight="1">
      <c r="A100" s="5" t="s">
        <v>709</v>
      </c>
      <c r="B100" s="5" t="s">
        <v>234</v>
      </c>
      <c r="C100" s="5" t="s">
        <v>236</v>
      </c>
      <c r="D100" s="5">
        <v>490.0</v>
      </c>
      <c r="E100" s="5" t="s">
        <v>122</v>
      </c>
      <c r="F100" s="5"/>
      <c r="G100" s="5"/>
      <c r="H100" s="5"/>
      <c r="I100" s="11"/>
      <c r="J100" s="11"/>
      <c r="K100" s="11">
        <v>359.0</v>
      </c>
      <c r="L100" s="11">
        <v>230.0</v>
      </c>
      <c r="M100" s="11">
        <v>1124.0</v>
      </c>
      <c r="N100" s="11">
        <v>650.0</v>
      </c>
      <c r="O100" s="11">
        <v>1315.0</v>
      </c>
      <c r="P100" s="11">
        <v>921.0</v>
      </c>
      <c r="Q100" s="11">
        <f t="shared" si="1"/>
        <v>0</v>
      </c>
      <c r="R100" s="11">
        <f t="shared" si="2"/>
        <v>589</v>
      </c>
      <c r="S100" s="11">
        <f t="shared" si="3"/>
        <v>1774</v>
      </c>
      <c r="T100" s="11">
        <f t="shared" si="4"/>
        <v>2236</v>
      </c>
      <c r="U100" s="10" t="str">
        <f>IF(Q100&gt;0,(I100/Q100-District!$B$4)*100,"")</f>
        <v/>
      </c>
      <c r="V100" s="10">
        <f>IF(R100&gt;0,(K100/R100-District!$B$5)*100,"")</f>
        <v>11.20079242</v>
      </c>
      <c r="W100" s="10">
        <f>IF(S100&gt;0,(M100/S100-District!$B$6)*100,"")</f>
        <v>12.37661853</v>
      </c>
      <c r="X100" s="10">
        <f>IF(T100&gt;0,(O100/T100-District!$B$7)*100,"")</f>
        <v>9.313953528</v>
      </c>
      <c r="Y100" s="28" t="str">
        <f t="shared" si="5"/>
        <v/>
      </c>
      <c r="Z100" s="5" t="str">
        <f t="shared" si="6"/>
        <v/>
      </c>
      <c r="AA100" s="28" t="str">
        <f t="shared" si="7"/>
        <v/>
      </c>
      <c r="AB100" s="5" t="str">
        <f t="shared" si="8"/>
        <v/>
      </c>
      <c r="AC100" s="28" t="str">
        <f t="shared" si="9"/>
        <v/>
      </c>
      <c r="AD100" s="5" t="str">
        <f t="shared" si="10"/>
        <v/>
      </c>
    </row>
    <row r="101" ht="15.75" customHeight="1">
      <c r="A101" s="5" t="s">
        <v>710</v>
      </c>
      <c r="B101" s="5" t="s">
        <v>234</v>
      </c>
      <c r="C101" s="5" t="s">
        <v>236</v>
      </c>
      <c r="D101" s="5">
        <v>495.0</v>
      </c>
      <c r="E101" s="5" t="s">
        <v>122</v>
      </c>
      <c r="F101" s="5"/>
      <c r="G101" s="5"/>
      <c r="H101" s="5"/>
      <c r="I101" s="11">
        <v>978.0</v>
      </c>
      <c r="J101" s="11">
        <v>585.0</v>
      </c>
      <c r="K101" s="11">
        <v>965.0</v>
      </c>
      <c r="L101" s="11">
        <v>637.0</v>
      </c>
      <c r="M101" s="11"/>
      <c r="N101" s="11"/>
      <c r="O101" s="11"/>
      <c r="P101" s="11"/>
      <c r="Q101" s="11">
        <f t="shared" si="1"/>
        <v>1563</v>
      </c>
      <c r="R101" s="11">
        <f t="shared" si="2"/>
        <v>1602</v>
      </c>
      <c r="S101" s="11">
        <f t="shared" si="3"/>
        <v>0</v>
      </c>
      <c r="T101" s="11">
        <f t="shared" si="4"/>
        <v>0</v>
      </c>
      <c r="U101" s="10">
        <f>IF(Q101&gt;0,(I101/Q101-District!$B$4)*100,"")</f>
        <v>9.159743342</v>
      </c>
      <c r="V101" s="10">
        <f>IF(R101&gt;0,(K101/R101-District!$B$5)*100,"")</f>
        <v>10.48723191</v>
      </c>
      <c r="W101" s="10" t="str">
        <f>IF(S101&gt;0,(M101/S101-District!$B$6)*100,"")</f>
        <v/>
      </c>
      <c r="X101" s="10" t="str">
        <f>IF(T101&gt;0,(O101/T101-District!$B$7)*100,"")</f>
        <v/>
      </c>
      <c r="Y101" s="28" t="str">
        <f t="shared" si="5"/>
        <v/>
      </c>
      <c r="Z101" s="5" t="str">
        <f t="shared" si="6"/>
        <v/>
      </c>
      <c r="AA101" s="28" t="str">
        <f t="shared" si="7"/>
        <v/>
      </c>
      <c r="AB101" s="5" t="str">
        <f t="shared" si="8"/>
        <v/>
      </c>
      <c r="AC101" s="28" t="str">
        <f t="shared" si="9"/>
        <v/>
      </c>
      <c r="AD101" s="5" t="str">
        <f t="shared" si="10"/>
        <v/>
      </c>
    </row>
    <row r="102" ht="15.75" customHeight="1">
      <c r="A102" s="5" t="s">
        <v>711</v>
      </c>
      <c r="B102" s="5" t="s">
        <v>234</v>
      </c>
      <c r="C102" s="5" t="s">
        <v>236</v>
      </c>
      <c r="D102" s="5">
        <v>500.0</v>
      </c>
      <c r="E102" s="5" t="s">
        <v>122</v>
      </c>
      <c r="F102" s="5" t="s">
        <v>273</v>
      </c>
      <c r="G102" s="5" t="s">
        <v>273</v>
      </c>
      <c r="H102" s="5" t="s">
        <v>273</v>
      </c>
      <c r="I102" s="11">
        <v>398.0</v>
      </c>
      <c r="J102" s="11">
        <v>167.0</v>
      </c>
      <c r="K102" s="11">
        <v>509.0</v>
      </c>
      <c r="L102" s="11">
        <v>243.0</v>
      </c>
      <c r="M102" s="11">
        <v>410.0</v>
      </c>
      <c r="N102" s="11">
        <v>165.0</v>
      </c>
      <c r="O102" s="11">
        <v>488.0</v>
      </c>
      <c r="P102" s="11">
        <v>252.0</v>
      </c>
      <c r="Q102" s="11">
        <f t="shared" si="1"/>
        <v>565</v>
      </c>
      <c r="R102" s="11">
        <f t="shared" si="2"/>
        <v>752</v>
      </c>
      <c r="S102" s="11">
        <f t="shared" si="3"/>
        <v>575</v>
      </c>
      <c r="T102" s="11">
        <f t="shared" si="4"/>
        <v>740</v>
      </c>
      <c r="U102" s="10">
        <f>IF(Q102&gt;0,(I102/Q102-District!$B$4)*100,"")</f>
        <v>17.03024425</v>
      </c>
      <c r="V102" s="10">
        <f>IF(R102&gt;0,(K102/R102-District!$B$5)*100,"")</f>
        <v>17.93619863</v>
      </c>
      <c r="W102" s="10">
        <f>IF(S102&gt;0,(M102/S102-District!$B$6)*100,"")</f>
        <v>20.32132712</v>
      </c>
      <c r="X102" s="10">
        <f>IF(T102&gt;0,(O102/T102-District!$B$7)*100,"")</f>
        <v>16.4495238</v>
      </c>
      <c r="Y102" s="28">
        <f t="shared" si="5"/>
        <v>17.93619787</v>
      </c>
      <c r="Z102" s="5">
        <f t="shared" si="6"/>
        <v>206</v>
      </c>
      <c r="AA102" s="28">
        <f t="shared" si="7"/>
        <v>20.32132655</v>
      </c>
      <c r="AB102" s="5">
        <f t="shared" si="8"/>
        <v>215</v>
      </c>
      <c r="AC102" s="28">
        <f t="shared" si="9"/>
        <v>20.32132638</v>
      </c>
      <c r="AD102" s="5">
        <f t="shared" si="10"/>
        <v>244</v>
      </c>
    </row>
    <row r="103" ht="15.75" customHeight="1">
      <c r="A103" s="5" t="s">
        <v>712</v>
      </c>
      <c r="B103" s="5" t="s">
        <v>234</v>
      </c>
      <c r="C103" s="5" t="s">
        <v>236</v>
      </c>
      <c r="D103" s="5">
        <v>510.0</v>
      </c>
      <c r="E103" s="5" t="s">
        <v>122</v>
      </c>
      <c r="F103" s="5" t="s">
        <v>274</v>
      </c>
      <c r="G103" s="5" t="s">
        <v>274</v>
      </c>
      <c r="H103" s="5" t="s">
        <v>274</v>
      </c>
      <c r="I103" s="11"/>
      <c r="J103" s="11"/>
      <c r="K103" s="11">
        <v>598.0</v>
      </c>
      <c r="L103" s="11">
        <v>387.0</v>
      </c>
      <c r="M103" s="11">
        <v>483.0</v>
      </c>
      <c r="N103" s="11">
        <v>278.0</v>
      </c>
      <c r="O103" s="11">
        <v>601.0</v>
      </c>
      <c r="P103" s="11">
        <v>394.0</v>
      </c>
      <c r="Q103" s="11">
        <f t="shared" si="1"/>
        <v>0</v>
      </c>
      <c r="R103" s="11">
        <f t="shared" si="2"/>
        <v>985</v>
      </c>
      <c r="S103" s="11">
        <f t="shared" si="3"/>
        <v>761</v>
      </c>
      <c r="T103" s="11">
        <f t="shared" si="4"/>
        <v>995</v>
      </c>
      <c r="U103" s="10" t="str">
        <f>IF(Q103&gt;0,(I103/Q103-District!$B$4)*100,"")</f>
        <v/>
      </c>
      <c r="V103" s="10">
        <f>IF(R103&gt;0,(K103/R103-District!$B$5)*100,"")</f>
        <v>10.96068831</v>
      </c>
      <c r="W103" s="10">
        <f>IF(S103&gt;0,(M103/S103-District!$B$6)*100,"")</f>
        <v>12.48609887</v>
      </c>
      <c r="X103" s="10">
        <f>IF(T103&gt;0,(O103/T103-District!$B$7)*100,"")</f>
        <v>10.90558791</v>
      </c>
      <c r="Y103" s="28" t="str">
        <f t="shared" si="5"/>
        <v/>
      </c>
      <c r="Z103" s="5" t="str">
        <f t="shared" si="6"/>
        <v/>
      </c>
      <c r="AA103" s="28">
        <f t="shared" si="7"/>
        <v>12.48609811</v>
      </c>
      <c r="AB103" s="5">
        <f t="shared" si="8"/>
        <v>142</v>
      </c>
      <c r="AC103" s="28">
        <f t="shared" si="9"/>
        <v>12.48609788</v>
      </c>
      <c r="AD103" s="5">
        <f t="shared" si="10"/>
        <v>164</v>
      </c>
    </row>
    <row r="104" ht="15.75" customHeight="1">
      <c r="A104" s="5" t="s">
        <v>713</v>
      </c>
      <c r="B104" s="5" t="s">
        <v>234</v>
      </c>
      <c r="C104" s="5" t="s">
        <v>236</v>
      </c>
      <c r="D104" s="5">
        <v>515.0</v>
      </c>
      <c r="E104" s="5" t="s">
        <v>122</v>
      </c>
      <c r="F104" s="5"/>
      <c r="G104" s="5"/>
      <c r="H104" s="5"/>
      <c r="I104" s="11">
        <v>482.0</v>
      </c>
      <c r="J104" s="11">
        <v>276.0</v>
      </c>
      <c r="K104" s="11"/>
      <c r="L104" s="11"/>
      <c r="M104" s="11"/>
      <c r="N104" s="11"/>
      <c r="O104" s="11"/>
      <c r="P104" s="11"/>
      <c r="Q104" s="11">
        <f t="shared" si="1"/>
        <v>758</v>
      </c>
      <c r="R104" s="11">
        <f t="shared" si="2"/>
        <v>0</v>
      </c>
      <c r="S104" s="11">
        <f t="shared" si="3"/>
        <v>0</v>
      </c>
      <c r="T104" s="11">
        <f t="shared" si="4"/>
        <v>0</v>
      </c>
      <c r="U104" s="10">
        <f>IF(Q104&gt;0,(I104/Q104-District!$B$4)*100,"")</f>
        <v>10.17615688</v>
      </c>
      <c r="V104" s="10" t="str">
        <f>IF(R104&gt;0,(K104/R104-District!$B$5)*100,"")</f>
        <v/>
      </c>
      <c r="W104" s="10" t="str">
        <f>IF(S104&gt;0,(M104/S104-District!$B$6)*100,"")</f>
        <v/>
      </c>
      <c r="X104" s="10" t="str">
        <f>IF(T104&gt;0,(O104/T104-District!$B$7)*100,"")</f>
        <v/>
      </c>
      <c r="Y104" s="28" t="str">
        <f t="shared" si="5"/>
        <v/>
      </c>
      <c r="Z104" s="5" t="str">
        <f t="shared" si="6"/>
        <v/>
      </c>
      <c r="AA104" s="28" t="str">
        <f t="shared" si="7"/>
        <v/>
      </c>
      <c r="AB104" s="5" t="str">
        <f t="shared" si="8"/>
        <v/>
      </c>
      <c r="AC104" s="28" t="str">
        <f t="shared" si="9"/>
        <v/>
      </c>
      <c r="AD104" s="5" t="str">
        <f t="shared" si="10"/>
        <v/>
      </c>
    </row>
    <row r="105" ht="15.75" customHeight="1">
      <c r="A105" s="5" t="s">
        <v>714</v>
      </c>
      <c r="B105" s="5" t="s">
        <v>234</v>
      </c>
      <c r="C105" s="5" t="s">
        <v>236</v>
      </c>
      <c r="D105" s="5">
        <v>520.0</v>
      </c>
      <c r="E105" s="5" t="s">
        <v>122</v>
      </c>
      <c r="F105" s="5" t="s">
        <v>276</v>
      </c>
      <c r="G105" s="5" t="s">
        <v>276</v>
      </c>
      <c r="H105" s="5" t="s">
        <v>276</v>
      </c>
      <c r="I105" s="11">
        <v>261.0</v>
      </c>
      <c r="J105" s="11">
        <v>120.0</v>
      </c>
      <c r="K105" s="11">
        <v>362.0</v>
      </c>
      <c r="L105" s="11">
        <v>219.0</v>
      </c>
      <c r="M105" s="11">
        <v>212.0</v>
      </c>
      <c r="N105" s="11">
        <v>155.0</v>
      </c>
      <c r="O105" s="11">
        <v>330.0</v>
      </c>
      <c r="P105" s="11">
        <v>270.0</v>
      </c>
      <c r="Q105" s="11">
        <f t="shared" si="1"/>
        <v>381</v>
      </c>
      <c r="R105" s="11">
        <f t="shared" si="2"/>
        <v>581</v>
      </c>
      <c r="S105" s="11">
        <f t="shared" si="3"/>
        <v>367</v>
      </c>
      <c r="T105" s="11">
        <f t="shared" si="4"/>
        <v>600</v>
      </c>
      <c r="U105" s="10">
        <f>IF(Q105&gt;0,(I105/Q105-District!$B$4)*100,"")</f>
        <v>15.09170338</v>
      </c>
      <c r="V105" s="10">
        <f>IF(R105&gt;0,(K105/R105-District!$B$5)*100,"")</f>
        <v>12.55639674</v>
      </c>
      <c r="W105" s="10">
        <f>IF(S105&gt;0,(M105/S105-District!$B$6)*100,"")</f>
        <v>6.78264687</v>
      </c>
      <c r="X105" s="10">
        <f>IF(T105&gt;0,(O105/T105-District!$B$7)*100,"")</f>
        <v>5.503577857</v>
      </c>
      <c r="Y105" s="28">
        <f t="shared" si="5"/>
        <v>15.0917028</v>
      </c>
      <c r="Z105" s="5">
        <f t="shared" si="6"/>
        <v>176</v>
      </c>
      <c r="AA105" s="28">
        <f t="shared" si="7"/>
        <v>12.55639638</v>
      </c>
      <c r="AB105" s="5">
        <f t="shared" si="8"/>
        <v>144</v>
      </c>
      <c r="AC105" s="28">
        <f t="shared" si="9"/>
        <v>6.78264627</v>
      </c>
      <c r="AD105" s="5">
        <f t="shared" si="10"/>
        <v>99</v>
      </c>
    </row>
    <row r="106" ht="15.75" customHeight="1">
      <c r="A106" s="5" t="s">
        <v>715</v>
      </c>
      <c r="B106" s="5" t="s">
        <v>234</v>
      </c>
      <c r="C106" s="5" t="s">
        <v>236</v>
      </c>
      <c r="D106" s="5">
        <v>530.0</v>
      </c>
      <c r="E106" s="5" t="s">
        <v>122</v>
      </c>
      <c r="F106" s="5" t="s">
        <v>277</v>
      </c>
      <c r="G106" s="5" t="s">
        <v>277</v>
      </c>
      <c r="H106" s="5" t="s">
        <v>277</v>
      </c>
      <c r="I106" s="11">
        <v>491.0</v>
      </c>
      <c r="J106" s="11">
        <v>166.0</v>
      </c>
      <c r="K106" s="11">
        <v>687.0</v>
      </c>
      <c r="L106" s="11">
        <v>278.0</v>
      </c>
      <c r="M106" s="11">
        <v>384.0</v>
      </c>
      <c r="N106" s="11">
        <v>166.0</v>
      </c>
      <c r="O106" s="11">
        <v>591.0</v>
      </c>
      <c r="P106" s="11">
        <v>333.0</v>
      </c>
      <c r="Q106" s="11">
        <f t="shared" si="1"/>
        <v>657</v>
      </c>
      <c r="R106" s="11">
        <f t="shared" si="2"/>
        <v>965</v>
      </c>
      <c r="S106" s="11">
        <f t="shared" si="3"/>
        <v>550</v>
      </c>
      <c r="T106" s="11">
        <f t="shared" si="4"/>
        <v>924</v>
      </c>
      <c r="U106" s="10">
        <f>IF(Q106&gt;0,(I106/Q106-District!$B$4)*100,"")</f>
        <v>21.32140412</v>
      </c>
      <c r="V106" s="10">
        <f>IF(R106&gt;0,(K106/R106-District!$B$5)*100,"")</f>
        <v>21.44173826</v>
      </c>
      <c r="W106" s="10">
        <f>IF(S106&gt;0,(M106/S106-District!$B$6)*100,"")</f>
        <v>18.83516111</v>
      </c>
      <c r="X106" s="10">
        <f>IF(T106&gt;0,(O106/T106-District!$B$7)*100,"")</f>
        <v>14.46461682</v>
      </c>
      <c r="Y106" s="28">
        <f t="shared" si="5"/>
        <v>21.44173729</v>
      </c>
      <c r="Z106" s="5">
        <f t="shared" si="6"/>
        <v>239</v>
      </c>
      <c r="AA106" s="28">
        <f t="shared" si="7"/>
        <v>21.44173771</v>
      </c>
      <c r="AB106" s="5">
        <f t="shared" si="8"/>
        <v>220</v>
      </c>
      <c r="AC106" s="28">
        <f t="shared" si="9"/>
        <v>18.83516019</v>
      </c>
      <c r="AD106" s="5">
        <f t="shared" si="10"/>
        <v>229</v>
      </c>
    </row>
    <row r="107" ht="15.75" customHeight="1">
      <c r="A107" s="5" t="s">
        <v>716</v>
      </c>
      <c r="B107" s="5" t="s">
        <v>234</v>
      </c>
      <c r="C107" s="5" t="s">
        <v>236</v>
      </c>
      <c r="D107" s="5">
        <v>540.0</v>
      </c>
      <c r="E107" s="5" t="s">
        <v>122</v>
      </c>
      <c r="F107" s="5" t="s">
        <v>278</v>
      </c>
      <c r="G107" s="5" t="s">
        <v>278</v>
      </c>
      <c r="H107" s="5" t="s">
        <v>278</v>
      </c>
      <c r="I107" s="11">
        <v>266.0</v>
      </c>
      <c r="J107" s="11">
        <v>158.0</v>
      </c>
      <c r="K107" s="11">
        <v>345.0</v>
      </c>
      <c r="L107" s="11">
        <v>245.0</v>
      </c>
      <c r="M107" s="11">
        <v>254.0</v>
      </c>
      <c r="N107" s="11">
        <v>167.0</v>
      </c>
      <c r="O107" s="11">
        <v>347.0</v>
      </c>
      <c r="P107" s="11">
        <v>243.0</v>
      </c>
      <c r="Q107" s="11">
        <f t="shared" si="1"/>
        <v>424</v>
      </c>
      <c r="R107" s="11">
        <f t="shared" si="2"/>
        <v>590</v>
      </c>
      <c r="S107" s="11">
        <f t="shared" si="3"/>
        <v>421</v>
      </c>
      <c r="T107" s="11">
        <f t="shared" si="4"/>
        <v>590</v>
      </c>
      <c r="U107" s="10">
        <f>IF(Q107&gt;0,(I107/Q107-District!$B$4)*100,"")</f>
        <v>9.323615431</v>
      </c>
      <c r="V107" s="10">
        <f>IF(R107&gt;0,(K107/R107-District!$B$5)*100,"")</f>
        <v>8.724604684</v>
      </c>
      <c r="W107" s="10">
        <f>IF(S107&gt;0,(M107/S107-District!$B$6)*100,"")</f>
        <v>9.349520863</v>
      </c>
      <c r="X107" s="10">
        <f>IF(T107&gt;0,(O107/T107-District!$B$7)*100,"")</f>
        <v>9.317137179</v>
      </c>
      <c r="Y107" s="28">
        <f t="shared" si="5"/>
        <v>9.323614841</v>
      </c>
      <c r="Z107" s="5">
        <f t="shared" si="6"/>
        <v>120</v>
      </c>
      <c r="AA107" s="28">
        <f t="shared" si="7"/>
        <v>9.349520442</v>
      </c>
      <c r="AB107" s="5">
        <f t="shared" si="8"/>
        <v>115</v>
      </c>
      <c r="AC107" s="28">
        <f t="shared" si="9"/>
        <v>9.349520273</v>
      </c>
      <c r="AD107" s="5">
        <f t="shared" si="10"/>
        <v>124</v>
      </c>
    </row>
    <row r="108" ht="15.75" customHeight="1">
      <c r="A108" s="5" t="s">
        <v>717</v>
      </c>
      <c r="B108" s="5" t="s">
        <v>234</v>
      </c>
      <c r="C108" s="5" t="s">
        <v>236</v>
      </c>
      <c r="D108" s="5">
        <v>550.0</v>
      </c>
      <c r="E108" s="5" t="s">
        <v>122</v>
      </c>
      <c r="F108" s="5" t="s">
        <v>279</v>
      </c>
      <c r="G108" s="5" t="s">
        <v>279</v>
      </c>
      <c r="H108" s="5" t="s">
        <v>279</v>
      </c>
      <c r="I108" s="11">
        <v>296.0</v>
      </c>
      <c r="J108" s="11">
        <v>115.0</v>
      </c>
      <c r="K108" s="11">
        <v>522.0</v>
      </c>
      <c r="L108" s="11">
        <v>235.0</v>
      </c>
      <c r="M108" s="11">
        <v>265.0</v>
      </c>
      <c r="N108" s="11">
        <v>121.0</v>
      </c>
      <c r="O108" s="11">
        <v>440.0</v>
      </c>
      <c r="P108" s="11">
        <v>259.0</v>
      </c>
      <c r="Q108" s="11">
        <f t="shared" si="1"/>
        <v>411</v>
      </c>
      <c r="R108" s="11">
        <f t="shared" si="2"/>
        <v>757</v>
      </c>
      <c r="S108" s="11">
        <f t="shared" si="3"/>
        <v>386</v>
      </c>
      <c r="T108" s="11">
        <f t="shared" si="4"/>
        <v>699</v>
      </c>
      <c r="U108" s="10">
        <f>IF(Q108&gt;0,(I108/Q108-District!$B$4)*100,"")</f>
        <v>18.60723109</v>
      </c>
      <c r="V108" s="10">
        <f>IF(R108&gt;0,(K108/R108-District!$B$5)*100,"")</f>
        <v>19.20643528</v>
      </c>
      <c r="W108" s="10">
        <f>IF(S108&gt;0,(M108/S108-District!$B$6)*100,"")</f>
        <v>17.66982904</v>
      </c>
      <c r="X108" s="10">
        <f>IF(T108&gt;0,(O108/T108-District!$B$7)*100,"")</f>
        <v>13.4506451</v>
      </c>
      <c r="Y108" s="28">
        <f t="shared" si="5"/>
        <v>19.20643452</v>
      </c>
      <c r="Z108" s="5">
        <f t="shared" si="6"/>
        <v>218</v>
      </c>
      <c r="AA108" s="28">
        <f t="shared" si="7"/>
        <v>19.2064349</v>
      </c>
      <c r="AB108" s="5">
        <f t="shared" si="8"/>
        <v>207</v>
      </c>
      <c r="AC108" s="28">
        <f t="shared" si="9"/>
        <v>17.66982834</v>
      </c>
      <c r="AD108" s="5">
        <f t="shared" si="10"/>
        <v>218</v>
      </c>
    </row>
    <row r="109" ht="15.75" customHeight="1">
      <c r="A109" s="5" t="s">
        <v>718</v>
      </c>
      <c r="B109" s="5" t="s">
        <v>234</v>
      </c>
      <c r="C109" s="5" t="s">
        <v>236</v>
      </c>
      <c r="D109" s="5">
        <v>560.0</v>
      </c>
      <c r="E109" s="5" t="s">
        <v>122</v>
      </c>
      <c r="F109" s="5" t="s">
        <v>282</v>
      </c>
      <c r="G109" s="5" t="s">
        <v>282</v>
      </c>
      <c r="H109" s="5" t="s">
        <v>282</v>
      </c>
      <c r="I109" s="11">
        <v>367.0</v>
      </c>
      <c r="J109" s="11">
        <v>246.0</v>
      </c>
      <c r="K109" s="11">
        <v>531.0</v>
      </c>
      <c r="L109" s="11">
        <v>393.0</v>
      </c>
      <c r="M109" s="11">
        <v>351.0</v>
      </c>
      <c r="N109" s="11">
        <v>253.0</v>
      </c>
      <c r="O109" s="11">
        <v>553.0</v>
      </c>
      <c r="P109" s="11">
        <v>367.0</v>
      </c>
      <c r="Q109" s="11">
        <f t="shared" si="1"/>
        <v>613</v>
      </c>
      <c r="R109" s="11">
        <f t="shared" si="2"/>
        <v>924</v>
      </c>
      <c r="S109" s="11">
        <f t="shared" si="3"/>
        <v>604</v>
      </c>
      <c r="T109" s="11">
        <f t="shared" si="4"/>
        <v>920</v>
      </c>
      <c r="U109" s="10">
        <f>IF(Q109&gt;0,(I109/Q109-District!$B$4)*100,"")</f>
        <v>6.457260665</v>
      </c>
      <c r="V109" s="10">
        <f>IF(R109&gt;0,(K109/R109-District!$B$5)*100,"")</f>
        <v>7.71756088</v>
      </c>
      <c r="W109" s="10">
        <f>IF(S109&gt;0,(M109/S109-District!$B$6)*100,"")</f>
        <v>7.129562077</v>
      </c>
      <c r="X109" s="10">
        <f>IF(T109&gt;0,(O109/T109-District!$B$7)*100,"")</f>
        <v>10.61227351</v>
      </c>
      <c r="Y109" s="28">
        <f t="shared" si="5"/>
        <v>7.717559956</v>
      </c>
      <c r="Z109" s="5">
        <f t="shared" si="6"/>
        <v>106</v>
      </c>
      <c r="AA109" s="28">
        <f t="shared" si="7"/>
        <v>7.717560276</v>
      </c>
      <c r="AB109" s="5">
        <f t="shared" si="8"/>
        <v>101</v>
      </c>
      <c r="AC109" s="28">
        <f t="shared" si="9"/>
        <v>10.61227259</v>
      </c>
      <c r="AD109" s="5">
        <f t="shared" si="10"/>
        <v>140</v>
      </c>
    </row>
    <row r="110" ht="15.75" customHeight="1">
      <c r="A110" s="5" t="s">
        <v>719</v>
      </c>
      <c r="B110" s="5" t="s">
        <v>234</v>
      </c>
      <c r="C110" s="5" t="s">
        <v>236</v>
      </c>
      <c r="D110" s="5">
        <v>570.0</v>
      </c>
      <c r="E110" s="5" t="s">
        <v>122</v>
      </c>
      <c r="F110" s="5" t="s">
        <v>284</v>
      </c>
      <c r="G110" s="5" t="s">
        <v>284</v>
      </c>
      <c r="H110" s="5" t="s">
        <v>284</v>
      </c>
      <c r="I110" s="11">
        <v>603.0</v>
      </c>
      <c r="J110" s="11">
        <v>239.0</v>
      </c>
      <c r="K110" s="11">
        <v>932.0</v>
      </c>
      <c r="L110" s="11">
        <v>440.0</v>
      </c>
      <c r="M110" s="11">
        <v>493.0</v>
      </c>
      <c r="N110" s="11">
        <v>277.0</v>
      </c>
      <c r="O110" s="11">
        <v>821.0</v>
      </c>
      <c r="P110" s="11">
        <v>504.0</v>
      </c>
      <c r="Q110" s="11">
        <f t="shared" si="1"/>
        <v>842</v>
      </c>
      <c r="R110" s="11">
        <f t="shared" si="2"/>
        <v>1372</v>
      </c>
      <c r="S110" s="11">
        <f t="shared" si="3"/>
        <v>770</v>
      </c>
      <c r="T110" s="11">
        <f t="shared" si="4"/>
        <v>1325</v>
      </c>
      <c r="U110" s="10">
        <f>IF(Q110&gt;0,(I110/Q110-District!$B$4)*100,"")</f>
        <v>18.20296827</v>
      </c>
      <c r="V110" s="10">
        <f>IF(R110&gt;0,(K110/R110-District!$B$5)*100,"")</f>
        <v>18.18005757</v>
      </c>
      <c r="W110" s="10">
        <f>IF(S110&gt;0,(M110/S110-District!$B$6)*100,"")</f>
        <v>13.04295332</v>
      </c>
      <c r="X110" s="10">
        <f>IF(T110&gt;0,(O110/T110-District!$B$7)*100,"")</f>
        <v>12.46584201</v>
      </c>
      <c r="Y110" s="28">
        <f t="shared" si="5"/>
        <v>18.2029669</v>
      </c>
      <c r="Z110" s="5">
        <f t="shared" si="6"/>
        <v>209</v>
      </c>
      <c r="AA110" s="28">
        <f t="shared" si="7"/>
        <v>18.1800568</v>
      </c>
      <c r="AB110" s="5">
        <f t="shared" si="8"/>
        <v>197</v>
      </c>
      <c r="AC110" s="28">
        <f t="shared" si="9"/>
        <v>13.042952</v>
      </c>
      <c r="AD110" s="5">
        <f t="shared" si="10"/>
        <v>173</v>
      </c>
    </row>
    <row r="111" ht="15.75" customHeight="1">
      <c r="A111" s="5" t="s">
        <v>720</v>
      </c>
      <c r="B111" s="5" t="s">
        <v>234</v>
      </c>
      <c r="C111" s="5" t="s">
        <v>303</v>
      </c>
      <c r="D111" s="5">
        <v>580.0</v>
      </c>
      <c r="E111" s="5" t="s">
        <v>122</v>
      </c>
      <c r="F111" s="5" t="s">
        <v>304</v>
      </c>
      <c r="G111" s="5" t="s">
        <v>304</v>
      </c>
      <c r="H111" s="5" t="s">
        <v>304</v>
      </c>
      <c r="I111" s="11">
        <v>425.0</v>
      </c>
      <c r="J111" s="11">
        <v>139.0</v>
      </c>
      <c r="K111" s="11">
        <v>593.0</v>
      </c>
      <c r="L111" s="11">
        <v>230.0</v>
      </c>
      <c r="M111" s="11">
        <v>472.0</v>
      </c>
      <c r="N111" s="11">
        <v>160.0</v>
      </c>
      <c r="O111" s="11">
        <v>598.0</v>
      </c>
      <c r="P111" s="11">
        <v>253.0</v>
      </c>
      <c r="Q111" s="11">
        <f t="shared" si="1"/>
        <v>564</v>
      </c>
      <c r="R111" s="11">
        <f t="shared" si="2"/>
        <v>823</v>
      </c>
      <c r="S111" s="11">
        <f t="shared" si="3"/>
        <v>632</v>
      </c>
      <c r="T111" s="11">
        <f t="shared" si="4"/>
        <v>851</v>
      </c>
      <c r="U111" s="10">
        <f>IF(Q111&gt;0,(I111/Q111-District!$B$4)*100,"")</f>
        <v>21.9423763</v>
      </c>
      <c r="V111" s="10">
        <f>IF(R111&gt;0,(K111/R111-District!$B$5)*100,"")</f>
        <v>22.30349135</v>
      </c>
      <c r="W111" s="10">
        <f>IF(S111&gt;0,(M111/S111-District!$B$6)*100,"")</f>
        <v>23.7005236</v>
      </c>
      <c r="X111" s="10">
        <f>IF(T111&gt;0,(O111/T111-District!$B$7)*100,"")</f>
        <v>20.77384813</v>
      </c>
      <c r="Y111" s="28">
        <f t="shared" si="5"/>
        <v>22.30349053</v>
      </c>
      <c r="Z111" s="5">
        <f t="shared" si="6"/>
        <v>248</v>
      </c>
      <c r="AA111" s="28">
        <f t="shared" si="7"/>
        <v>23.70052297</v>
      </c>
      <c r="AB111" s="5">
        <f t="shared" si="8"/>
        <v>233</v>
      </c>
      <c r="AC111" s="28">
        <f t="shared" si="9"/>
        <v>23.70052275</v>
      </c>
      <c r="AD111" s="5">
        <f t="shared" si="10"/>
        <v>266</v>
      </c>
    </row>
    <row r="112" ht="15.75" customHeight="1">
      <c r="A112" s="5" t="s">
        <v>721</v>
      </c>
      <c r="B112" s="5" t="s">
        <v>234</v>
      </c>
      <c r="C112" s="5" t="s">
        <v>303</v>
      </c>
      <c r="D112" s="5">
        <v>590.0</v>
      </c>
      <c r="E112" s="5" t="s">
        <v>122</v>
      </c>
      <c r="F112" s="5" t="s">
        <v>305</v>
      </c>
      <c r="G112" s="5" t="s">
        <v>305</v>
      </c>
      <c r="H112" s="5" t="s">
        <v>305</v>
      </c>
      <c r="I112" s="11">
        <v>325.0</v>
      </c>
      <c r="J112" s="11">
        <v>106.0</v>
      </c>
      <c r="K112" s="11">
        <v>414.0</v>
      </c>
      <c r="L112" s="11">
        <v>216.0</v>
      </c>
      <c r="M112" s="11">
        <v>324.0</v>
      </c>
      <c r="N112" s="11">
        <v>138.0</v>
      </c>
      <c r="O112" s="11">
        <v>420.0</v>
      </c>
      <c r="P112" s="11">
        <v>214.0</v>
      </c>
      <c r="Q112" s="11">
        <f t="shared" si="1"/>
        <v>431</v>
      </c>
      <c r="R112" s="11">
        <f t="shared" si="2"/>
        <v>630</v>
      </c>
      <c r="S112" s="11">
        <f t="shared" si="3"/>
        <v>462</v>
      </c>
      <c r="T112" s="11">
        <f t="shared" si="4"/>
        <v>634</v>
      </c>
      <c r="U112" s="10">
        <f>IF(Q112&gt;0,(I112/Q112-District!$B$4)*100,"")</f>
        <v>21.99379886</v>
      </c>
      <c r="V112" s="10">
        <f>IF(R112&gt;0,(K112/R112-District!$B$5)*100,"")</f>
        <v>15.96431413</v>
      </c>
      <c r="W112" s="10">
        <f>IF(S112&gt;0,(M112/S112-District!$B$6)*100,"")</f>
        <v>19.14684943</v>
      </c>
      <c r="X112" s="10">
        <f>IF(T112&gt;0,(O112/T112-District!$B$7)*100,"")</f>
        <v>16.74963464</v>
      </c>
      <c r="Y112" s="28">
        <f t="shared" si="5"/>
        <v>21.99379823</v>
      </c>
      <c r="Z112" s="5">
        <f t="shared" si="6"/>
        <v>244</v>
      </c>
      <c r="AA112" s="28">
        <f t="shared" si="7"/>
        <v>19.14684896</v>
      </c>
      <c r="AB112" s="5">
        <f t="shared" si="8"/>
        <v>204</v>
      </c>
      <c r="AC112" s="28">
        <f t="shared" si="9"/>
        <v>19.14684879</v>
      </c>
      <c r="AD112" s="5">
        <f t="shared" si="10"/>
        <v>232</v>
      </c>
    </row>
    <row r="113" ht="15.75" customHeight="1">
      <c r="A113" s="5" t="s">
        <v>722</v>
      </c>
      <c r="B113" s="5" t="s">
        <v>234</v>
      </c>
      <c r="C113" s="5" t="s">
        <v>303</v>
      </c>
      <c r="D113" s="5">
        <v>600.0</v>
      </c>
      <c r="E113" s="5" t="s">
        <v>122</v>
      </c>
      <c r="F113" s="5" t="s">
        <v>306</v>
      </c>
      <c r="G113" s="5" t="s">
        <v>306</v>
      </c>
      <c r="H113" s="5" t="s">
        <v>306</v>
      </c>
      <c r="I113" s="11">
        <v>328.0</v>
      </c>
      <c r="J113" s="11">
        <v>109.0</v>
      </c>
      <c r="K113" s="11">
        <v>431.0</v>
      </c>
      <c r="L113" s="11">
        <v>182.0</v>
      </c>
      <c r="M113" s="11">
        <v>366.0</v>
      </c>
      <c r="N113" s="11">
        <v>124.0</v>
      </c>
      <c r="O113" s="11">
        <v>438.0</v>
      </c>
      <c r="P113" s="11">
        <v>176.0</v>
      </c>
      <c r="Q113" s="11">
        <f t="shared" si="1"/>
        <v>437</v>
      </c>
      <c r="R113" s="11">
        <f t="shared" si="2"/>
        <v>613</v>
      </c>
      <c r="S113" s="11">
        <f t="shared" si="3"/>
        <v>490</v>
      </c>
      <c r="T113" s="11">
        <f t="shared" si="4"/>
        <v>614</v>
      </c>
      <c r="U113" s="10">
        <f>IF(Q113&gt;0,(I113/Q113-District!$B$4)*100,"")</f>
        <v>21.64497461</v>
      </c>
      <c r="V113" s="10">
        <f>IF(R113&gt;0,(K113/R113-District!$B$5)*100,"")</f>
        <v>20.55997947</v>
      </c>
      <c r="W113" s="10">
        <f>IF(S113&gt;0,(M113/S113-District!$B$6)*100,"")</f>
        <v>23.71085685</v>
      </c>
      <c r="X113" s="10">
        <f>IF(T113&gt;0,(O113/T113-District!$B$7)*100,"")</f>
        <v>21.83908274</v>
      </c>
      <c r="Y113" s="28">
        <f t="shared" si="5"/>
        <v>21.644974</v>
      </c>
      <c r="Z113" s="5">
        <f t="shared" si="6"/>
        <v>241</v>
      </c>
      <c r="AA113" s="28">
        <f t="shared" si="7"/>
        <v>23.71085636</v>
      </c>
      <c r="AB113" s="5">
        <f t="shared" si="8"/>
        <v>234</v>
      </c>
      <c r="AC113" s="28">
        <f t="shared" si="9"/>
        <v>23.71085623</v>
      </c>
      <c r="AD113" s="5">
        <f t="shared" si="10"/>
        <v>267</v>
      </c>
    </row>
    <row r="114" ht="15.75" customHeight="1">
      <c r="A114" s="5" t="s">
        <v>723</v>
      </c>
      <c r="B114" s="5" t="s">
        <v>234</v>
      </c>
      <c r="C114" s="5" t="s">
        <v>303</v>
      </c>
      <c r="D114" s="5">
        <v>610.0</v>
      </c>
      <c r="E114" s="5" t="s">
        <v>122</v>
      </c>
      <c r="F114" s="5" t="s">
        <v>307</v>
      </c>
      <c r="G114" s="5" t="s">
        <v>307</v>
      </c>
      <c r="H114" s="5" t="s">
        <v>307</v>
      </c>
      <c r="I114" s="11">
        <v>358.0</v>
      </c>
      <c r="J114" s="11">
        <v>130.0</v>
      </c>
      <c r="K114" s="11">
        <v>467.0</v>
      </c>
      <c r="L114" s="11">
        <v>214.0</v>
      </c>
      <c r="M114" s="11">
        <v>415.0</v>
      </c>
      <c r="N114" s="11">
        <v>166.0</v>
      </c>
      <c r="O114" s="11">
        <v>463.0</v>
      </c>
      <c r="P114" s="11">
        <v>219.0</v>
      </c>
      <c r="Q114" s="11">
        <f t="shared" si="1"/>
        <v>488</v>
      </c>
      <c r="R114" s="11">
        <f t="shared" si="2"/>
        <v>681</v>
      </c>
      <c r="S114" s="11">
        <f t="shared" si="3"/>
        <v>581</v>
      </c>
      <c r="T114" s="11">
        <f t="shared" si="4"/>
        <v>682</v>
      </c>
      <c r="U114" s="10">
        <f>IF(Q114&gt;0,(I114/Q114-District!$B$4)*100,"")</f>
        <v>19.94842211</v>
      </c>
      <c r="V114" s="10">
        <f>IF(R114&gt;0,(K114/R114-District!$B$5)*100,"")</f>
        <v>18.82565249</v>
      </c>
      <c r="W114" s="10">
        <f>IF(S114&gt;0,(M114/S114-District!$B$6)*100,"")</f>
        <v>20.44555072</v>
      </c>
      <c r="X114" s="10">
        <f>IF(T114&gt;0,(O114/T114-District!$B$7)*100,"")</f>
        <v>18.39214091</v>
      </c>
      <c r="Y114" s="28">
        <f t="shared" si="5"/>
        <v>19.94842143</v>
      </c>
      <c r="Z114" s="5">
        <f t="shared" si="6"/>
        <v>224</v>
      </c>
      <c r="AA114" s="28">
        <f t="shared" si="7"/>
        <v>20.44555014</v>
      </c>
      <c r="AB114" s="5">
        <f t="shared" si="8"/>
        <v>216</v>
      </c>
      <c r="AC114" s="28">
        <f t="shared" si="9"/>
        <v>20.44555004</v>
      </c>
      <c r="AD114" s="5">
        <f t="shared" si="10"/>
        <v>245</v>
      </c>
    </row>
    <row r="115" ht="15.75" customHeight="1">
      <c r="A115" s="5" t="s">
        <v>724</v>
      </c>
      <c r="B115" s="5" t="s">
        <v>234</v>
      </c>
      <c r="C115" s="5" t="s">
        <v>303</v>
      </c>
      <c r="D115" s="5">
        <v>620.0</v>
      </c>
      <c r="E115" s="5" t="s">
        <v>122</v>
      </c>
      <c r="F115" s="5" t="s">
        <v>308</v>
      </c>
      <c r="G115" s="5" t="s">
        <v>308</v>
      </c>
      <c r="H115" s="5" t="s">
        <v>308</v>
      </c>
      <c r="I115" s="11">
        <v>548.0</v>
      </c>
      <c r="J115" s="11">
        <v>248.0</v>
      </c>
      <c r="K115" s="11">
        <v>811.0</v>
      </c>
      <c r="L115" s="11">
        <v>418.0</v>
      </c>
      <c r="M115" s="11">
        <v>571.0</v>
      </c>
      <c r="N115" s="11">
        <v>293.0</v>
      </c>
      <c r="O115" s="11">
        <v>782.0</v>
      </c>
      <c r="P115" s="11">
        <v>404.0</v>
      </c>
      <c r="Q115" s="11">
        <f t="shared" si="1"/>
        <v>796</v>
      </c>
      <c r="R115" s="11">
        <f t="shared" si="2"/>
        <v>1229</v>
      </c>
      <c r="S115" s="11">
        <f t="shared" si="3"/>
        <v>864</v>
      </c>
      <c r="T115" s="11">
        <f t="shared" si="4"/>
        <v>1186</v>
      </c>
      <c r="U115" s="10">
        <f>IF(Q115&gt;0,(I115/Q115-District!$B$4)*100,"")</f>
        <v>15.43198748</v>
      </c>
      <c r="V115" s="10">
        <f>IF(R115&gt;0,(K115/R115-District!$B$5)*100,"")</f>
        <v>16.23863704</v>
      </c>
      <c r="W115" s="10">
        <f>IF(S115&gt;0,(M115/S115-District!$B$6)*100,"")</f>
        <v>15.10494226</v>
      </c>
      <c r="X115" s="10">
        <f>IF(T115&gt;0,(O115/T115-District!$B$7)*100,"")</f>
        <v>16.43949691</v>
      </c>
      <c r="Y115" s="28">
        <f t="shared" si="5"/>
        <v>16.23863581</v>
      </c>
      <c r="Z115" s="5">
        <f t="shared" si="6"/>
        <v>195</v>
      </c>
      <c r="AA115" s="28">
        <f t="shared" si="7"/>
        <v>16.23863617</v>
      </c>
      <c r="AB115" s="5">
        <f t="shared" si="8"/>
        <v>179</v>
      </c>
      <c r="AC115" s="28">
        <f t="shared" si="9"/>
        <v>16.43949573</v>
      </c>
      <c r="AD115" s="5">
        <f t="shared" si="10"/>
        <v>207</v>
      </c>
    </row>
    <row r="116" ht="15.75" customHeight="1">
      <c r="A116" s="5" t="s">
        <v>725</v>
      </c>
      <c r="B116" s="5" t="s">
        <v>234</v>
      </c>
      <c r="C116" s="5" t="s">
        <v>303</v>
      </c>
      <c r="D116" s="5">
        <v>630.0</v>
      </c>
      <c r="E116" s="5" t="s">
        <v>122</v>
      </c>
      <c r="F116" s="5" t="s">
        <v>309</v>
      </c>
      <c r="G116" s="5" t="s">
        <v>309</v>
      </c>
      <c r="H116" s="5" t="s">
        <v>309</v>
      </c>
      <c r="I116" s="11">
        <v>370.0</v>
      </c>
      <c r="J116" s="11">
        <v>189.0</v>
      </c>
      <c r="K116" s="11">
        <v>498.0</v>
      </c>
      <c r="L116" s="11">
        <v>308.0</v>
      </c>
      <c r="M116" s="11">
        <v>400.0</v>
      </c>
      <c r="N116" s="11">
        <v>220.0</v>
      </c>
      <c r="O116" s="11">
        <v>503.0</v>
      </c>
      <c r="P116" s="11">
        <v>318.0</v>
      </c>
      <c r="Q116" s="11">
        <f t="shared" si="1"/>
        <v>559</v>
      </c>
      <c r="R116" s="11">
        <f t="shared" si="2"/>
        <v>806</v>
      </c>
      <c r="S116" s="11">
        <f t="shared" si="3"/>
        <v>620</v>
      </c>
      <c r="T116" s="11">
        <f t="shared" si="4"/>
        <v>821</v>
      </c>
      <c r="U116" s="10">
        <f>IF(Q116&gt;0,(I116/Q116-District!$B$4)*100,"")</f>
        <v>12.7773907</v>
      </c>
      <c r="V116" s="10">
        <f>IF(R116&gt;0,(K116/R116-District!$B$5)*100,"")</f>
        <v>12.03662891</v>
      </c>
      <c r="W116" s="10">
        <f>IF(S116&gt;0,(M116/S116-District!$B$6)*100,"")</f>
        <v>13.53310833</v>
      </c>
      <c r="X116" s="10">
        <f>IF(T116&gt;0,(O116/T116-District!$B$7)*100,"")</f>
        <v>11.77032573</v>
      </c>
      <c r="Y116" s="28">
        <f t="shared" si="5"/>
        <v>12.7773899</v>
      </c>
      <c r="Z116" s="5">
        <f t="shared" si="6"/>
        <v>150</v>
      </c>
      <c r="AA116" s="28">
        <f t="shared" si="7"/>
        <v>13.53310771</v>
      </c>
      <c r="AB116" s="5">
        <f t="shared" si="8"/>
        <v>158</v>
      </c>
      <c r="AC116" s="28">
        <f t="shared" si="9"/>
        <v>13.53310751</v>
      </c>
      <c r="AD116" s="5">
        <f t="shared" si="10"/>
        <v>178</v>
      </c>
    </row>
    <row r="117" ht="15.75" customHeight="1">
      <c r="A117" s="5" t="s">
        <v>726</v>
      </c>
      <c r="B117" s="5" t="s">
        <v>234</v>
      </c>
      <c r="C117" s="5" t="s">
        <v>303</v>
      </c>
      <c r="D117" s="5">
        <v>640.0</v>
      </c>
      <c r="E117" s="5" t="s">
        <v>122</v>
      </c>
      <c r="F117" s="5" t="s">
        <v>310</v>
      </c>
      <c r="G117" s="5" t="s">
        <v>310</v>
      </c>
      <c r="H117" s="5" t="s">
        <v>310</v>
      </c>
      <c r="I117" s="11">
        <v>410.0</v>
      </c>
      <c r="J117" s="11">
        <v>276.0</v>
      </c>
      <c r="K117" s="11">
        <v>596.0</v>
      </c>
      <c r="L117" s="11">
        <v>435.0</v>
      </c>
      <c r="M117" s="11">
        <v>465.0</v>
      </c>
      <c r="N117" s="11">
        <v>283.0</v>
      </c>
      <c r="O117" s="11">
        <v>597.0</v>
      </c>
      <c r="P117" s="11">
        <v>396.0</v>
      </c>
      <c r="Q117" s="11">
        <f t="shared" si="1"/>
        <v>686</v>
      </c>
      <c r="R117" s="11">
        <f t="shared" si="2"/>
        <v>1031</v>
      </c>
      <c r="S117" s="11">
        <f t="shared" si="3"/>
        <v>748</v>
      </c>
      <c r="T117" s="11">
        <f t="shared" si="4"/>
        <v>993</v>
      </c>
      <c r="U117" s="10">
        <f>IF(Q117&gt;0,(I117/Q117-District!$B$4)*100,"")</f>
        <v>6.354530223</v>
      </c>
      <c r="V117" s="10">
        <f>IF(R117&gt;0,(K117/R117-District!$B$5)*100,"")</f>
        <v>8.057981856</v>
      </c>
      <c r="W117" s="10">
        <f>IF(S117&gt;0,(M117/S117-District!$B$6)*100,"")</f>
        <v>11.1827547</v>
      </c>
      <c r="X117" s="10">
        <f>IF(T117&gt;0,(O117/T117-District!$B$7)*100,"")</f>
        <v>10.62442378</v>
      </c>
      <c r="Y117" s="28">
        <f t="shared" si="5"/>
        <v>8.057980825</v>
      </c>
      <c r="Z117" s="5">
        <f t="shared" si="6"/>
        <v>108</v>
      </c>
      <c r="AA117" s="28">
        <f t="shared" si="7"/>
        <v>11.18275395</v>
      </c>
      <c r="AB117" s="5">
        <f t="shared" si="8"/>
        <v>133</v>
      </c>
      <c r="AC117" s="28">
        <f t="shared" si="9"/>
        <v>11.1827537</v>
      </c>
      <c r="AD117" s="5">
        <f t="shared" si="10"/>
        <v>152</v>
      </c>
    </row>
    <row r="118" ht="15.75" customHeight="1">
      <c r="A118" s="5" t="s">
        <v>727</v>
      </c>
      <c r="B118" s="5" t="s">
        <v>234</v>
      </c>
      <c r="C118" s="5" t="s">
        <v>303</v>
      </c>
      <c r="D118" s="5">
        <v>650.0</v>
      </c>
      <c r="E118" s="5" t="s">
        <v>122</v>
      </c>
      <c r="F118" s="5" t="s">
        <v>311</v>
      </c>
      <c r="G118" s="5" t="s">
        <v>311</v>
      </c>
      <c r="H118" s="5" t="s">
        <v>311</v>
      </c>
      <c r="I118" s="11">
        <v>503.0</v>
      </c>
      <c r="J118" s="11">
        <v>299.0</v>
      </c>
      <c r="K118" s="11">
        <v>643.0</v>
      </c>
      <c r="L118" s="11">
        <v>452.0</v>
      </c>
      <c r="M118" s="11">
        <v>583.0</v>
      </c>
      <c r="N118" s="11">
        <v>335.0</v>
      </c>
      <c r="O118" s="11">
        <v>678.0</v>
      </c>
      <c r="P118" s="11">
        <v>451.0</v>
      </c>
      <c r="Q118" s="11">
        <f t="shared" si="1"/>
        <v>802</v>
      </c>
      <c r="R118" s="11">
        <f t="shared" si="2"/>
        <v>1095</v>
      </c>
      <c r="S118" s="11">
        <f t="shared" si="3"/>
        <v>918</v>
      </c>
      <c r="T118" s="11">
        <f t="shared" si="4"/>
        <v>1129</v>
      </c>
      <c r="U118" s="10">
        <f>IF(Q118&gt;0,(I118/Q118-District!$B$4)*100,"")</f>
        <v>9.305970863</v>
      </c>
      <c r="V118" s="10">
        <f>IF(R118&gt;0,(K118/R118-District!$B$5)*100,"")</f>
        <v>8.9714896</v>
      </c>
      <c r="W118" s="10">
        <f>IF(S118&gt;0,(M118/S118-District!$B$6)*100,"")</f>
        <v>12.52460457</v>
      </c>
      <c r="X118" s="10">
        <f>IF(T118&gt;0,(O118/T118-District!$B$7)*100,"")</f>
        <v>10.55672223</v>
      </c>
      <c r="Y118" s="28">
        <f t="shared" si="5"/>
        <v>9.305969768</v>
      </c>
      <c r="Z118" s="5">
        <f t="shared" si="6"/>
        <v>119</v>
      </c>
      <c r="AA118" s="28">
        <f t="shared" si="7"/>
        <v>12.52460365</v>
      </c>
      <c r="AB118" s="5">
        <f t="shared" si="8"/>
        <v>143</v>
      </c>
      <c r="AC118" s="28">
        <f t="shared" si="9"/>
        <v>12.52460344</v>
      </c>
      <c r="AD118" s="5">
        <f t="shared" si="10"/>
        <v>165</v>
      </c>
    </row>
    <row r="119" ht="15.75" customHeight="1">
      <c r="A119" s="5" t="s">
        <v>728</v>
      </c>
      <c r="B119" s="5" t="s">
        <v>234</v>
      </c>
      <c r="C119" s="5" t="s">
        <v>303</v>
      </c>
      <c r="D119" s="5">
        <v>660.0</v>
      </c>
      <c r="E119" s="5" t="s">
        <v>122</v>
      </c>
      <c r="F119" s="5" t="s">
        <v>313</v>
      </c>
      <c r="G119" s="5" t="s">
        <v>313</v>
      </c>
      <c r="H119" s="5" t="s">
        <v>313</v>
      </c>
      <c r="I119" s="11">
        <v>417.0</v>
      </c>
      <c r="J119" s="11">
        <v>193.0</v>
      </c>
      <c r="K119" s="11">
        <v>534.0</v>
      </c>
      <c r="L119" s="11">
        <v>314.0</v>
      </c>
      <c r="M119" s="11">
        <v>415.0</v>
      </c>
      <c r="N119" s="11">
        <v>238.0</v>
      </c>
      <c r="O119" s="11">
        <v>524.0</v>
      </c>
      <c r="P119" s="11">
        <v>327.0</v>
      </c>
      <c r="Q119" s="11">
        <f t="shared" si="1"/>
        <v>610</v>
      </c>
      <c r="R119" s="11">
        <f t="shared" si="2"/>
        <v>848</v>
      </c>
      <c r="S119" s="11">
        <f t="shared" si="3"/>
        <v>653</v>
      </c>
      <c r="T119" s="11">
        <f t="shared" si="4"/>
        <v>851</v>
      </c>
      <c r="U119" s="10">
        <f>IF(Q119&gt;0,(I119/Q119-District!$B$4)*100,"")</f>
        <v>14.94842211</v>
      </c>
      <c r="V119" s="10">
        <f>IF(R119&gt;0,(K119/R119-District!$B$5)*100,"")</f>
        <v>13.22172653</v>
      </c>
      <c r="W119" s="10">
        <f>IF(S119&gt;0,(M119/S119-District!$B$6)*100,"")</f>
        <v>12.56981237</v>
      </c>
      <c r="X119" s="10">
        <f>IF(T119&gt;0,(O119/T119-District!$B$7)*100,"")</f>
        <v>12.07819595</v>
      </c>
      <c r="Y119" s="28">
        <f t="shared" si="5"/>
        <v>14.94842126</v>
      </c>
      <c r="Z119" s="5">
        <f t="shared" si="6"/>
        <v>175</v>
      </c>
      <c r="AA119" s="28">
        <f t="shared" si="7"/>
        <v>13.22172587</v>
      </c>
      <c r="AB119" s="5">
        <f t="shared" si="8"/>
        <v>156</v>
      </c>
      <c r="AC119" s="28">
        <f t="shared" si="9"/>
        <v>12.56981152</v>
      </c>
      <c r="AD119" s="5">
        <f t="shared" si="10"/>
        <v>167</v>
      </c>
    </row>
    <row r="120" ht="15.75" customHeight="1">
      <c r="A120" s="5" t="s">
        <v>729</v>
      </c>
      <c r="B120" s="5" t="s">
        <v>234</v>
      </c>
      <c r="C120" s="5" t="s">
        <v>303</v>
      </c>
      <c r="D120" s="5">
        <v>670.0</v>
      </c>
      <c r="E120" s="5" t="s">
        <v>122</v>
      </c>
      <c r="F120" s="5" t="s">
        <v>314</v>
      </c>
      <c r="G120" s="5" t="s">
        <v>314</v>
      </c>
      <c r="H120" s="5" t="s">
        <v>314</v>
      </c>
      <c r="I120" s="11">
        <v>293.0</v>
      </c>
      <c r="J120" s="11">
        <v>197.0</v>
      </c>
      <c r="K120" s="11">
        <v>393.0</v>
      </c>
      <c r="L120" s="11">
        <v>318.0</v>
      </c>
      <c r="M120" s="11">
        <v>332.0</v>
      </c>
      <c r="N120" s="11">
        <v>255.0</v>
      </c>
      <c r="O120" s="11">
        <v>437.0</v>
      </c>
      <c r="P120" s="11">
        <v>344.0</v>
      </c>
      <c r="Q120" s="11">
        <f t="shared" si="1"/>
        <v>490</v>
      </c>
      <c r="R120" s="11">
        <f t="shared" si="2"/>
        <v>711</v>
      </c>
      <c r="S120" s="11">
        <f t="shared" si="3"/>
        <v>587</v>
      </c>
      <c r="T120" s="11">
        <f t="shared" si="4"/>
        <v>781</v>
      </c>
      <c r="U120" s="10">
        <f>IF(Q120&gt;0,(I120/Q120-District!$B$4)*100,"")</f>
        <v>6.383684742</v>
      </c>
      <c r="V120" s="10">
        <f>IF(R120&gt;0,(K120/R120-District!$B$5)*100,"")</f>
        <v>5.524290016</v>
      </c>
      <c r="W120" s="10">
        <f>IF(S120&gt;0,(M120/S120-District!$B$6)*100,"")</f>
        <v>5.57575272</v>
      </c>
      <c r="X120" s="10">
        <f>IF(T120&gt;0,(O120/T120-District!$B$7)*100,"")</f>
        <v>6.457483107</v>
      </c>
      <c r="Y120" s="28">
        <f t="shared" si="5"/>
        <v>6.383684031</v>
      </c>
      <c r="Z120" s="5">
        <f t="shared" si="6"/>
        <v>90</v>
      </c>
      <c r="AA120" s="28">
        <f t="shared" si="7"/>
        <v>5.575752133</v>
      </c>
      <c r="AB120" s="5">
        <f t="shared" si="8"/>
        <v>80</v>
      </c>
      <c r="AC120" s="28">
        <f t="shared" si="9"/>
        <v>6.457482326</v>
      </c>
      <c r="AD120" s="5">
        <f t="shared" si="10"/>
        <v>97</v>
      </c>
    </row>
    <row r="121" ht="15.75" customHeight="1">
      <c r="A121" s="5" t="s">
        <v>730</v>
      </c>
      <c r="B121" s="5" t="s">
        <v>234</v>
      </c>
      <c r="C121" s="5" t="s">
        <v>303</v>
      </c>
      <c r="D121" s="5">
        <v>680.0</v>
      </c>
      <c r="E121" s="5" t="s">
        <v>122</v>
      </c>
      <c r="F121" s="5" t="s">
        <v>315</v>
      </c>
      <c r="G121" s="5" t="s">
        <v>315</v>
      </c>
      <c r="H121" s="5" t="s">
        <v>315</v>
      </c>
      <c r="I121" s="11">
        <v>374.0</v>
      </c>
      <c r="J121" s="11">
        <v>191.0</v>
      </c>
      <c r="K121" s="11">
        <v>561.0</v>
      </c>
      <c r="L121" s="11">
        <v>321.0</v>
      </c>
      <c r="M121" s="11">
        <v>418.0</v>
      </c>
      <c r="N121" s="11">
        <v>222.0</v>
      </c>
      <c r="O121" s="11">
        <v>581.0</v>
      </c>
      <c r="P121" s="11">
        <v>342.0</v>
      </c>
      <c r="Q121" s="11">
        <f t="shared" si="1"/>
        <v>565</v>
      </c>
      <c r="R121" s="11">
        <f t="shared" si="2"/>
        <v>882</v>
      </c>
      <c r="S121" s="11">
        <f t="shared" si="3"/>
        <v>640</v>
      </c>
      <c r="T121" s="11">
        <f t="shared" si="4"/>
        <v>923</v>
      </c>
      <c r="U121" s="10">
        <f>IF(Q121&gt;0,(I121/Q121-District!$B$4)*100,"")</f>
        <v>12.78245664</v>
      </c>
      <c r="V121" s="10">
        <f>IF(R121&gt;0,(K121/R121-District!$B$5)*100,"")</f>
        <v>13.85547059</v>
      </c>
      <c r="W121" s="10">
        <f>IF(S121&gt;0,(M121/S121-District!$B$6)*100,"")</f>
        <v>14.3294793</v>
      </c>
      <c r="X121" s="10">
        <f>IF(T121&gt;0,(O121/T121-District!$B$7)*100,"")</f>
        <v>13.4504901</v>
      </c>
      <c r="Y121" s="28">
        <f t="shared" si="5"/>
        <v>13.85546971</v>
      </c>
      <c r="Z121" s="5">
        <f t="shared" si="6"/>
        <v>168</v>
      </c>
      <c r="AA121" s="28">
        <f t="shared" si="7"/>
        <v>14.32947866</v>
      </c>
      <c r="AB121" s="5">
        <f t="shared" si="8"/>
        <v>164</v>
      </c>
      <c r="AC121" s="28">
        <f t="shared" si="9"/>
        <v>14.32947837</v>
      </c>
      <c r="AD121" s="5">
        <f t="shared" si="10"/>
        <v>188</v>
      </c>
    </row>
    <row r="122" ht="15.75" customHeight="1">
      <c r="A122" s="5" t="s">
        <v>731</v>
      </c>
      <c r="B122" s="5" t="s">
        <v>234</v>
      </c>
      <c r="C122" s="5" t="s">
        <v>303</v>
      </c>
      <c r="D122" s="5">
        <v>690.0</v>
      </c>
      <c r="E122" s="5" t="s">
        <v>122</v>
      </c>
      <c r="F122" s="5" t="s">
        <v>316</v>
      </c>
      <c r="G122" s="5" t="s">
        <v>316</v>
      </c>
      <c r="H122" s="5" t="s">
        <v>316</v>
      </c>
      <c r="I122" s="11">
        <v>349.0</v>
      </c>
      <c r="J122" s="11">
        <v>223.0</v>
      </c>
      <c r="K122" s="11">
        <v>534.0</v>
      </c>
      <c r="L122" s="11">
        <v>376.0</v>
      </c>
      <c r="M122" s="11">
        <v>425.0</v>
      </c>
      <c r="N122" s="11">
        <v>271.0</v>
      </c>
      <c r="O122" s="11">
        <v>591.0</v>
      </c>
      <c r="P122" s="11">
        <v>390.0</v>
      </c>
      <c r="Q122" s="11">
        <f t="shared" si="1"/>
        <v>572</v>
      </c>
      <c r="R122" s="11">
        <f t="shared" si="2"/>
        <v>910</v>
      </c>
      <c r="S122" s="11">
        <f t="shared" si="3"/>
        <v>696</v>
      </c>
      <c r="T122" s="11">
        <f t="shared" si="4"/>
        <v>981</v>
      </c>
      <c r="U122" s="10">
        <f>IF(Q122&gt;0,(I122/Q122-District!$B$4)*100,"")</f>
        <v>7.601752389</v>
      </c>
      <c r="V122" s="10">
        <f>IF(R122&gt;0,(K122/R122-District!$B$5)*100,"")</f>
        <v>8.931347094</v>
      </c>
      <c r="W122" s="10">
        <f>IF(S122&gt;0,(M122/S122-District!$B$6)*100,"")</f>
        <v>10.08019769</v>
      </c>
      <c r="X122" s="10">
        <f>IF(T122&gt;0,(O122/T122-District!$B$7)*100,"")</f>
        <v>10.74822618</v>
      </c>
      <c r="Y122" s="28">
        <f t="shared" si="5"/>
        <v>8.931346184</v>
      </c>
      <c r="Z122" s="5">
        <f t="shared" si="6"/>
        <v>114</v>
      </c>
      <c r="AA122" s="28">
        <f t="shared" si="7"/>
        <v>10.08019699</v>
      </c>
      <c r="AB122" s="5">
        <f t="shared" si="8"/>
        <v>122</v>
      </c>
      <c r="AC122" s="28">
        <f t="shared" si="9"/>
        <v>10.74822519</v>
      </c>
      <c r="AD122" s="5">
        <f t="shared" si="10"/>
        <v>142</v>
      </c>
    </row>
    <row r="123" ht="15.75" customHeight="1">
      <c r="A123" s="5" t="s">
        <v>732</v>
      </c>
      <c r="B123" s="5" t="s">
        <v>234</v>
      </c>
      <c r="C123" s="5" t="s">
        <v>317</v>
      </c>
      <c r="D123" s="5">
        <v>700.0</v>
      </c>
      <c r="E123" s="5" t="s">
        <v>122</v>
      </c>
      <c r="F123" s="5" t="s">
        <v>318</v>
      </c>
      <c r="G123" s="5" t="s">
        <v>318</v>
      </c>
      <c r="H123" s="5" t="s">
        <v>318</v>
      </c>
      <c r="I123" s="11">
        <v>386.0</v>
      </c>
      <c r="J123" s="11">
        <v>215.0</v>
      </c>
      <c r="K123" s="11">
        <v>553.0</v>
      </c>
      <c r="L123" s="11">
        <v>416.0</v>
      </c>
      <c r="M123" s="11">
        <v>392.0</v>
      </c>
      <c r="N123" s="11">
        <v>281.0</v>
      </c>
      <c r="O123" s="11">
        <v>557.0</v>
      </c>
      <c r="P123" s="11">
        <v>454.0</v>
      </c>
      <c r="Q123" s="11">
        <f t="shared" si="1"/>
        <v>601</v>
      </c>
      <c r="R123" s="11">
        <f t="shared" si="2"/>
        <v>969</v>
      </c>
      <c r="S123" s="11">
        <f t="shared" si="3"/>
        <v>673</v>
      </c>
      <c r="T123" s="11">
        <f t="shared" si="4"/>
        <v>1011</v>
      </c>
      <c r="U123" s="10">
        <f>IF(Q123&gt;0,(I123/Q123-District!$B$4)*100,"")</f>
        <v>10.81405589</v>
      </c>
      <c r="V123" s="10">
        <f>IF(R123&gt;0,(K123/R123-District!$B$5)*100,"")</f>
        <v>7.319171859</v>
      </c>
      <c r="W123" s="10">
        <f>IF(S123&gt;0,(M123/S123-District!$B$6)*100,"")</f>
        <v>7.263636056</v>
      </c>
      <c r="X123" s="10">
        <f>IF(T123&gt;0,(O123/T123-District!$B$7)*100,"")</f>
        <v>5.597544227</v>
      </c>
      <c r="Y123" s="28">
        <f t="shared" si="5"/>
        <v>10.81405492</v>
      </c>
      <c r="Z123" s="5">
        <f t="shared" si="6"/>
        <v>134</v>
      </c>
      <c r="AA123" s="28">
        <f t="shared" si="7"/>
        <v>7.319171186</v>
      </c>
      <c r="AB123" s="5">
        <f t="shared" si="8"/>
        <v>96</v>
      </c>
      <c r="AC123" s="28">
        <f t="shared" si="9"/>
        <v>7.263635045</v>
      </c>
      <c r="AD123" s="5">
        <f t="shared" si="10"/>
        <v>105</v>
      </c>
    </row>
    <row r="124" ht="15.75" customHeight="1">
      <c r="A124" s="5" t="s">
        <v>733</v>
      </c>
      <c r="B124" s="5" t="s">
        <v>234</v>
      </c>
      <c r="C124" s="5" t="s">
        <v>317</v>
      </c>
      <c r="D124" s="5">
        <v>710.0</v>
      </c>
      <c r="E124" s="5" t="s">
        <v>122</v>
      </c>
      <c r="F124" s="5" t="s">
        <v>319</v>
      </c>
      <c r="G124" s="5" t="s">
        <v>319</v>
      </c>
      <c r="H124" s="5" t="s">
        <v>319</v>
      </c>
      <c r="I124" s="11">
        <v>330.0</v>
      </c>
      <c r="J124" s="11">
        <v>313.0</v>
      </c>
      <c r="K124" s="11">
        <v>491.0</v>
      </c>
      <c r="L124" s="11">
        <v>541.0</v>
      </c>
      <c r="M124" s="11">
        <v>334.0</v>
      </c>
      <c r="N124" s="11">
        <v>333.0</v>
      </c>
      <c r="O124" s="11">
        <v>467.0</v>
      </c>
      <c r="P124" s="11">
        <v>513.0</v>
      </c>
      <c r="Q124" s="11">
        <f t="shared" si="1"/>
        <v>643</v>
      </c>
      <c r="R124" s="11">
        <f t="shared" si="2"/>
        <v>1032</v>
      </c>
      <c r="S124" s="11">
        <f t="shared" si="3"/>
        <v>667</v>
      </c>
      <c r="T124" s="11">
        <f t="shared" si="4"/>
        <v>980</v>
      </c>
      <c r="U124" s="10">
        <f>IF(Q124&gt;0,(I124/Q124-District!$B$4)*100,"")</f>
        <v>-2.090305165</v>
      </c>
      <c r="V124" s="10">
        <f>IF(R124&gt;0,(K124/R124-District!$B$5)*100,"")</f>
        <v>-2.172452208</v>
      </c>
      <c r="W124" s="10">
        <f>IF(S124&gt;0,(M124/S124-District!$B$6)*100,"")</f>
        <v>-0.9080581858</v>
      </c>
      <c r="X124" s="10">
        <f>IF(T124&gt;0,(O124/T124-District!$B$7)*100,"")</f>
        <v>-1.843360918</v>
      </c>
      <c r="Y124" s="28">
        <f t="shared" si="5"/>
        <v>2.172451176</v>
      </c>
      <c r="Z124" s="5">
        <f t="shared" si="6"/>
        <v>17</v>
      </c>
      <c r="AA124" s="28">
        <f t="shared" si="7"/>
        <v>2.172451541</v>
      </c>
      <c r="AB124" s="5">
        <f t="shared" si="8"/>
        <v>29</v>
      </c>
      <c r="AC124" s="28">
        <f t="shared" si="9"/>
        <v>1.843359938</v>
      </c>
      <c r="AD124" s="5">
        <f t="shared" si="10"/>
        <v>29</v>
      </c>
    </row>
    <row r="125" ht="15.75" customHeight="1">
      <c r="A125" s="5" t="s">
        <v>734</v>
      </c>
      <c r="B125" s="5" t="s">
        <v>234</v>
      </c>
      <c r="C125" s="5" t="s">
        <v>317</v>
      </c>
      <c r="D125" s="5">
        <v>720.0</v>
      </c>
      <c r="E125" s="5" t="s">
        <v>122</v>
      </c>
      <c r="F125" s="5" t="s">
        <v>320</v>
      </c>
      <c r="G125" s="5" t="s">
        <v>320</v>
      </c>
      <c r="H125" s="5" t="s">
        <v>320</v>
      </c>
      <c r="I125" s="11">
        <v>421.0</v>
      </c>
      <c r="J125" s="11">
        <v>293.0</v>
      </c>
      <c r="K125" s="11">
        <v>538.0</v>
      </c>
      <c r="L125" s="11">
        <v>539.0</v>
      </c>
      <c r="M125" s="11">
        <v>409.0</v>
      </c>
      <c r="N125" s="11">
        <v>361.0</v>
      </c>
      <c r="O125" s="11">
        <v>536.0</v>
      </c>
      <c r="P125" s="11">
        <v>524.0</v>
      </c>
      <c r="Q125" s="11">
        <f t="shared" si="1"/>
        <v>714</v>
      </c>
      <c r="R125" s="11">
        <f t="shared" si="2"/>
        <v>1077</v>
      </c>
      <c r="S125" s="11">
        <f t="shared" si="3"/>
        <v>770</v>
      </c>
      <c r="T125" s="11">
        <f t="shared" si="4"/>
        <v>1060</v>
      </c>
      <c r="U125" s="10">
        <f>IF(Q125&gt;0,(I125/Q125-District!$B$4)*100,"")</f>
        <v>5.551351809</v>
      </c>
      <c r="V125" s="10">
        <f>IF(R125&gt;0,(K125/R125-District!$B$5)*100,"")</f>
        <v>0.203603157</v>
      </c>
      <c r="W125" s="10">
        <f>IF(S125&gt;0,(M125/S125-District!$B$6)*100,"")</f>
        <v>2.133862412</v>
      </c>
      <c r="X125" s="10">
        <f>IF(T125&gt;0,(O125/T125-District!$B$7)*100,"")</f>
        <v>1.069615593</v>
      </c>
      <c r="Y125" s="28">
        <f t="shared" si="5"/>
        <v>5.551350732</v>
      </c>
      <c r="Z125" s="5">
        <f t="shared" si="6"/>
        <v>79</v>
      </c>
      <c r="AA125" s="28">
        <f t="shared" si="7"/>
        <v>2.133861642</v>
      </c>
      <c r="AB125" s="5">
        <f t="shared" si="8"/>
        <v>27</v>
      </c>
      <c r="AC125" s="28">
        <f t="shared" si="9"/>
        <v>2.133861352</v>
      </c>
      <c r="AD125" s="5">
        <f t="shared" si="10"/>
        <v>34</v>
      </c>
    </row>
    <row r="126" ht="15.75" customHeight="1">
      <c r="A126" s="5" t="s">
        <v>735</v>
      </c>
      <c r="B126" s="5" t="s">
        <v>234</v>
      </c>
      <c r="C126" s="5" t="s">
        <v>321</v>
      </c>
      <c r="D126" s="5">
        <v>730.0</v>
      </c>
      <c r="E126" s="5" t="s">
        <v>122</v>
      </c>
      <c r="F126" s="5" t="s">
        <v>321</v>
      </c>
      <c r="G126" s="5" t="s">
        <v>321</v>
      </c>
      <c r="H126" s="5" t="s">
        <v>321</v>
      </c>
      <c r="I126" s="11">
        <v>513.0</v>
      </c>
      <c r="J126" s="11">
        <v>446.0</v>
      </c>
      <c r="K126" s="11">
        <v>704.0</v>
      </c>
      <c r="L126" s="11">
        <v>791.0</v>
      </c>
      <c r="M126" s="11">
        <v>621.0</v>
      </c>
      <c r="N126" s="11">
        <v>598.0</v>
      </c>
      <c r="O126" s="11">
        <v>735.0</v>
      </c>
      <c r="P126" s="11">
        <v>804.0</v>
      </c>
      <c r="Q126" s="11">
        <f t="shared" si="1"/>
        <v>959</v>
      </c>
      <c r="R126" s="11">
        <f t="shared" si="2"/>
        <v>1495</v>
      </c>
      <c r="S126" s="11">
        <f t="shared" si="3"/>
        <v>1219</v>
      </c>
      <c r="T126" s="11">
        <f t="shared" si="4"/>
        <v>1539</v>
      </c>
      <c r="U126" s="10">
        <f>IF(Q126&gt;0,(I126/Q126-District!$B$4)*100,"")</f>
        <v>0.08098848091</v>
      </c>
      <c r="V126" s="10">
        <f>IF(R126&gt;0,(K126/R126-District!$B$5)*100,"")</f>
        <v>-2.659670584</v>
      </c>
      <c r="W126" s="10">
        <f>IF(S126&gt;0,(M126/S126-District!$B$6)*100,"")</f>
        <v>-0.03962447815</v>
      </c>
      <c r="X126" s="10">
        <f>IF(T126&gt;0,(O126/T126-District!$B$7)*100,"")</f>
        <v>-1.738137542</v>
      </c>
      <c r="Y126" s="28">
        <f t="shared" si="5"/>
        <v>2.659669089</v>
      </c>
      <c r="Z126" s="5">
        <f t="shared" si="6"/>
        <v>31</v>
      </c>
      <c r="AA126" s="28">
        <f t="shared" si="7"/>
        <v>2.659669365</v>
      </c>
      <c r="AB126" s="5">
        <f t="shared" si="8"/>
        <v>42</v>
      </c>
      <c r="AC126" s="28">
        <f t="shared" si="9"/>
        <v>1.738136003</v>
      </c>
      <c r="AD126" s="5">
        <f t="shared" si="10"/>
        <v>25</v>
      </c>
    </row>
    <row r="127" ht="15.75" customHeight="1">
      <c r="A127" s="5" t="s">
        <v>736</v>
      </c>
      <c r="B127" s="5" t="s">
        <v>234</v>
      </c>
      <c r="C127" s="5" t="s">
        <v>322</v>
      </c>
      <c r="D127" s="5">
        <v>740.0</v>
      </c>
      <c r="E127" s="5" t="s">
        <v>122</v>
      </c>
      <c r="F127" s="5" t="s">
        <v>323</v>
      </c>
      <c r="G127" s="5" t="s">
        <v>323</v>
      </c>
      <c r="H127" s="5" t="s">
        <v>323</v>
      </c>
      <c r="I127" s="11">
        <v>293.0</v>
      </c>
      <c r="J127" s="11">
        <v>223.0</v>
      </c>
      <c r="K127" s="11">
        <v>388.0</v>
      </c>
      <c r="L127" s="11">
        <v>397.0</v>
      </c>
      <c r="M127" s="11">
        <v>289.0</v>
      </c>
      <c r="N127" s="11">
        <v>261.0</v>
      </c>
      <c r="O127" s="11">
        <v>372.0</v>
      </c>
      <c r="P127" s="11">
        <v>383.0</v>
      </c>
      <c r="Q127" s="11">
        <f t="shared" si="1"/>
        <v>516</v>
      </c>
      <c r="R127" s="11">
        <f t="shared" si="2"/>
        <v>785</v>
      </c>
      <c r="S127" s="11">
        <f t="shared" si="3"/>
        <v>550</v>
      </c>
      <c r="T127" s="11">
        <f t="shared" si="4"/>
        <v>755</v>
      </c>
      <c r="U127" s="10">
        <f>IF(Q127&gt;0,(I127/Q127-District!$B$4)*100,"")</f>
        <v>3.370712111</v>
      </c>
      <c r="V127" s="10">
        <f>IF(R127&gt;0,(K127/R127-District!$B$5)*100,"")</f>
        <v>-0.3232199953</v>
      </c>
      <c r="W127" s="10">
        <f>IF(S127&gt;0,(M127/S127-District!$B$6)*100,"")</f>
        <v>1.562433841</v>
      </c>
      <c r="X127" s="10">
        <f>IF(T127&gt;0,(O127/T127-District!$B$7)*100,"")</f>
        <v>-0.2248989637</v>
      </c>
      <c r="Y127" s="28">
        <f t="shared" si="5"/>
        <v>3.370711326</v>
      </c>
      <c r="Z127" s="5">
        <f t="shared" si="6"/>
        <v>49</v>
      </c>
      <c r="AA127" s="28">
        <f t="shared" si="7"/>
        <v>1.562433291</v>
      </c>
      <c r="AB127" s="5">
        <f t="shared" si="8"/>
        <v>16</v>
      </c>
      <c r="AC127" s="28">
        <f t="shared" si="9"/>
        <v>1.562433086</v>
      </c>
      <c r="AD127" s="5">
        <f t="shared" si="10"/>
        <v>22</v>
      </c>
    </row>
    <row r="128" ht="15.75" customHeight="1">
      <c r="A128" s="5" t="s">
        <v>737</v>
      </c>
      <c r="B128" s="5" t="s">
        <v>234</v>
      </c>
      <c r="C128" s="5" t="s">
        <v>322</v>
      </c>
      <c r="D128" s="5">
        <v>750.0</v>
      </c>
      <c r="E128" s="5" t="s">
        <v>122</v>
      </c>
      <c r="F128" s="5" t="s">
        <v>325</v>
      </c>
      <c r="G128" s="5" t="s">
        <v>325</v>
      </c>
      <c r="H128" s="5" t="s">
        <v>325</v>
      </c>
      <c r="I128" s="11">
        <v>367.0</v>
      </c>
      <c r="J128" s="11">
        <v>292.0</v>
      </c>
      <c r="K128" s="11">
        <v>490.0</v>
      </c>
      <c r="L128" s="11">
        <v>473.0</v>
      </c>
      <c r="M128" s="11">
        <v>402.0</v>
      </c>
      <c r="N128" s="11">
        <v>345.0</v>
      </c>
      <c r="O128" s="11">
        <v>527.0</v>
      </c>
      <c r="P128" s="11">
        <v>515.0</v>
      </c>
      <c r="Q128" s="11">
        <f t="shared" si="1"/>
        <v>659</v>
      </c>
      <c r="R128" s="11">
        <f t="shared" si="2"/>
        <v>963</v>
      </c>
      <c r="S128" s="11">
        <f t="shared" si="3"/>
        <v>747</v>
      </c>
      <c r="T128" s="11">
        <f t="shared" si="4"/>
        <v>1042</v>
      </c>
      <c r="U128" s="10">
        <f>IF(Q128&gt;0,(I128/Q128-District!$B$4)*100,"")</f>
        <v>2.278206435</v>
      </c>
      <c r="V128" s="10">
        <f>IF(R128&gt;0,(K128/R128-District!$B$5)*100,"")</f>
        <v>1.132686772</v>
      </c>
      <c r="W128" s="10">
        <f>IF(S128&gt;0,(M128/S128-District!$B$6)*100,"")</f>
        <v>2.83224034</v>
      </c>
      <c r="X128" s="10">
        <f>IF(T128&gt;0,(O128/T128-District!$B$7)*100,"")</f>
        <v>1.079393596</v>
      </c>
      <c r="Y128" s="28">
        <f t="shared" si="5"/>
        <v>2.278205472</v>
      </c>
      <c r="Z128" s="5">
        <f t="shared" si="6"/>
        <v>21</v>
      </c>
      <c r="AA128" s="28">
        <f t="shared" si="7"/>
        <v>2.832239593</v>
      </c>
      <c r="AB128" s="5">
        <f t="shared" si="8"/>
        <v>44</v>
      </c>
      <c r="AC128" s="28">
        <f t="shared" si="9"/>
        <v>2.832239298</v>
      </c>
      <c r="AD128" s="5">
        <f t="shared" si="10"/>
        <v>49</v>
      </c>
    </row>
    <row r="129" ht="15.75" customHeight="1">
      <c r="A129" s="5" t="s">
        <v>738</v>
      </c>
      <c r="B129" s="5" t="s">
        <v>234</v>
      </c>
      <c r="C129" s="5" t="s">
        <v>326</v>
      </c>
      <c r="D129" s="5">
        <v>760.0</v>
      </c>
      <c r="E129" s="5" t="s">
        <v>122</v>
      </c>
      <c r="F129" s="5" t="s">
        <v>327</v>
      </c>
      <c r="G129" s="5" t="s">
        <v>327</v>
      </c>
      <c r="H129" s="5" t="s">
        <v>327</v>
      </c>
      <c r="I129" s="11">
        <v>391.0</v>
      </c>
      <c r="J129" s="11">
        <v>291.0</v>
      </c>
      <c r="K129" s="11">
        <v>575.0</v>
      </c>
      <c r="L129" s="11">
        <v>467.0</v>
      </c>
      <c r="M129" s="11">
        <v>455.0</v>
      </c>
      <c r="N129" s="11">
        <v>363.0</v>
      </c>
      <c r="O129" s="11">
        <v>562.0</v>
      </c>
      <c r="P129" s="11">
        <v>497.0</v>
      </c>
      <c r="Q129" s="11">
        <f t="shared" si="1"/>
        <v>682</v>
      </c>
      <c r="R129" s="11">
        <f t="shared" si="2"/>
        <v>1042</v>
      </c>
      <c r="S129" s="11">
        <f t="shared" si="3"/>
        <v>818</v>
      </c>
      <c r="T129" s="11">
        <f t="shared" si="4"/>
        <v>1059</v>
      </c>
      <c r="U129" s="10">
        <f>IF(Q129&gt;0,(I129/Q129-District!$B$4)*100,"")</f>
        <v>3.919144674</v>
      </c>
      <c r="V129" s="10">
        <f>IF(R129&gt;0,(K129/R129-District!$B$5)*100,"")</f>
        <v>5.432370063</v>
      </c>
      <c r="W129" s="10">
        <f>IF(S129&gt;0,(M129/S129-District!$B$6)*100,"")</f>
        <v>4.640451178</v>
      </c>
      <c r="X129" s="10">
        <f>IF(T129&gt;0,(O129/T129-District!$B$7)*100,"")</f>
        <v>3.572510813</v>
      </c>
      <c r="Y129" s="28">
        <f t="shared" si="5"/>
        <v>5.432369021</v>
      </c>
      <c r="Z129" s="5">
        <f t="shared" si="6"/>
        <v>75</v>
      </c>
      <c r="AA129" s="28">
        <f t="shared" si="7"/>
        <v>5.432369245</v>
      </c>
      <c r="AB129" s="5">
        <f t="shared" si="8"/>
        <v>78</v>
      </c>
      <c r="AC129" s="28">
        <f t="shared" si="9"/>
        <v>4.640450119</v>
      </c>
      <c r="AD129" s="5">
        <f t="shared" si="10"/>
        <v>75</v>
      </c>
    </row>
    <row r="130" ht="15.75" customHeight="1">
      <c r="A130" s="5" t="s">
        <v>739</v>
      </c>
      <c r="B130" s="5" t="s">
        <v>234</v>
      </c>
      <c r="C130" s="5" t="s">
        <v>326</v>
      </c>
      <c r="D130" s="5">
        <v>770.0</v>
      </c>
      <c r="E130" s="5" t="s">
        <v>122</v>
      </c>
      <c r="F130" s="5" t="s">
        <v>328</v>
      </c>
      <c r="G130" s="5" t="s">
        <v>328</v>
      </c>
      <c r="H130" s="5" t="s">
        <v>328</v>
      </c>
      <c r="I130" s="11">
        <v>390.0</v>
      </c>
      <c r="J130" s="11">
        <v>330.0</v>
      </c>
      <c r="K130" s="11">
        <v>546.0</v>
      </c>
      <c r="L130" s="11">
        <v>484.0</v>
      </c>
      <c r="M130" s="11">
        <v>447.0</v>
      </c>
      <c r="N130" s="11">
        <v>358.0</v>
      </c>
      <c r="O130" s="11">
        <v>566.0</v>
      </c>
      <c r="P130" s="11">
        <v>509.0</v>
      </c>
      <c r="Q130" s="11">
        <f t="shared" si="1"/>
        <v>720</v>
      </c>
      <c r="R130" s="11">
        <f t="shared" si="2"/>
        <v>1030</v>
      </c>
      <c r="S130" s="11">
        <f t="shared" si="3"/>
        <v>805</v>
      </c>
      <c r="T130" s="11">
        <f t="shared" si="4"/>
        <v>1075</v>
      </c>
      <c r="U130" s="10">
        <f>IF(Q130&gt;0,(I130/Q130-District!$B$4)*100,"")</f>
        <v>0.7544330412</v>
      </c>
      <c r="V130" s="10">
        <f>IF(R130&gt;0,(K130/R130-District!$B$5)*100,"")</f>
        <v>3.25973715</v>
      </c>
      <c r="W130" s="10">
        <f>IF(S130&gt;0,(M130/S130-District!$B$6)*100,"")</f>
        <v>4.544929606</v>
      </c>
      <c r="X130" s="10">
        <f>IF(T130&gt;0,(O130/T130-District!$B$7)*100,"")</f>
        <v>3.154740648</v>
      </c>
      <c r="Y130" s="28">
        <f t="shared" si="5"/>
        <v>3.25973612</v>
      </c>
      <c r="Z130" s="5">
        <f t="shared" si="6"/>
        <v>48</v>
      </c>
      <c r="AA130" s="28">
        <f t="shared" si="7"/>
        <v>4.544928801</v>
      </c>
      <c r="AB130" s="5">
        <f t="shared" si="8"/>
        <v>71</v>
      </c>
      <c r="AC130" s="28">
        <f t="shared" si="9"/>
        <v>4.544928531</v>
      </c>
      <c r="AD130" s="5">
        <f t="shared" si="10"/>
        <v>74</v>
      </c>
    </row>
    <row r="131" ht="15.75" customHeight="1">
      <c r="A131" s="5" t="s">
        <v>740</v>
      </c>
      <c r="B131" s="5" t="s">
        <v>234</v>
      </c>
      <c r="C131" s="5" t="s">
        <v>326</v>
      </c>
      <c r="D131" s="5">
        <v>780.0</v>
      </c>
      <c r="E131" s="5" t="s">
        <v>122</v>
      </c>
      <c r="F131" s="5" t="s">
        <v>329</v>
      </c>
      <c r="G131" s="5" t="s">
        <v>329</v>
      </c>
      <c r="H131" s="5" t="s">
        <v>329</v>
      </c>
      <c r="I131" s="11">
        <v>437.0</v>
      </c>
      <c r="J131" s="11">
        <v>431.0</v>
      </c>
      <c r="K131" s="11">
        <v>633.0</v>
      </c>
      <c r="L131" s="11">
        <v>694.0</v>
      </c>
      <c r="M131" s="11">
        <v>528.0</v>
      </c>
      <c r="N131" s="11">
        <v>494.0</v>
      </c>
      <c r="O131" s="11">
        <v>826.0</v>
      </c>
      <c r="P131" s="11">
        <v>801.0</v>
      </c>
      <c r="Q131" s="11">
        <f t="shared" si="1"/>
        <v>868</v>
      </c>
      <c r="R131" s="11">
        <f t="shared" si="2"/>
        <v>1327</v>
      </c>
      <c r="S131" s="11">
        <f t="shared" si="3"/>
        <v>1022</v>
      </c>
      <c r="T131" s="11">
        <f t="shared" si="4"/>
        <v>1627</v>
      </c>
      <c r="U131" s="10">
        <f>IF(Q131&gt;0,(I131/Q131-District!$B$4)*100,"")</f>
        <v>-3.066611506</v>
      </c>
      <c r="V131" s="10">
        <f>IF(R131&gt;0,(K131/R131-District!$B$5)*100,"")</f>
        <v>-2.048389071</v>
      </c>
      <c r="W131" s="10">
        <f>IF(S131&gt;0,(M131/S131-District!$B$6)*100,"")</f>
        <v>0.6803843835</v>
      </c>
      <c r="X131" s="10">
        <f>IF(T131&gt;0,(O131/T131-District!$B$7)*100,"")</f>
        <v>1.271863045</v>
      </c>
      <c r="Y131" s="28">
        <f t="shared" si="5"/>
        <v>3.066610179</v>
      </c>
      <c r="Z131" s="5">
        <f t="shared" si="6"/>
        <v>44</v>
      </c>
      <c r="AA131" s="28">
        <f t="shared" si="7"/>
        <v>2.048388049</v>
      </c>
      <c r="AB131" s="5">
        <f t="shared" si="8"/>
        <v>25</v>
      </c>
      <c r="AC131" s="28">
        <f t="shared" si="9"/>
        <v>1.271861418</v>
      </c>
      <c r="AD131" s="5">
        <f t="shared" si="10"/>
        <v>17</v>
      </c>
    </row>
    <row r="132" ht="15.75" customHeight="1">
      <c r="A132" s="5" t="s">
        <v>741</v>
      </c>
      <c r="B132" s="5" t="s">
        <v>234</v>
      </c>
      <c r="C132" s="5" t="s">
        <v>326</v>
      </c>
      <c r="D132" s="5">
        <v>790.0</v>
      </c>
      <c r="E132" s="5" t="s">
        <v>122</v>
      </c>
      <c r="F132" s="5" t="s">
        <v>330</v>
      </c>
      <c r="G132" s="5" t="s">
        <v>330</v>
      </c>
      <c r="H132" s="5" t="s">
        <v>330</v>
      </c>
      <c r="I132" s="11">
        <v>431.0</v>
      </c>
      <c r="J132" s="11">
        <v>293.0</v>
      </c>
      <c r="K132" s="11">
        <v>682.0</v>
      </c>
      <c r="L132" s="11">
        <v>545.0</v>
      </c>
      <c r="M132" s="11">
        <v>516.0</v>
      </c>
      <c r="N132" s="11">
        <v>363.0</v>
      </c>
      <c r="O132" s="11">
        <v>686.0</v>
      </c>
      <c r="P132" s="11">
        <v>580.0</v>
      </c>
      <c r="Q132" s="11">
        <f t="shared" si="1"/>
        <v>724</v>
      </c>
      <c r="R132" s="11">
        <f t="shared" si="2"/>
        <v>1227</v>
      </c>
      <c r="S132" s="11">
        <f t="shared" si="3"/>
        <v>879</v>
      </c>
      <c r="T132" s="11">
        <f t="shared" si="4"/>
        <v>1266</v>
      </c>
      <c r="U132" s="10">
        <f>IF(Q132&gt;0,(I132/Q132-District!$B$4)*100,"")</f>
        <v>6.118153115</v>
      </c>
      <c r="V132" s="10">
        <f>IF(R132&gt;0,(K132/R132-District!$B$5)*100,"")</f>
        <v>5.832750499</v>
      </c>
      <c r="W132" s="10">
        <f>IF(S132&gt;0,(M132/S132-District!$B$6)*100,"")</f>
        <v>7.720050968</v>
      </c>
      <c r="X132" s="10">
        <f>IF(T132&gt;0,(O132/T132-District!$B$7)*100,"")</f>
        <v>4.68999176</v>
      </c>
      <c r="Y132" s="28">
        <f t="shared" si="5"/>
        <v>6.118151888</v>
      </c>
      <c r="Z132" s="5">
        <f t="shared" si="6"/>
        <v>86</v>
      </c>
      <c r="AA132" s="28">
        <f t="shared" si="7"/>
        <v>7.720050089</v>
      </c>
      <c r="AB132" s="5">
        <f t="shared" si="8"/>
        <v>102</v>
      </c>
      <c r="AC132" s="28">
        <f t="shared" si="9"/>
        <v>7.720049702</v>
      </c>
      <c r="AD132" s="5">
        <f t="shared" si="10"/>
        <v>111</v>
      </c>
    </row>
    <row r="133" ht="15.75" customHeight="1">
      <c r="A133" s="5" t="s">
        <v>742</v>
      </c>
      <c r="B133" s="5" t="s">
        <v>234</v>
      </c>
      <c r="C133" s="5" t="s">
        <v>326</v>
      </c>
      <c r="D133" s="5">
        <v>800.0</v>
      </c>
      <c r="E133" s="5" t="s">
        <v>122</v>
      </c>
      <c r="F133" s="5" t="s">
        <v>331</v>
      </c>
      <c r="G133" s="5" t="s">
        <v>331</v>
      </c>
      <c r="H133" s="5" t="s">
        <v>331</v>
      </c>
      <c r="I133" s="11">
        <v>259.0</v>
      </c>
      <c r="J133" s="11">
        <v>231.0</v>
      </c>
      <c r="K133" s="11">
        <v>325.0</v>
      </c>
      <c r="L133" s="11">
        <v>334.0</v>
      </c>
      <c r="M133" s="11">
        <v>294.0</v>
      </c>
      <c r="N133" s="11">
        <v>260.0</v>
      </c>
      <c r="O133" s="11">
        <v>332.0</v>
      </c>
      <c r="P133" s="11">
        <v>340.0</v>
      </c>
      <c r="Q133" s="11">
        <f t="shared" si="1"/>
        <v>490</v>
      </c>
      <c r="R133" s="11">
        <f t="shared" si="2"/>
        <v>659</v>
      </c>
      <c r="S133" s="11">
        <f t="shared" si="3"/>
        <v>554</v>
      </c>
      <c r="T133" s="11">
        <f t="shared" si="4"/>
        <v>672</v>
      </c>
      <c r="U133" s="10">
        <f>IF(Q133&gt;0,(I133/Q133-District!$B$4)*100,"")</f>
        <v>-0.5550907683</v>
      </c>
      <c r="V133" s="10">
        <f>IF(R133&gt;0,(K133/R133-District!$B$5)*100,"")</f>
        <v>-0.432824395</v>
      </c>
      <c r="W133" s="10">
        <f>IF(S133&gt;0,(M133/S133-District!$B$6)*100,"")</f>
        <v>2.085571353</v>
      </c>
      <c r="X133" s="10">
        <f>IF(T133&gt;0,(O133/T133-District!$B$7)*100,"")</f>
        <v>-0.09166023779</v>
      </c>
      <c r="Y133" s="28">
        <f t="shared" si="5"/>
        <v>0.5550901093</v>
      </c>
      <c r="Z133" s="5">
        <f t="shared" si="6"/>
        <v>1</v>
      </c>
      <c r="AA133" s="28">
        <f t="shared" si="7"/>
        <v>2.085570799</v>
      </c>
      <c r="AB133" s="5">
        <f t="shared" si="8"/>
        <v>26</v>
      </c>
      <c r="AC133" s="28">
        <f t="shared" si="9"/>
        <v>2.085570681</v>
      </c>
      <c r="AD133" s="5">
        <f t="shared" si="10"/>
        <v>32</v>
      </c>
    </row>
    <row r="134" ht="15.75" customHeight="1">
      <c r="A134" s="5" t="s">
        <v>743</v>
      </c>
      <c r="B134" s="5" t="s">
        <v>234</v>
      </c>
      <c r="C134" s="5" t="s">
        <v>326</v>
      </c>
      <c r="D134" s="5">
        <v>810.0</v>
      </c>
      <c r="E134" s="5" t="s">
        <v>122</v>
      </c>
      <c r="F134" s="5" t="s">
        <v>332</v>
      </c>
      <c r="G134" s="5" t="s">
        <v>332</v>
      </c>
      <c r="H134" s="5" t="s">
        <v>332</v>
      </c>
      <c r="I134" s="11">
        <v>526.0</v>
      </c>
      <c r="J134" s="11">
        <v>379.0</v>
      </c>
      <c r="K134" s="11">
        <v>632.0</v>
      </c>
      <c r="L134" s="11">
        <v>554.0</v>
      </c>
      <c r="M134" s="11">
        <v>594.0</v>
      </c>
      <c r="N134" s="11">
        <v>412.0</v>
      </c>
      <c r="O134" s="11">
        <v>691.0</v>
      </c>
      <c r="P134" s="11">
        <v>509.0</v>
      </c>
      <c r="Q134" s="11">
        <f t="shared" si="1"/>
        <v>905</v>
      </c>
      <c r="R134" s="11">
        <f t="shared" si="2"/>
        <v>1186</v>
      </c>
      <c r="S134" s="11">
        <f t="shared" si="3"/>
        <v>1006</v>
      </c>
      <c r="T134" s="11">
        <f t="shared" si="4"/>
        <v>1200</v>
      </c>
      <c r="U134" s="10">
        <f>IF(Q134&gt;0,(I134/Q134-District!$B$4)*100,"")</f>
        <v>4.709313336</v>
      </c>
      <c r="V134" s="10">
        <f>IF(R134&gt;0,(K134/R134-District!$B$5)*100,"")</f>
        <v>3.538392662</v>
      </c>
      <c r="W134" s="10">
        <f>IF(S134&gt;0,(M134/S134-District!$B$6)*100,"")</f>
        <v>8.062704942</v>
      </c>
      <c r="X134" s="10">
        <f>IF(T134&gt;0,(O134/T134-District!$B$7)*100,"")</f>
        <v>8.086911191</v>
      </c>
      <c r="Y134" s="28">
        <f t="shared" si="5"/>
        <v>4.70931215</v>
      </c>
      <c r="Z134" s="5">
        <f t="shared" si="6"/>
        <v>69</v>
      </c>
      <c r="AA134" s="28">
        <f t="shared" si="7"/>
        <v>8.062703936</v>
      </c>
      <c r="AB134" s="5">
        <f t="shared" si="8"/>
        <v>106</v>
      </c>
      <c r="AC134" s="28">
        <f t="shared" si="9"/>
        <v>8.086909991</v>
      </c>
      <c r="AD134" s="5">
        <f t="shared" si="10"/>
        <v>114</v>
      </c>
    </row>
    <row r="135" ht="15.75" customHeight="1">
      <c r="A135" s="5" t="s">
        <v>744</v>
      </c>
      <c r="B135" s="5" t="s">
        <v>234</v>
      </c>
      <c r="C135" s="5" t="s">
        <v>333</v>
      </c>
      <c r="D135" s="5">
        <v>820.0</v>
      </c>
      <c r="E135" s="5" t="s">
        <v>122</v>
      </c>
      <c r="F135" s="5" t="s">
        <v>334</v>
      </c>
      <c r="G135" s="5" t="s">
        <v>334</v>
      </c>
      <c r="H135" s="5" t="s">
        <v>334</v>
      </c>
      <c r="I135" s="11">
        <v>416.0</v>
      </c>
      <c r="J135" s="11">
        <v>151.0</v>
      </c>
      <c r="K135" s="11">
        <v>612.0</v>
      </c>
      <c r="L135" s="11">
        <v>265.0</v>
      </c>
      <c r="M135" s="11">
        <v>413.0</v>
      </c>
      <c r="N135" s="11">
        <v>158.0</v>
      </c>
      <c r="O135" s="11">
        <v>579.0</v>
      </c>
      <c r="P135" s="11">
        <v>292.0</v>
      </c>
      <c r="Q135" s="11">
        <f t="shared" si="1"/>
        <v>567</v>
      </c>
      <c r="R135" s="11">
        <f t="shared" si="2"/>
        <v>877</v>
      </c>
      <c r="S135" s="11">
        <f t="shared" si="3"/>
        <v>571</v>
      </c>
      <c r="T135" s="11">
        <f t="shared" si="4"/>
        <v>871</v>
      </c>
      <c r="U135" s="10">
        <f>IF(Q135&gt;0,(I135/Q135-District!$B$4)*100,"")</f>
        <v>19.95637308</v>
      </c>
      <c r="V135" s="10">
        <f>IF(R135&gt;0,(K135/R135-District!$B$5)*100,"")</f>
        <v>20.03338075</v>
      </c>
      <c r="W135" s="10">
        <f>IF(S135&gt;0,(M135/S135-District!$B$6)*100,"")</f>
        <v>21.34622623</v>
      </c>
      <c r="X135" s="10">
        <f>IF(T135&gt;0,(O135/T135-District!$B$7)*100,"")</f>
        <v>16.97889359</v>
      </c>
      <c r="Y135" s="28">
        <f t="shared" si="5"/>
        <v>20.03337987</v>
      </c>
      <c r="Z135" s="5">
        <f t="shared" si="6"/>
        <v>227</v>
      </c>
      <c r="AA135" s="28">
        <f t="shared" si="7"/>
        <v>21.34622566</v>
      </c>
      <c r="AB135" s="5">
        <f t="shared" si="8"/>
        <v>219</v>
      </c>
      <c r="AC135" s="28">
        <f t="shared" si="9"/>
        <v>21.34622536</v>
      </c>
      <c r="AD135" s="5">
        <f t="shared" si="10"/>
        <v>252</v>
      </c>
    </row>
    <row r="136" ht="15.75" customHeight="1">
      <c r="A136" s="5" t="s">
        <v>745</v>
      </c>
      <c r="B136" s="5" t="s">
        <v>234</v>
      </c>
      <c r="C136" s="5" t="s">
        <v>333</v>
      </c>
      <c r="D136" s="5">
        <v>830.0</v>
      </c>
      <c r="E136" s="5" t="s">
        <v>122</v>
      </c>
      <c r="F136" s="5" t="s">
        <v>335</v>
      </c>
      <c r="G136" s="5" t="s">
        <v>335</v>
      </c>
      <c r="H136" s="5" t="s">
        <v>335</v>
      </c>
      <c r="I136" s="11">
        <v>334.0</v>
      </c>
      <c r="J136" s="11">
        <v>165.0</v>
      </c>
      <c r="K136" s="11">
        <v>442.0</v>
      </c>
      <c r="L136" s="11">
        <v>235.0</v>
      </c>
      <c r="M136" s="11">
        <v>303.0</v>
      </c>
      <c r="N136" s="11">
        <v>169.0</v>
      </c>
      <c r="O136" s="11">
        <v>440.0</v>
      </c>
      <c r="P136" s="11">
        <v>262.0</v>
      </c>
      <c r="Q136" s="11">
        <f t="shared" si="1"/>
        <v>499</v>
      </c>
      <c r="R136" s="11">
        <f t="shared" si="2"/>
        <v>677</v>
      </c>
      <c r="S136" s="11">
        <f t="shared" si="3"/>
        <v>472</v>
      </c>
      <c r="T136" s="11">
        <f t="shared" si="4"/>
        <v>702</v>
      </c>
      <c r="U136" s="10">
        <f>IF(Q136&gt;0,(I136/Q136-District!$B$4)*100,"")</f>
        <v>13.52163411</v>
      </c>
      <c r="V136" s="10">
        <f>IF(R136&gt;0,(K136/R136-District!$B$5)*100,"")</f>
        <v>15.53806386</v>
      </c>
      <c r="W136" s="10">
        <f>IF(S136&gt;0,(M136/S136-District!$B$6)*100,"")</f>
        <v>13.21189455</v>
      </c>
      <c r="X136" s="10">
        <f>IF(T136&gt;0,(O136/T136-District!$B$7)*100,"")</f>
        <v>13.18164054</v>
      </c>
      <c r="Y136" s="28">
        <f t="shared" si="5"/>
        <v>15.53806319</v>
      </c>
      <c r="Z136" s="5">
        <f t="shared" si="6"/>
        <v>182</v>
      </c>
      <c r="AA136" s="28">
        <f t="shared" si="7"/>
        <v>15.53806339</v>
      </c>
      <c r="AB136" s="5">
        <f t="shared" si="8"/>
        <v>172</v>
      </c>
      <c r="AC136" s="28">
        <f t="shared" si="9"/>
        <v>13.21189385</v>
      </c>
      <c r="AD136" s="5">
        <f t="shared" si="10"/>
        <v>175</v>
      </c>
    </row>
    <row r="137" ht="15.75" customHeight="1">
      <c r="A137" s="5" t="s">
        <v>746</v>
      </c>
      <c r="B137" s="5" t="s">
        <v>234</v>
      </c>
      <c r="C137" s="5" t="s">
        <v>333</v>
      </c>
      <c r="D137" s="5">
        <v>840.0</v>
      </c>
      <c r="E137" s="5" t="s">
        <v>122</v>
      </c>
      <c r="F137" s="5" t="s">
        <v>336</v>
      </c>
      <c r="G137" s="5" t="s">
        <v>336</v>
      </c>
      <c r="H137" s="5" t="s">
        <v>336</v>
      </c>
      <c r="I137" s="11">
        <v>327.0</v>
      </c>
      <c r="J137" s="11">
        <v>147.0</v>
      </c>
      <c r="K137" s="11">
        <v>427.0</v>
      </c>
      <c r="L137" s="11">
        <v>237.0</v>
      </c>
      <c r="M137" s="11">
        <v>354.0</v>
      </c>
      <c r="N137" s="11">
        <v>152.0</v>
      </c>
      <c r="O137" s="11">
        <v>414.0</v>
      </c>
      <c r="P137" s="11">
        <v>239.0</v>
      </c>
      <c r="Q137" s="11">
        <f t="shared" si="1"/>
        <v>474</v>
      </c>
      <c r="R137" s="11">
        <f t="shared" si="2"/>
        <v>664</v>
      </c>
      <c r="S137" s="11">
        <f t="shared" si="3"/>
        <v>506</v>
      </c>
      <c r="T137" s="11">
        <f t="shared" si="4"/>
        <v>653</v>
      </c>
      <c r="U137" s="10">
        <f>IF(Q137&gt;0,(I137/Q137-District!$B$4)*100,"")</f>
        <v>15.57510815</v>
      </c>
      <c r="V137" s="10">
        <f>IF(R137&gt;0,(K137/R137-District!$B$5)*100,"")</f>
        <v>14.55725733</v>
      </c>
      <c r="W137" s="10">
        <f>IF(S137&gt;0,(M137/S137-District!$B$6)*100,"")</f>
        <v>18.9774536</v>
      </c>
      <c r="X137" s="10">
        <f>IF(T137&gt;0,(O137/T137-District!$B$7)*100,"")</f>
        <v>13.90327158</v>
      </c>
      <c r="Y137" s="28">
        <f t="shared" si="5"/>
        <v>15.57510748</v>
      </c>
      <c r="Z137" s="5">
        <f t="shared" si="6"/>
        <v>183</v>
      </c>
      <c r="AA137" s="28">
        <f t="shared" si="7"/>
        <v>18.9774531</v>
      </c>
      <c r="AB137" s="5">
        <f t="shared" si="8"/>
        <v>202</v>
      </c>
      <c r="AC137" s="28">
        <f t="shared" si="9"/>
        <v>18.97745295</v>
      </c>
      <c r="AD137" s="5">
        <f t="shared" si="10"/>
        <v>231</v>
      </c>
    </row>
    <row r="138" ht="15.75" customHeight="1">
      <c r="A138" s="5" t="s">
        <v>747</v>
      </c>
      <c r="B138" s="5" t="s">
        <v>234</v>
      </c>
      <c r="C138" s="5" t="s">
        <v>339</v>
      </c>
      <c r="D138" s="5">
        <v>850.0</v>
      </c>
      <c r="E138" s="5" t="s">
        <v>122</v>
      </c>
      <c r="F138" s="5" t="s">
        <v>339</v>
      </c>
      <c r="G138" s="5" t="s">
        <v>339</v>
      </c>
      <c r="H138" s="5" t="s">
        <v>339</v>
      </c>
      <c r="I138" s="11">
        <v>294.0</v>
      </c>
      <c r="J138" s="11">
        <v>198.0</v>
      </c>
      <c r="K138" s="11">
        <v>405.0</v>
      </c>
      <c r="L138" s="11">
        <v>304.0</v>
      </c>
      <c r="M138" s="11">
        <v>262.0</v>
      </c>
      <c r="N138" s="11">
        <v>205.0</v>
      </c>
      <c r="O138" s="11">
        <v>379.0</v>
      </c>
      <c r="P138" s="11">
        <v>330.0</v>
      </c>
      <c r="Q138" s="11">
        <f t="shared" si="1"/>
        <v>492</v>
      </c>
      <c r="R138" s="11">
        <f t="shared" si="2"/>
        <v>709</v>
      </c>
      <c r="S138" s="11">
        <f t="shared" si="3"/>
        <v>467</v>
      </c>
      <c r="T138" s="11">
        <f t="shared" si="4"/>
        <v>709</v>
      </c>
      <c r="U138" s="10">
        <f>IF(Q138&gt;0,(I138/Q138-District!$B$4)*100,"")</f>
        <v>6.343863936</v>
      </c>
      <c r="V138" s="10">
        <f>IF(R138&gt;0,(K138/R138-District!$B$5)*100,"")</f>
        <v>7.372736452</v>
      </c>
      <c r="W138" s="10">
        <f>IF(S138&gt;0,(M138/S138-District!$B$6)*100,"")</f>
        <v>5.119763021</v>
      </c>
      <c r="X138" s="10">
        <f>IF(T138&gt;0,(O138/T138-District!$B$7)*100,"")</f>
        <v>3.959149085</v>
      </c>
      <c r="Y138" s="28">
        <f t="shared" si="5"/>
        <v>7.372735743</v>
      </c>
      <c r="Z138" s="5">
        <f t="shared" si="6"/>
        <v>103</v>
      </c>
      <c r="AA138" s="28">
        <f t="shared" si="7"/>
        <v>7.372735985</v>
      </c>
      <c r="AB138" s="5">
        <f t="shared" si="8"/>
        <v>97</v>
      </c>
      <c r="AC138" s="28">
        <f t="shared" si="9"/>
        <v>5.119762312</v>
      </c>
      <c r="AD138" s="5">
        <f t="shared" si="10"/>
        <v>83</v>
      </c>
    </row>
    <row r="139" ht="15.75" customHeight="1">
      <c r="A139" s="5" t="s">
        <v>748</v>
      </c>
      <c r="B139" s="5" t="s">
        <v>234</v>
      </c>
      <c r="C139" s="5" t="s">
        <v>340</v>
      </c>
      <c r="D139" s="5">
        <v>860.0</v>
      </c>
      <c r="E139" s="5" t="s">
        <v>122</v>
      </c>
      <c r="F139" s="5" t="s">
        <v>340</v>
      </c>
      <c r="G139" s="5" t="s">
        <v>340</v>
      </c>
      <c r="H139" s="5" t="s">
        <v>340</v>
      </c>
      <c r="I139" s="11">
        <v>498.0</v>
      </c>
      <c r="J139" s="11">
        <v>876.0</v>
      </c>
      <c r="K139" s="11">
        <v>602.0</v>
      </c>
      <c r="L139" s="11">
        <v>1339.0</v>
      </c>
      <c r="M139" s="11">
        <v>532.0</v>
      </c>
      <c r="N139" s="11">
        <v>1068.0</v>
      </c>
      <c r="O139" s="11">
        <v>654.0</v>
      </c>
      <c r="P139" s="11">
        <v>1439.0</v>
      </c>
      <c r="Q139" s="11">
        <f t="shared" si="1"/>
        <v>1374</v>
      </c>
      <c r="R139" s="11">
        <f t="shared" si="2"/>
        <v>1941</v>
      </c>
      <c r="S139" s="11">
        <f t="shared" si="3"/>
        <v>1600</v>
      </c>
      <c r="T139" s="11">
        <f t="shared" si="4"/>
        <v>2093</v>
      </c>
      <c r="U139" s="10">
        <f>IF(Q139&gt;0,(I139/Q139-District!$B$4)*100,"")</f>
        <v>-17.16769214</v>
      </c>
      <c r="V139" s="10">
        <f>IF(R139&gt;0,(K139/R139-District!$B$5)*100,"")</f>
        <v>-18.73503084</v>
      </c>
      <c r="W139" s="10">
        <f>IF(S139&gt;0,(M139/S139-District!$B$6)*100,"")</f>
        <v>-17.7330207</v>
      </c>
      <c r="X139" s="10">
        <f>IF(T139&gt;0,(O139/T139-District!$B$7)*100,"")</f>
        <v>-18.24940829</v>
      </c>
      <c r="Y139" s="28">
        <f t="shared" si="5"/>
        <v>18.73502889</v>
      </c>
      <c r="Z139" s="5">
        <f t="shared" si="6"/>
        <v>214</v>
      </c>
      <c r="AA139" s="28">
        <f t="shared" si="7"/>
        <v>18.73502924</v>
      </c>
      <c r="AB139" s="5">
        <f t="shared" si="8"/>
        <v>199</v>
      </c>
      <c r="AC139" s="28">
        <f t="shared" si="9"/>
        <v>18.24940619</v>
      </c>
      <c r="AD139" s="5">
        <f t="shared" si="10"/>
        <v>224</v>
      </c>
    </row>
    <row r="140" ht="15.75" customHeight="1">
      <c r="A140" s="5" t="s">
        <v>749</v>
      </c>
      <c r="B140" s="5" t="s">
        <v>234</v>
      </c>
      <c r="C140" s="5" t="s">
        <v>341</v>
      </c>
      <c r="D140" s="5">
        <v>870.0</v>
      </c>
      <c r="E140" s="5" t="s">
        <v>122</v>
      </c>
      <c r="F140" s="5" t="s">
        <v>343</v>
      </c>
      <c r="G140" s="5" t="s">
        <v>343</v>
      </c>
      <c r="H140" s="5" t="s">
        <v>343</v>
      </c>
      <c r="I140" s="11">
        <v>791.0</v>
      </c>
      <c r="J140" s="11">
        <v>781.0</v>
      </c>
      <c r="K140" s="11">
        <v>1090.0</v>
      </c>
      <c r="L140" s="11">
        <v>1114.0</v>
      </c>
      <c r="M140" s="11">
        <v>879.0</v>
      </c>
      <c r="N140" s="11">
        <v>809.0</v>
      </c>
      <c r="O140" s="11">
        <v>1082.0</v>
      </c>
      <c r="P140" s="11">
        <v>1101.0</v>
      </c>
      <c r="Q140" s="11">
        <f t="shared" si="1"/>
        <v>1572</v>
      </c>
      <c r="R140" s="11">
        <f t="shared" si="2"/>
        <v>2204</v>
      </c>
      <c r="S140" s="11">
        <f t="shared" si="3"/>
        <v>1688</v>
      </c>
      <c r="T140" s="11">
        <f t="shared" si="4"/>
        <v>2183</v>
      </c>
      <c r="U140" s="10">
        <f>IF(Q140&gt;0,(I140/Q140-District!$B$4)*100,"")</f>
        <v>-3.094167468</v>
      </c>
      <c r="V140" s="10">
        <f>IF(R140&gt;0,(K140/R140-District!$B$5)*100,"")</f>
        <v>-0.2944361975</v>
      </c>
      <c r="W140" s="10">
        <f>IF(S140&gt;0,(M140/S140-District!$B$6)*100,"")</f>
        <v>1.090439011</v>
      </c>
      <c r="X140" s="10">
        <f>IF(T140&gt;0,(O140/T140-District!$B$7)*100,"")</f>
        <v>0.0683969138</v>
      </c>
      <c r="Y140" s="28">
        <f t="shared" si="5"/>
        <v>3.094165264</v>
      </c>
      <c r="Z140" s="5">
        <f t="shared" si="6"/>
        <v>45</v>
      </c>
      <c r="AA140" s="28">
        <f t="shared" si="7"/>
        <v>1.090437323</v>
      </c>
      <c r="AB140" s="5">
        <f t="shared" si="8"/>
        <v>7</v>
      </c>
      <c r="AC140" s="28">
        <f t="shared" si="9"/>
        <v>1.090436828</v>
      </c>
      <c r="AD140" s="5">
        <f t="shared" si="10"/>
        <v>9</v>
      </c>
    </row>
    <row r="141" ht="15.75" customHeight="1">
      <c r="A141" s="5" t="s">
        <v>750</v>
      </c>
      <c r="B141" s="5" t="s">
        <v>234</v>
      </c>
      <c r="C141" s="5" t="s">
        <v>341</v>
      </c>
      <c r="D141" s="5">
        <v>880.0</v>
      </c>
      <c r="E141" s="5" t="s">
        <v>122</v>
      </c>
      <c r="F141" s="5" t="s">
        <v>344</v>
      </c>
      <c r="G141" s="5" t="s">
        <v>344</v>
      </c>
      <c r="H141" s="5" t="s">
        <v>344</v>
      </c>
      <c r="I141" s="11">
        <v>1343.0</v>
      </c>
      <c r="J141" s="11">
        <v>1305.0</v>
      </c>
      <c r="K141" s="11">
        <v>1827.0</v>
      </c>
      <c r="L141" s="11">
        <v>1869.0</v>
      </c>
      <c r="M141" s="11">
        <v>1520.0</v>
      </c>
      <c r="N141" s="11">
        <v>1428.0</v>
      </c>
      <c r="O141" s="11">
        <v>1799.0</v>
      </c>
      <c r="P141" s="11">
        <v>1810.0</v>
      </c>
      <c r="Q141" s="11">
        <f t="shared" si="1"/>
        <v>2648</v>
      </c>
      <c r="R141" s="11">
        <f t="shared" si="2"/>
        <v>3696</v>
      </c>
      <c r="S141" s="11">
        <f t="shared" si="3"/>
        <v>2948</v>
      </c>
      <c r="T141" s="11">
        <f t="shared" si="4"/>
        <v>3609</v>
      </c>
      <c r="U141" s="10">
        <f>IF(Q141&gt;0,(I141/Q141-District!$B$4)*100,"")</f>
        <v>-2.694710967</v>
      </c>
      <c r="V141" s="10">
        <f>IF(R141&gt;0,(K141/R141-District!$B$5)*100,"")</f>
        <v>-0.3181534059</v>
      </c>
      <c r="W141" s="10">
        <f>IF(S141&gt;0,(M141/S141-District!$B$6)*100,"")</f>
        <v>0.577359214</v>
      </c>
      <c r="X141" s="10">
        <f>IF(T141&gt;0,(O141/T141-District!$B$7)*100,"")</f>
        <v>0.3511810716</v>
      </c>
      <c r="Y141" s="28">
        <f t="shared" si="5"/>
        <v>2.694707271</v>
      </c>
      <c r="Z141" s="5">
        <f t="shared" si="6"/>
        <v>32</v>
      </c>
      <c r="AA141" s="28">
        <f t="shared" si="7"/>
        <v>0.577356266</v>
      </c>
      <c r="AB141" s="5">
        <f t="shared" si="8"/>
        <v>2</v>
      </c>
      <c r="AC141" s="28">
        <f t="shared" si="9"/>
        <v>0.577355605</v>
      </c>
      <c r="AD141" s="5">
        <f t="shared" si="10"/>
        <v>3</v>
      </c>
    </row>
    <row r="142" ht="15.75" customHeight="1">
      <c r="A142" s="5" t="s">
        <v>751</v>
      </c>
      <c r="B142" s="5" t="s">
        <v>234</v>
      </c>
      <c r="C142" s="5" t="s">
        <v>341</v>
      </c>
      <c r="D142" s="5">
        <v>890.0</v>
      </c>
      <c r="E142" s="5" t="s">
        <v>122</v>
      </c>
      <c r="F142" s="5" t="s">
        <v>345</v>
      </c>
      <c r="G142" s="5" t="s">
        <v>345</v>
      </c>
      <c r="H142" s="5" t="s">
        <v>345</v>
      </c>
      <c r="I142" s="11">
        <v>649.0</v>
      </c>
      <c r="J142" s="11">
        <v>636.0</v>
      </c>
      <c r="K142" s="11">
        <v>862.0</v>
      </c>
      <c r="L142" s="11">
        <v>935.0</v>
      </c>
      <c r="M142" s="11">
        <v>758.0</v>
      </c>
      <c r="N142" s="11">
        <v>734.0</v>
      </c>
      <c r="O142" s="11">
        <v>906.0</v>
      </c>
      <c r="P142" s="11">
        <v>980.0</v>
      </c>
      <c r="Q142" s="11">
        <f t="shared" si="1"/>
        <v>1285</v>
      </c>
      <c r="R142" s="11">
        <f t="shared" si="2"/>
        <v>1797</v>
      </c>
      <c r="S142" s="11">
        <f t="shared" si="3"/>
        <v>1492</v>
      </c>
      <c r="T142" s="11">
        <f t="shared" si="4"/>
        <v>1886</v>
      </c>
      <c r="U142" s="10">
        <f>IF(Q142&gt;0,(I142/Q142-District!$B$4)*100,"")</f>
        <v>-2.90639705</v>
      </c>
      <c r="V142" s="10">
        <f>IF(R142&gt;0,(K142/R142-District!$B$5)*100,"")</f>
        <v>-1.781134637</v>
      </c>
      <c r="W142" s="10">
        <f>IF(S142&gt;0,(M142/S142-District!$B$6)*100,"")</f>
        <v>-0.1787311603</v>
      </c>
      <c r="X142" s="10">
        <f>IF(T142&gt;0,(O142/T142-District!$B$7)*100,"")</f>
        <v>-1.458246109</v>
      </c>
      <c r="Y142" s="28">
        <f t="shared" si="5"/>
        <v>2.906395253</v>
      </c>
      <c r="Z142" s="5">
        <f t="shared" si="6"/>
        <v>39</v>
      </c>
      <c r="AA142" s="28">
        <f t="shared" si="7"/>
        <v>1.781133145</v>
      </c>
      <c r="AB142" s="5">
        <f t="shared" si="8"/>
        <v>21</v>
      </c>
      <c r="AC142" s="28">
        <f t="shared" si="9"/>
        <v>1.458244223</v>
      </c>
      <c r="AD142" s="5">
        <f t="shared" si="10"/>
        <v>18</v>
      </c>
    </row>
    <row r="143" ht="15.75" customHeight="1">
      <c r="A143" s="5" t="s">
        <v>752</v>
      </c>
      <c r="B143" s="5" t="s">
        <v>234</v>
      </c>
      <c r="C143" s="5" t="s">
        <v>341</v>
      </c>
      <c r="D143" s="5">
        <v>900.0</v>
      </c>
      <c r="E143" s="5" t="s">
        <v>122</v>
      </c>
      <c r="F143" s="5" t="s">
        <v>346</v>
      </c>
      <c r="G143" s="5" t="s">
        <v>346</v>
      </c>
      <c r="H143" s="5" t="s">
        <v>346</v>
      </c>
      <c r="I143" s="11">
        <v>647.0</v>
      </c>
      <c r="J143" s="11">
        <v>623.0</v>
      </c>
      <c r="K143" s="11">
        <v>835.0</v>
      </c>
      <c r="L143" s="11">
        <v>907.0</v>
      </c>
      <c r="M143" s="11">
        <v>686.0</v>
      </c>
      <c r="N143" s="11">
        <v>669.0</v>
      </c>
      <c r="O143" s="11">
        <v>852.0</v>
      </c>
      <c r="P143" s="11">
        <v>912.0</v>
      </c>
      <c r="Q143" s="11">
        <f t="shared" si="1"/>
        <v>1270</v>
      </c>
      <c r="R143" s="11">
        <f t="shared" si="2"/>
        <v>1742</v>
      </c>
      <c r="S143" s="11">
        <f t="shared" si="3"/>
        <v>1355</v>
      </c>
      <c r="T143" s="11">
        <f t="shared" si="4"/>
        <v>1764</v>
      </c>
      <c r="U143" s="10">
        <f>IF(Q143&gt;0,(I143/Q143-District!$B$4)*100,"")</f>
        <v>-2.467351736</v>
      </c>
      <c r="V143" s="10">
        <f>IF(R143&gt;0,(K143/R143-District!$B$5)*100,"")</f>
        <v>-1.816561714</v>
      </c>
      <c r="W143" s="10">
        <f>IF(S143&gt;0,(M143/S143-District!$B$6)*100,"")</f>
        <v>-0.3557144315</v>
      </c>
      <c r="X143" s="10">
        <f>IF(T143&gt;0,(O143/T143-District!$B$7)*100,"")</f>
        <v>-1.197102415</v>
      </c>
      <c r="Y143" s="28">
        <f t="shared" si="5"/>
        <v>2.467349994</v>
      </c>
      <c r="Z143" s="5">
        <f t="shared" si="6"/>
        <v>27</v>
      </c>
      <c r="AA143" s="28">
        <f t="shared" si="7"/>
        <v>1.816560359</v>
      </c>
      <c r="AB143" s="5">
        <f t="shared" si="8"/>
        <v>22</v>
      </c>
      <c r="AC143" s="28">
        <f t="shared" si="9"/>
        <v>1.197100651</v>
      </c>
      <c r="AD143" s="5">
        <f t="shared" si="10"/>
        <v>12</v>
      </c>
    </row>
    <row r="144" ht="15.75" customHeight="1">
      <c r="A144" s="5" t="s">
        <v>753</v>
      </c>
      <c r="B144" s="5" t="s">
        <v>234</v>
      </c>
      <c r="C144" s="5" t="s">
        <v>341</v>
      </c>
      <c r="D144" s="5">
        <v>910.0</v>
      </c>
      <c r="E144" s="5" t="s">
        <v>122</v>
      </c>
      <c r="F144" s="5" t="s">
        <v>347</v>
      </c>
      <c r="G144" s="5" t="s">
        <v>347</v>
      </c>
      <c r="H144" s="5" t="s">
        <v>347</v>
      </c>
      <c r="I144" s="11">
        <v>530.0</v>
      </c>
      <c r="J144" s="11">
        <v>545.0</v>
      </c>
      <c r="K144" s="11">
        <v>663.0</v>
      </c>
      <c r="L144" s="11">
        <v>701.0</v>
      </c>
      <c r="M144" s="11">
        <v>628.0</v>
      </c>
      <c r="N144" s="11">
        <v>578.0</v>
      </c>
      <c r="O144" s="11">
        <v>715.0</v>
      </c>
      <c r="P144" s="11">
        <v>677.0</v>
      </c>
      <c r="Q144" s="11">
        <f t="shared" si="1"/>
        <v>1075</v>
      </c>
      <c r="R144" s="11">
        <f t="shared" si="2"/>
        <v>1364</v>
      </c>
      <c r="S144" s="11">
        <f t="shared" si="3"/>
        <v>1206</v>
      </c>
      <c r="T144" s="11">
        <f t="shared" si="4"/>
        <v>1392</v>
      </c>
      <c r="U144" s="10">
        <f>IF(Q144&gt;0,(I144/Q144-District!$B$4)*100,"")</f>
        <v>-4.109908044</v>
      </c>
      <c r="V144" s="10">
        <f>IF(R144&gt;0,(K144/R144-District!$B$5)*100,"")</f>
        <v>-1.142933465</v>
      </c>
      <c r="W144" s="10">
        <f>IF(S144&gt;0,(M144/S144-District!$B$6)*100,"")</f>
        <v>1.089947786</v>
      </c>
      <c r="X144" s="10">
        <f>IF(T144&gt;0,(O144/T144-District!$B$7)*100,"")</f>
        <v>1.868520386</v>
      </c>
      <c r="Y144" s="28">
        <f t="shared" si="5"/>
        <v>4.10990668</v>
      </c>
      <c r="Z144" s="5">
        <f t="shared" si="6"/>
        <v>58</v>
      </c>
      <c r="AA144" s="28">
        <f t="shared" si="7"/>
        <v>1.142932259</v>
      </c>
      <c r="AB144" s="5">
        <f t="shared" si="8"/>
        <v>9</v>
      </c>
      <c r="AC144" s="28">
        <f t="shared" si="9"/>
        <v>1.868518994</v>
      </c>
      <c r="AD144" s="5">
        <f t="shared" si="10"/>
        <v>30</v>
      </c>
    </row>
    <row r="145" ht="15.75" customHeight="1">
      <c r="A145" s="5" t="s">
        <v>754</v>
      </c>
      <c r="B145" s="5" t="s">
        <v>234</v>
      </c>
      <c r="C145" s="5" t="s">
        <v>341</v>
      </c>
      <c r="D145" s="5">
        <v>920.0</v>
      </c>
      <c r="E145" s="5" t="s">
        <v>122</v>
      </c>
      <c r="F145" s="5" t="s">
        <v>348</v>
      </c>
      <c r="G145" s="5" t="s">
        <v>348</v>
      </c>
      <c r="H145" s="5" t="s">
        <v>348</v>
      </c>
      <c r="I145" s="11">
        <v>1006.0</v>
      </c>
      <c r="J145" s="11">
        <v>777.0</v>
      </c>
      <c r="K145" s="11">
        <v>1425.0</v>
      </c>
      <c r="L145" s="11">
        <v>1388.0</v>
      </c>
      <c r="M145" s="11">
        <v>1176.0</v>
      </c>
      <c r="N145" s="11">
        <v>1036.0</v>
      </c>
      <c r="O145" s="11">
        <v>1480.0</v>
      </c>
      <c r="P145" s="11">
        <v>1588.0</v>
      </c>
      <c r="Q145" s="11">
        <f t="shared" si="1"/>
        <v>1783</v>
      </c>
      <c r="R145" s="11">
        <f t="shared" si="2"/>
        <v>2813</v>
      </c>
      <c r="S145" s="11">
        <f t="shared" si="3"/>
        <v>2212</v>
      </c>
      <c r="T145" s="11">
        <f t="shared" si="4"/>
        <v>3068</v>
      </c>
      <c r="U145" s="10">
        <f>IF(Q145&gt;0,(I145/Q145-District!$B$4)*100,"")</f>
        <v>3.009527451</v>
      </c>
      <c r="V145" s="10">
        <f>IF(R145&gt;0,(K145/R145-District!$B$5)*100,"")</f>
        <v>0.9076892726</v>
      </c>
      <c r="W145" s="10">
        <f>IF(S145&gt;0,(M145/S145-District!$B$6)*100,"")</f>
        <v>2.181536257</v>
      </c>
      <c r="X145" s="10">
        <f>IF(T145&gt;0,(O145/T145-District!$B$7)*100,"")</f>
        <v>-1.256526445</v>
      </c>
      <c r="Y145" s="28">
        <f t="shared" si="5"/>
        <v>3.009524638</v>
      </c>
      <c r="Z145" s="5">
        <f t="shared" si="6"/>
        <v>42</v>
      </c>
      <c r="AA145" s="28">
        <f t="shared" si="7"/>
        <v>2.181534045</v>
      </c>
      <c r="AB145" s="5">
        <f t="shared" si="8"/>
        <v>30</v>
      </c>
      <c r="AC145" s="28">
        <f t="shared" si="9"/>
        <v>2.181533189</v>
      </c>
      <c r="AD145" s="5">
        <f t="shared" si="10"/>
        <v>36</v>
      </c>
    </row>
    <row r="146" ht="15.75" customHeight="1">
      <c r="A146" s="5" t="s">
        <v>755</v>
      </c>
      <c r="B146" s="5" t="s">
        <v>234</v>
      </c>
      <c r="C146" s="5" t="s">
        <v>341</v>
      </c>
      <c r="D146" s="5">
        <v>922.0</v>
      </c>
      <c r="E146" s="5" t="s">
        <v>122</v>
      </c>
      <c r="F146" s="5" t="s">
        <v>350</v>
      </c>
      <c r="G146" s="5" t="s">
        <v>350</v>
      </c>
      <c r="H146" s="5" t="s">
        <v>350</v>
      </c>
      <c r="I146" s="11">
        <v>626.0</v>
      </c>
      <c r="J146" s="11">
        <v>553.0</v>
      </c>
      <c r="K146" s="11">
        <v>875.0</v>
      </c>
      <c r="L146" s="11">
        <v>810.0</v>
      </c>
      <c r="M146" s="11">
        <v>741.0</v>
      </c>
      <c r="N146" s="11">
        <v>575.0</v>
      </c>
      <c r="O146" s="11">
        <v>890.0</v>
      </c>
      <c r="P146" s="11">
        <v>789.0</v>
      </c>
      <c r="Q146" s="11">
        <f t="shared" si="1"/>
        <v>1179</v>
      </c>
      <c r="R146" s="11">
        <f t="shared" si="2"/>
        <v>1685</v>
      </c>
      <c r="S146" s="11">
        <f t="shared" si="3"/>
        <v>1316</v>
      </c>
      <c r="T146" s="11">
        <f t="shared" si="4"/>
        <v>1679</v>
      </c>
      <c r="U146" s="10">
        <f>IF(Q146&gt;0,(I146/Q146-District!$B$4)*100,"")</f>
        <v>-0.3163896899</v>
      </c>
      <c r="V146" s="10">
        <f>IF(R146&gt;0,(K146/R146-District!$B$5)*100,"")</f>
        <v>2.178811795</v>
      </c>
      <c r="W146" s="10">
        <f>IF(S146&gt;0,(M146/S146-District!$B$6)*100,"")</f>
        <v>5.323970177</v>
      </c>
      <c r="X146" s="10">
        <f>IF(T146&gt;0,(O146/T146-District!$B$7)*100,"")</f>
        <v>3.511320561</v>
      </c>
      <c r="Y146" s="28">
        <f t="shared" si="5"/>
        <v>2.17881011</v>
      </c>
      <c r="Z146" s="5">
        <f t="shared" si="6"/>
        <v>18</v>
      </c>
      <c r="AA146" s="28">
        <f t="shared" si="7"/>
        <v>5.323968861</v>
      </c>
      <c r="AB146" s="5">
        <f t="shared" si="8"/>
        <v>77</v>
      </c>
      <c r="AC146" s="28">
        <f t="shared" si="9"/>
        <v>5.323968498</v>
      </c>
      <c r="AD146" s="5">
        <f t="shared" si="10"/>
        <v>84</v>
      </c>
    </row>
    <row r="147" ht="15.75" customHeight="1">
      <c r="A147" s="5" t="s">
        <v>756</v>
      </c>
      <c r="B147" s="5" t="s">
        <v>234</v>
      </c>
      <c r="C147" s="5" t="s">
        <v>341</v>
      </c>
      <c r="D147" s="5">
        <v>924.0</v>
      </c>
      <c r="E147" s="5" t="s">
        <v>122</v>
      </c>
      <c r="F147" s="5" t="s">
        <v>351</v>
      </c>
      <c r="G147" s="5" t="s">
        <v>351</v>
      </c>
      <c r="H147" s="5" t="s">
        <v>351</v>
      </c>
      <c r="I147" s="11">
        <v>542.0</v>
      </c>
      <c r="J147" s="11">
        <v>565.0</v>
      </c>
      <c r="K147" s="11">
        <v>725.0</v>
      </c>
      <c r="L147" s="11">
        <v>728.0</v>
      </c>
      <c r="M147" s="11">
        <v>714.0</v>
      </c>
      <c r="N147" s="11">
        <v>619.0</v>
      </c>
      <c r="O147" s="11">
        <v>817.0</v>
      </c>
      <c r="P147" s="11">
        <v>798.0</v>
      </c>
      <c r="Q147" s="11">
        <f t="shared" si="1"/>
        <v>1107</v>
      </c>
      <c r="R147" s="11">
        <f t="shared" si="2"/>
        <v>1453</v>
      </c>
      <c r="S147" s="11">
        <f t="shared" si="3"/>
        <v>1333</v>
      </c>
      <c r="T147" s="11">
        <f t="shared" si="4"/>
        <v>1615</v>
      </c>
      <c r="U147" s="10">
        <f>IF(Q147&gt;0,(I147/Q147-District!$B$4)*100,"")</f>
        <v>-4.451077347</v>
      </c>
      <c r="V147" s="10">
        <f>IF(R147&gt;0,(K147/R147-District!$B$5)*100,"")</f>
        <v>0.1467937255</v>
      </c>
      <c r="W147" s="10">
        <f>IF(S147&gt;0,(M147/S147-District!$B$6)*100,"")</f>
        <v>2.580370143</v>
      </c>
      <c r="X147" s="10">
        <f>IF(T147&gt;0,(O147/T147-District!$B$7)*100,"")</f>
        <v>1.091813152</v>
      </c>
      <c r="Y147" s="28">
        <f t="shared" si="5"/>
        <v>4.451075894</v>
      </c>
      <c r="Z147" s="5">
        <f t="shared" si="6"/>
        <v>64</v>
      </c>
      <c r="AA147" s="28">
        <f t="shared" si="7"/>
        <v>2.58036881</v>
      </c>
      <c r="AB147" s="5">
        <f t="shared" si="8"/>
        <v>40</v>
      </c>
      <c r="AC147" s="28">
        <f t="shared" si="9"/>
        <v>2.580368528</v>
      </c>
      <c r="AD147" s="5">
        <f t="shared" si="10"/>
        <v>43</v>
      </c>
    </row>
    <row r="148" ht="15.75" customHeight="1">
      <c r="A148" s="5" t="s">
        <v>757</v>
      </c>
      <c r="B148" s="5" t="s">
        <v>234</v>
      </c>
      <c r="C148" s="5" t="s">
        <v>341</v>
      </c>
      <c r="D148" s="5">
        <v>926.0</v>
      </c>
      <c r="E148" s="5" t="s">
        <v>122</v>
      </c>
      <c r="F148" s="5" t="s">
        <v>352</v>
      </c>
      <c r="G148" s="5" t="s">
        <v>352</v>
      </c>
      <c r="H148" s="5" t="s">
        <v>352</v>
      </c>
      <c r="I148" s="11">
        <v>430.0</v>
      </c>
      <c r="J148" s="11">
        <v>409.0</v>
      </c>
      <c r="K148" s="11">
        <v>576.0</v>
      </c>
      <c r="L148" s="11">
        <v>586.0</v>
      </c>
      <c r="M148" s="11">
        <v>491.0</v>
      </c>
      <c r="N148" s="11">
        <v>403.0</v>
      </c>
      <c r="O148" s="11">
        <v>552.0</v>
      </c>
      <c r="P148" s="11">
        <v>556.0</v>
      </c>
      <c r="Q148" s="11">
        <f t="shared" si="1"/>
        <v>839</v>
      </c>
      <c r="R148" s="11">
        <f t="shared" si="2"/>
        <v>1162</v>
      </c>
      <c r="S148" s="11">
        <f t="shared" si="3"/>
        <v>894</v>
      </c>
      <c r="T148" s="11">
        <f t="shared" si="4"/>
        <v>1108</v>
      </c>
      <c r="U148" s="10">
        <f>IF(Q148&gt;0,(I148/Q148-District!$B$4)*100,"")</f>
        <v>-2.160743757</v>
      </c>
      <c r="V148" s="10">
        <f>IF(R148&gt;0,(K148/R148-District!$B$5)*100,"")</f>
        <v>-0.1802641866</v>
      </c>
      <c r="W148" s="10">
        <f>IF(S148&gt;0,(M148/S148-District!$B$6)*100,"")</f>
        <v>3.938679519</v>
      </c>
      <c r="X148" s="10">
        <f>IF(T148&gt;0,(O148/T148-District!$B$7)*100,"")</f>
        <v>0.3230724423</v>
      </c>
      <c r="Y148" s="28">
        <f t="shared" si="5"/>
        <v>2.160742595</v>
      </c>
      <c r="Z148" s="5">
        <f t="shared" si="6"/>
        <v>16</v>
      </c>
      <c r="AA148" s="28">
        <f t="shared" si="7"/>
        <v>3.938678625</v>
      </c>
      <c r="AB148" s="5">
        <f t="shared" si="8"/>
        <v>60</v>
      </c>
      <c r="AC148" s="28">
        <f t="shared" si="9"/>
        <v>3.938678411</v>
      </c>
      <c r="AD148" s="5">
        <f t="shared" si="10"/>
        <v>68</v>
      </c>
    </row>
    <row r="149" ht="15.75" customHeight="1">
      <c r="A149" s="5" t="s">
        <v>758</v>
      </c>
      <c r="B149" s="5" t="s">
        <v>234</v>
      </c>
      <c r="C149" s="5" t="s">
        <v>341</v>
      </c>
      <c r="D149" s="5">
        <v>928.0</v>
      </c>
      <c r="E149" s="5" t="s">
        <v>122</v>
      </c>
      <c r="F149" s="5" t="s">
        <v>342</v>
      </c>
      <c r="G149" s="5" t="s">
        <v>342</v>
      </c>
      <c r="H149" s="5" t="s">
        <v>342</v>
      </c>
      <c r="I149" s="11">
        <v>672.0</v>
      </c>
      <c r="J149" s="11">
        <v>652.0</v>
      </c>
      <c r="K149" s="11">
        <v>904.0</v>
      </c>
      <c r="L149" s="11">
        <v>976.0</v>
      </c>
      <c r="M149" s="11">
        <v>765.0</v>
      </c>
      <c r="N149" s="11">
        <v>744.0</v>
      </c>
      <c r="O149" s="11">
        <v>928.0</v>
      </c>
      <c r="P149" s="11">
        <v>988.0</v>
      </c>
      <c r="Q149" s="11">
        <f t="shared" si="1"/>
        <v>1324</v>
      </c>
      <c r="R149" s="11">
        <f t="shared" si="2"/>
        <v>1880</v>
      </c>
      <c r="S149" s="11">
        <f t="shared" si="3"/>
        <v>1509</v>
      </c>
      <c r="T149" s="11">
        <f t="shared" si="4"/>
        <v>1916</v>
      </c>
      <c r="U149" s="10">
        <f>IF(Q149&gt;0,(I149/Q149-District!$B$4)*100,"")</f>
        <v>-2.656946616</v>
      </c>
      <c r="V149" s="10">
        <f>IF(R149&gt;0,(K149/R149-District!$B$5)*100,"")</f>
        <v>-1.664865205</v>
      </c>
      <c r="W149" s="10">
        <f>IF(S149&gt;0,(M149/S149-District!$B$6)*100,"")</f>
        <v>-0.2871956549</v>
      </c>
      <c r="X149" s="10">
        <f>IF(T149&gt;0,(O149/T149-District!$B$7)*100,"")</f>
        <v>-1.062184147</v>
      </c>
      <c r="Y149" s="28">
        <f t="shared" si="5"/>
        <v>2.656944736</v>
      </c>
      <c r="Z149" s="5">
        <f t="shared" si="6"/>
        <v>30</v>
      </c>
      <c r="AA149" s="28">
        <f t="shared" si="7"/>
        <v>1.664863696</v>
      </c>
      <c r="AB149" s="5">
        <f t="shared" si="8"/>
        <v>18</v>
      </c>
      <c r="AC149" s="28">
        <f t="shared" si="9"/>
        <v>1.062182231</v>
      </c>
      <c r="AD149" s="5">
        <f t="shared" si="10"/>
        <v>8</v>
      </c>
    </row>
    <row r="150" ht="15.75" customHeight="1">
      <c r="A150" s="5" t="s">
        <v>759</v>
      </c>
      <c r="B150" s="5" t="s">
        <v>234</v>
      </c>
      <c r="C150" s="5" t="s">
        <v>353</v>
      </c>
      <c r="D150" s="5">
        <v>930.0</v>
      </c>
      <c r="E150" s="5" t="s">
        <v>122</v>
      </c>
      <c r="F150" s="5" t="s">
        <v>353</v>
      </c>
      <c r="G150" s="5" t="s">
        <v>353</v>
      </c>
      <c r="H150" s="5" t="s">
        <v>353</v>
      </c>
      <c r="I150" s="11">
        <v>738.0</v>
      </c>
      <c r="J150" s="11">
        <v>1114.0</v>
      </c>
      <c r="K150" s="11">
        <v>920.0</v>
      </c>
      <c r="L150" s="11">
        <v>1596.0</v>
      </c>
      <c r="M150" s="11">
        <v>850.0</v>
      </c>
      <c r="N150" s="11">
        <v>1311.0</v>
      </c>
      <c r="O150" s="11">
        <v>985.0</v>
      </c>
      <c r="P150" s="11">
        <v>1586.0</v>
      </c>
      <c r="Q150" s="11">
        <f t="shared" si="1"/>
        <v>1852</v>
      </c>
      <c r="R150" s="11">
        <f t="shared" si="2"/>
        <v>2516</v>
      </c>
      <c r="S150" s="11">
        <f t="shared" si="3"/>
        <v>2161</v>
      </c>
      <c r="T150" s="11">
        <f t="shared" si="4"/>
        <v>2571</v>
      </c>
      <c r="U150" s="10">
        <f>IF(Q150&gt;0,(I150/Q150-District!$B$4)*100,"")</f>
        <v>-13.56342153</v>
      </c>
      <c r="V150" s="10">
        <f>IF(R150&gt;0,(K150/R150-District!$B$5)*100,"")</f>
        <v>-13.18399385</v>
      </c>
      <c r="W150" s="10">
        <f>IF(S150&gt;0,(M150/S150-District!$B$6)*100,"")</f>
        <v>-11.64937887</v>
      </c>
      <c r="X150" s="10">
        <f>IF(T150&gt;0,(O150/T150-District!$B$7)*100,"")</f>
        <v>-11.18448126</v>
      </c>
      <c r="Y150" s="28">
        <f t="shared" si="5"/>
        <v>13.56341901</v>
      </c>
      <c r="Z150" s="5">
        <f t="shared" si="6"/>
        <v>166</v>
      </c>
      <c r="AA150" s="28">
        <f t="shared" si="7"/>
        <v>13.18399168</v>
      </c>
      <c r="AB150" s="5">
        <f t="shared" si="8"/>
        <v>155</v>
      </c>
      <c r="AC150" s="28">
        <f t="shared" si="9"/>
        <v>11.6493763</v>
      </c>
      <c r="AD150" s="5">
        <f t="shared" si="10"/>
        <v>156</v>
      </c>
    </row>
    <row r="151" ht="15.75" customHeight="1">
      <c r="A151" s="5" t="s">
        <v>760</v>
      </c>
      <c r="B151" s="5" t="s">
        <v>234</v>
      </c>
      <c r="C151" s="5" t="s">
        <v>354</v>
      </c>
      <c r="D151" s="5">
        <v>940.0</v>
      </c>
      <c r="E151" s="5" t="s">
        <v>122</v>
      </c>
      <c r="F151" s="5" t="s">
        <v>354</v>
      </c>
      <c r="G151" s="5" t="s">
        <v>354</v>
      </c>
      <c r="H151" s="5" t="s">
        <v>354</v>
      </c>
      <c r="I151" s="11">
        <v>411.0</v>
      </c>
      <c r="J151" s="11">
        <v>680.0</v>
      </c>
      <c r="K151" s="11">
        <v>533.0</v>
      </c>
      <c r="L151" s="11">
        <v>955.0</v>
      </c>
      <c r="M151" s="11">
        <v>457.0</v>
      </c>
      <c r="N151" s="11">
        <v>760.0</v>
      </c>
      <c r="O151" s="11">
        <v>543.0</v>
      </c>
      <c r="P151" s="11">
        <v>990.0</v>
      </c>
      <c r="Q151" s="11">
        <f t="shared" si="1"/>
        <v>1091</v>
      </c>
      <c r="R151" s="11">
        <f t="shared" si="2"/>
        <v>1488</v>
      </c>
      <c r="S151" s="11">
        <f t="shared" si="3"/>
        <v>1217</v>
      </c>
      <c r="T151" s="11">
        <f t="shared" si="4"/>
        <v>1533</v>
      </c>
      <c r="U151" s="10">
        <f>IF(Q151&gt;0,(I151/Q151-District!$B$4)*100,"")</f>
        <v>-15.74037295</v>
      </c>
      <c r="V151" s="10">
        <f>IF(R151&gt;0,(K151/R151-District!$B$5)*100,"")</f>
        <v>-13.93007911</v>
      </c>
      <c r="W151" s="10">
        <f>IF(S151&gt;0,(M151/S151-District!$B$6)*100,"")</f>
        <v>-13.43166491</v>
      </c>
      <c r="X151" s="10">
        <f>IF(T151&gt;0,(O151/T151-District!$B$7)*100,"")</f>
        <v>-14.0756785</v>
      </c>
      <c r="Y151" s="28">
        <f t="shared" si="5"/>
        <v>15.74037146</v>
      </c>
      <c r="Z151" s="5">
        <f t="shared" si="6"/>
        <v>188</v>
      </c>
      <c r="AA151" s="28">
        <f t="shared" si="7"/>
        <v>13.9300779</v>
      </c>
      <c r="AB151" s="5">
        <f t="shared" si="8"/>
        <v>160</v>
      </c>
      <c r="AC151" s="28">
        <f t="shared" si="9"/>
        <v>14.07567697</v>
      </c>
      <c r="AD151" s="5">
        <f t="shared" si="10"/>
        <v>183</v>
      </c>
    </row>
    <row r="152" ht="15.75" customHeight="1">
      <c r="A152" s="5" t="s">
        <v>761</v>
      </c>
      <c r="B152" s="5" t="s">
        <v>234</v>
      </c>
      <c r="C152" s="5" t="s">
        <v>355</v>
      </c>
      <c r="D152" s="5">
        <v>950.0</v>
      </c>
      <c r="E152" s="5" t="s">
        <v>122</v>
      </c>
      <c r="F152" s="5" t="s">
        <v>356</v>
      </c>
      <c r="G152" s="5" t="s">
        <v>356</v>
      </c>
      <c r="H152" s="5" t="s">
        <v>356</v>
      </c>
      <c r="I152" s="11">
        <v>118.0</v>
      </c>
      <c r="J152" s="11">
        <v>307.0</v>
      </c>
      <c r="K152" s="11">
        <v>179.0</v>
      </c>
      <c r="L152" s="11">
        <v>451.0</v>
      </c>
      <c r="M152" s="11">
        <v>159.0</v>
      </c>
      <c r="N152" s="11">
        <v>381.0</v>
      </c>
      <c r="O152" s="11">
        <v>181.0</v>
      </c>
      <c r="P152" s="11">
        <v>482.0</v>
      </c>
      <c r="Q152" s="11">
        <f t="shared" si="1"/>
        <v>425</v>
      </c>
      <c r="R152" s="11">
        <f t="shared" si="2"/>
        <v>630</v>
      </c>
      <c r="S152" s="11">
        <f t="shared" si="3"/>
        <v>540</v>
      </c>
      <c r="T152" s="11">
        <f t="shared" si="4"/>
        <v>663</v>
      </c>
      <c r="U152" s="10">
        <f>IF(Q152&gt;0,(I152/Q152-District!$B$4)*100,"")</f>
        <v>-25.64752774</v>
      </c>
      <c r="V152" s="10">
        <f>IF(R152&gt;0,(K152/R152-District!$B$5)*100,"")</f>
        <v>-21.33727317</v>
      </c>
      <c r="W152" s="10">
        <f>IF(S152&gt;0,(M152/S152-District!$B$6)*100,"")</f>
        <v>-21.53857626</v>
      </c>
      <c r="X152" s="10">
        <f>IF(T152&gt;0,(O152/T152-District!$B$7)*100,"")</f>
        <v>-22.19627131</v>
      </c>
      <c r="Y152" s="28">
        <f t="shared" si="5"/>
        <v>25.64752711</v>
      </c>
      <c r="Z152" s="5">
        <f t="shared" si="6"/>
        <v>266</v>
      </c>
      <c r="AA152" s="28">
        <f t="shared" si="7"/>
        <v>21.53857572</v>
      </c>
      <c r="AB152" s="5">
        <f t="shared" si="8"/>
        <v>222</v>
      </c>
      <c r="AC152" s="28">
        <f t="shared" si="9"/>
        <v>22.19627065</v>
      </c>
      <c r="AD152" s="5">
        <f t="shared" si="10"/>
        <v>258</v>
      </c>
    </row>
    <row r="153" ht="15.75" customHeight="1">
      <c r="A153" s="5" t="s">
        <v>762</v>
      </c>
      <c r="B153" s="5" t="s">
        <v>234</v>
      </c>
      <c r="C153" s="5" t="s">
        <v>355</v>
      </c>
      <c r="D153" s="5">
        <v>960.0</v>
      </c>
      <c r="E153" s="5" t="s">
        <v>122</v>
      </c>
      <c r="F153" s="5" t="s">
        <v>357</v>
      </c>
      <c r="G153" s="5" t="s">
        <v>357</v>
      </c>
      <c r="H153" s="5" t="s">
        <v>357</v>
      </c>
      <c r="I153" s="11">
        <v>118.0</v>
      </c>
      <c r="J153" s="11">
        <v>233.0</v>
      </c>
      <c r="K153" s="11">
        <v>134.0</v>
      </c>
      <c r="L153" s="11">
        <v>317.0</v>
      </c>
      <c r="M153" s="11">
        <v>116.0</v>
      </c>
      <c r="N153" s="11">
        <v>244.0</v>
      </c>
      <c r="O153" s="11">
        <v>147.0</v>
      </c>
      <c r="P153" s="11">
        <v>314.0</v>
      </c>
      <c r="Q153" s="11">
        <f t="shared" si="1"/>
        <v>351</v>
      </c>
      <c r="R153" s="11">
        <f t="shared" si="2"/>
        <v>451</v>
      </c>
      <c r="S153" s="11">
        <f t="shared" si="3"/>
        <v>360</v>
      </c>
      <c r="T153" s="11">
        <f t="shared" si="4"/>
        <v>461</v>
      </c>
      <c r="U153" s="10">
        <f>IF(Q153&gt;0,(I153/Q153-District!$B$4)*100,"")</f>
        <v>-19.79400001</v>
      </c>
      <c r="V153" s="10">
        <f>IF(R153&gt;0,(K153/R153-District!$B$5)*100,"")</f>
        <v>-20.03821992</v>
      </c>
      <c r="W153" s="10">
        <f>IF(S153&gt;0,(M153/S153-District!$B$6)*100,"")</f>
        <v>-18.76079848</v>
      </c>
      <c r="X153" s="10">
        <f>IF(T153&gt;0,(O153/T153-District!$B$7)*100,"")</f>
        <v>-17.60922041</v>
      </c>
      <c r="Y153" s="28">
        <f t="shared" si="5"/>
        <v>20.03821947</v>
      </c>
      <c r="Z153" s="5">
        <f t="shared" si="6"/>
        <v>228</v>
      </c>
      <c r="AA153" s="28">
        <f t="shared" si="7"/>
        <v>20.03821956</v>
      </c>
      <c r="AB153" s="5">
        <f t="shared" si="8"/>
        <v>214</v>
      </c>
      <c r="AC153" s="28">
        <f t="shared" si="9"/>
        <v>18.76079802</v>
      </c>
      <c r="AD153" s="5">
        <f t="shared" si="10"/>
        <v>228</v>
      </c>
    </row>
    <row r="154" ht="15.75" customHeight="1">
      <c r="A154" s="5" t="s">
        <v>763</v>
      </c>
      <c r="B154" s="5" t="s">
        <v>234</v>
      </c>
      <c r="C154" s="5" t="s">
        <v>355</v>
      </c>
      <c r="D154" s="5">
        <v>970.0</v>
      </c>
      <c r="E154" s="5" t="s">
        <v>122</v>
      </c>
      <c r="F154" s="5" t="s">
        <v>358</v>
      </c>
      <c r="G154" s="5" t="s">
        <v>358</v>
      </c>
      <c r="H154" s="5" t="s">
        <v>358</v>
      </c>
      <c r="I154" s="11">
        <v>387.0</v>
      </c>
      <c r="J154" s="11">
        <v>693.0</v>
      </c>
      <c r="K154" s="11">
        <v>533.0</v>
      </c>
      <c r="L154" s="11">
        <v>1015.0</v>
      </c>
      <c r="M154" s="11">
        <v>444.0</v>
      </c>
      <c r="N154" s="11">
        <v>809.0</v>
      </c>
      <c r="O154" s="11">
        <v>522.0</v>
      </c>
      <c r="P154" s="11">
        <v>1060.0</v>
      </c>
      <c r="Q154" s="11">
        <f t="shared" si="1"/>
        <v>1080</v>
      </c>
      <c r="R154" s="11">
        <f t="shared" si="2"/>
        <v>1548</v>
      </c>
      <c r="S154" s="11">
        <f t="shared" si="3"/>
        <v>1253</v>
      </c>
      <c r="T154" s="11">
        <f t="shared" si="4"/>
        <v>1582</v>
      </c>
      <c r="U154" s="10">
        <f>IF(Q154&gt;0,(I154/Q154-District!$B$4)*100,"")</f>
        <v>-17.57890029</v>
      </c>
      <c r="V154" s="10">
        <f>IF(R154&gt;0,(K154/R154-District!$B$5)*100,"")</f>
        <v>-15.31844704</v>
      </c>
      <c r="W154" s="10">
        <f>IF(S154&gt;0,(M154/S154-District!$B$6)*100,"")</f>
        <v>-15.5480646</v>
      </c>
      <c r="X154" s="10">
        <f>IF(T154&gt;0,(O154/T154-District!$B$7)*100,"")</f>
        <v>-16.50021481</v>
      </c>
      <c r="Y154" s="28">
        <f t="shared" si="5"/>
        <v>17.57889874</v>
      </c>
      <c r="Z154" s="5">
        <f t="shared" si="6"/>
        <v>203</v>
      </c>
      <c r="AA154" s="28">
        <f t="shared" si="7"/>
        <v>15.54806335</v>
      </c>
      <c r="AB154" s="5">
        <f t="shared" si="8"/>
        <v>173</v>
      </c>
      <c r="AC154" s="28">
        <f t="shared" si="9"/>
        <v>16.50021323</v>
      </c>
      <c r="AD154" s="5">
        <f t="shared" si="10"/>
        <v>208</v>
      </c>
    </row>
    <row r="155" ht="15.75" customHeight="1">
      <c r="A155" s="5" t="s">
        <v>764</v>
      </c>
      <c r="B155" s="5" t="s">
        <v>234</v>
      </c>
      <c r="C155" s="5" t="s">
        <v>359</v>
      </c>
      <c r="D155" s="5">
        <v>980.0</v>
      </c>
      <c r="E155" s="5" t="s">
        <v>122</v>
      </c>
      <c r="F155" s="5" t="s">
        <v>359</v>
      </c>
      <c r="G155" s="5" t="s">
        <v>359</v>
      </c>
      <c r="H155" s="5" t="s">
        <v>359</v>
      </c>
      <c r="I155" s="11">
        <v>691.0</v>
      </c>
      <c r="J155" s="11">
        <v>584.0</v>
      </c>
      <c r="K155" s="11">
        <v>997.0</v>
      </c>
      <c r="L155" s="11">
        <v>860.0</v>
      </c>
      <c r="M155" s="11">
        <v>788.0</v>
      </c>
      <c r="N155" s="11">
        <v>628.0</v>
      </c>
      <c r="O155" s="11">
        <v>980.0</v>
      </c>
      <c r="P155" s="11">
        <v>872.0</v>
      </c>
      <c r="Q155" s="11">
        <f t="shared" si="1"/>
        <v>1275</v>
      </c>
      <c r="R155" s="11">
        <f t="shared" si="2"/>
        <v>1857</v>
      </c>
      <c r="S155" s="11">
        <f t="shared" si="3"/>
        <v>1416</v>
      </c>
      <c r="T155" s="11">
        <f t="shared" si="4"/>
        <v>1852</v>
      </c>
      <c r="U155" s="10">
        <f>IF(Q155&gt;0,(I155/Q155-District!$B$4)*100,"")</f>
        <v>0.7838448059</v>
      </c>
      <c r="V155" s="10">
        <f>IF(R155&gt;0,(K155/R155-District!$B$5)*100,"")</f>
        <v>3.9387737</v>
      </c>
      <c r="W155" s="10">
        <f>IF(S155&gt;0,(M155/S155-District!$B$6)*100,"")</f>
        <v>4.66669681</v>
      </c>
      <c r="X155" s="10">
        <f>IF(T155&gt;0,(O155/T155-District!$B$7)*100,"")</f>
        <v>3.419344596</v>
      </c>
      <c r="Y155" s="28">
        <f t="shared" si="5"/>
        <v>3.938771843</v>
      </c>
      <c r="Z155" s="5">
        <f t="shared" si="6"/>
        <v>53</v>
      </c>
      <c r="AA155" s="28">
        <f t="shared" si="7"/>
        <v>4.666695394</v>
      </c>
      <c r="AB155" s="5">
        <f t="shared" si="8"/>
        <v>72</v>
      </c>
      <c r="AC155" s="28">
        <f t="shared" si="9"/>
        <v>4.666694958</v>
      </c>
      <c r="AD155" s="5">
        <f t="shared" si="10"/>
        <v>76</v>
      </c>
    </row>
    <row r="156" ht="15.75" customHeight="1">
      <c r="A156" s="5" t="s">
        <v>765</v>
      </c>
      <c r="B156" s="5" t="s">
        <v>234</v>
      </c>
      <c r="C156" s="5" t="s">
        <v>362</v>
      </c>
      <c r="D156" s="5">
        <v>990.0</v>
      </c>
      <c r="E156" s="5" t="s">
        <v>122</v>
      </c>
      <c r="F156" s="5" t="s">
        <v>363</v>
      </c>
      <c r="G156" s="5" t="s">
        <v>363</v>
      </c>
      <c r="H156" s="5" t="s">
        <v>363</v>
      </c>
      <c r="I156" s="11">
        <v>727.0</v>
      </c>
      <c r="J156" s="11">
        <v>932.0</v>
      </c>
      <c r="K156" s="11">
        <v>937.0</v>
      </c>
      <c r="L156" s="11">
        <v>1367.0</v>
      </c>
      <c r="M156" s="11">
        <v>830.0</v>
      </c>
      <c r="N156" s="11">
        <v>1043.0</v>
      </c>
      <c r="O156" s="11">
        <v>1010.0</v>
      </c>
      <c r="P156" s="11">
        <v>1334.0</v>
      </c>
      <c r="Q156" s="11">
        <f t="shared" si="1"/>
        <v>1659</v>
      </c>
      <c r="R156" s="11">
        <f t="shared" si="2"/>
        <v>2304</v>
      </c>
      <c r="S156" s="11">
        <f t="shared" si="3"/>
        <v>1873</v>
      </c>
      <c r="T156" s="11">
        <f t="shared" si="4"/>
        <v>2344</v>
      </c>
      <c r="U156" s="10">
        <f>IF(Q156&gt;0,(I156/Q156-District!$B$4)*100,"")</f>
        <v>-9.590654361</v>
      </c>
      <c r="V156" s="10">
        <f>IF(R156&gt;0,(K156/R156-District!$B$5)*100,"")</f>
        <v>-9.08156881</v>
      </c>
      <c r="W156" s="10">
        <f>IF(S156&gt;0,(M156/S156-District!$B$6)*100,"")</f>
        <v>-6.669085841</v>
      </c>
      <c r="X156" s="10">
        <f>IF(T156&gt;0,(O156/T156-District!$B$7)*100,"")</f>
        <v>-6.407684941</v>
      </c>
      <c r="Y156" s="28">
        <f t="shared" si="5"/>
        <v>9.590652057</v>
      </c>
      <c r="Z156" s="5">
        <f t="shared" si="6"/>
        <v>122</v>
      </c>
      <c r="AA156" s="28">
        <f t="shared" si="7"/>
        <v>9.081566937</v>
      </c>
      <c r="AB156" s="5">
        <f t="shared" si="8"/>
        <v>112</v>
      </c>
      <c r="AC156" s="28">
        <f t="shared" si="9"/>
        <v>6.669083497</v>
      </c>
      <c r="AD156" s="5">
        <f t="shared" si="10"/>
        <v>98</v>
      </c>
    </row>
    <row r="157" ht="15.75" customHeight="1">
      <c r="A157" s="5" t="s">
        <v>766</v>
      </c>
      <c r="B157" s="5" t="s">
        <v>234</v>
      </c>
      <c r="C157" s="5" t="s">
        <v>362</v>
      </c>
      <c r="D157" s="5">
        <v>1000.0</v>
      </c>
      <c r="E157" s="5" t="s">
        <v>122</v>
      </c>
      <c r="F157" s="5" t="s">
        <v>364</v>
      </c>
      <c r="G157" s="5" t="s">
        <v>364</v>
      </c>
      <c r="H157" s="5" t="s">
        <v>364</v>
      </c>
      <c r="I157" s="11">
        <v>598.0</v>
      </c>
      <c r="J157" s="11">
        <v>813.0</v>
      </c>
      <c r="K157" s="11">
        <v>849.0</v>
      </c>
      <c r="L157" s="11">
        <v>1295.0</v>
      </c>
      <c r="M157" s="11">
        <v>686.0</v>
      </c>
      <c r="N157" s="11">
        <v>981.0</v>
      </c>
      <c r="O157" s="11">
        <v>860.0</v>
      </c>
      <c r="P157" s="11">
        <v>1332.0</v>
      </c>
      <c r="Q157" s="11">
        <f t="shared" si="1"/>
        <v>1411</v>
      </c>
      <c r="R157" s="11">
        <f t="shared" si="2"/>
        <v>2144</v>
      </c>
      <c r="S157" s="11">
        <f t="shared" si="3"/>
        <v>1667</v>
      </c>
      <c r="T157" s="11">
        <f t="shared" si="4"/>
        <v>2192</v>
      </c>
      <c r="U157" s="10">
        <f>IF(Q157&gt;0,(I157/Q157-District!$B$4)*100,"")</f>
        <v>-11.03094376</v>
      </c>
      <c r="V157" s="10">
        <f>IF(R157&gt;0,(K157/R157-District!$B$5)*100,"")</f>
        <v>-10.15109099</v>
      </c>
      <c r="W157" s="10">
        <f>IF(S157&gt;0,(M157/S157-District!$B$6)*100,"")</f>
        <v>-9.831251058</v>
      </c>
      <c r="X157" s="10">
        <f>IF(T157&gt;0,(O157/T157-District!$B$7)*100,"")</f>
        <v>-10.2628455</v>
      </c>
      <c r="Y157" s="28">
        <f t="shared" si="5"/>
        <v>11.03094162</v>
      </c>
      <c r="Z157" s="5">
        <f t="shared" si="6"/>
        <v>136</v>
      </c>
      <c r="AA157" s="28">
        <f t="shared" si="7"/>
        <v>10.15108932</v>
      </c>
      <c r="AB157" s="5">
        <f t="shared" si="8"/>
        <v>123</v>
      </c>
      <c r="AC157" s="28">
        <f t="shared" si="9"/>
        <v>10.26284331</v>
      </c>
      <c r="AD157" s="5">
        <f t="shared" si="10"/>
        <v>136</v>
      </c>
    </row>
    <row r="158" ht="15.75" customHeight="1">
      <c r="A158" s="5" t="s">
        <v>767</v>
      </c>
      <c r="B158" s="5" t="s">
        <v>234</v>
      </c>
      <c r="C158" s="5" t="s">
        <v>362</v>
      </c>
      <c r="D158" s="5">
        <v>1010.0</v>
      </c>
      <c r="E158" s="5" t="s">
        <v>122</v>
      </c>
      <c r="F158" s="5" t="s">
        <v>365</v>
      </c>
      <c r="G158" s="5" t="s">
        <v>365</v>
      </c>
      <c r="H158" s="5" t="s">
        <v>365</v>
      </c>
      <c r="I158" s="11">
        <v>314.0</v>
      </c>
      <c r="J158" s="11">
        <v>468.0</v>
      </c>
      <c r="K158" s="11">
        <v>457.0</v>
      </c>
      <c r="L158" s="11">
        <v>701.0</v>
      </c>
      <c r="M158" s="11">
        <v>370.0</v>
      </c>
      <c r="N158" s="11">
        <v>519.0</v>
      </c>
      <c r="O158" s="11">
        <v>449.0</v>
      </c>
      <c r="P158" s="11">
        <v>705.0</v>
      </c>
      <c r="Q158" s="11">
        <f t="shared" si="1"/>
        <v>782</v>
      </c>
      <c r="R158" s="11">
        <f t="shared" si="2"/>
        <v>1158</v>
      </c>
      <c r="S158" s="11">
        <f t="shared" si="3"/>
        <v>889</v>
      </c>
      <c r="T158" s="11">
        <f t="shared" si="4"/>
        <v>1154</v>
      </c>
      <c r="U158" s="10">
        <f>IF(Q158&gt;0,(I158/Q158-District!$B$4)*100,"")</f>
        <v>-13.25878094</v>
      </c>
      <c r="V158" s="10">
        <f>IF(R158&gt;0,(K158/R158-District!$B$5)*100,"")</f>
        <v>-10.28537746</v>
      </c>
      <c r="W158" s="10">
        <f>IF(S158&gt;0,(M158/S158-District!$B$6)*100,"")</f>
        <v>-9.363223179</v>
      </c>
      <c r="X158" s="10">
        <f>IF(T158&gt;0,(O158/T158-District!$B$7)*100,"")</f>
        <v>-10.58827656</v>
      </c>
      <c r="Y158" s="28">
        <f t="shared" si="5"/>
        <v>13.25877978</v>
      </c>
      <c r="Z158" s="5">
        <f t="shared" si="6"/>
        <v>161</v>
      </c>
      <c r="AA158" s="28">
        <f t="shared" si="7"/>
        <v>10.28537657</v>
      </c>
      <c r="AB158" s="5">
        <f t="shared" si="8"/>
        <v>124</v>
      </c>
      <c r="AC158" s="28">
        <f t="shared" si="9"/>
        <v>10.58827541</v>
      </c>
      <c r="AD158" s="5">
        <f t="shared" si="10"/>
        <v>139</v>
      </c>
    </row>
    <row r="159" ht="15.75" customHeight="1">
      <c r="A159" s="5" t="s">
        <v>768</v>
      </c>
      <c r="B159" s="5" t="s">
        <v>234</v>
      </c>
      <c r="C159" s="5" t="s">
        <v>362</v>
      </c>
      <c r="D159" s="5">
        <v>1020.0</v>
      </c>
      <c r="E159" s="5" t="s">
        <v>122</v>
      </c>
      <c r="F159" s="5" t="s">
        <v>366</v>
      </c>
      <c r="G159" s="5" t="s">
        <v>366</v>
      </c>
      <c r="H159" s="5" t="s">
        <v>366</v>
      </c>
      <c r="I159" s="11">
        <v>413.0</v>
      </c>
      <c r="J159" s="11">
        <v>633.0</v>
      </c>
      <c r="K159" s="11">
        <v>614.0</v>
      </c>
      <c r="L159" s="11">
        <v>948.0</v>
      </c>
      <c r="M159" s="11">
        <v>521.0</v>
      </c>
      <c r="N159" s="11">
        <v>758.0</v>
      </c>
      <c r="O159" s="11">
        <v>654.0</v>
      </c>
      <c r="P159" s="11">
        <v>979.0</v>
      </c>
      <c r="Q159" s="11">
        <f t="shared" si="1"/>
        <v>1046</v>
      </c>
      <c r="R159" s="11">
        <f t="shared" si="2"/>
        <v>1562</v>
      </c>
      <c r="S159" s="11">
        <f t="shared" si="3"/>
        <v>1279</v>
      </c>
      <c r="T159" s="11">
        <f t="shared" si="4"/>
        <v>1633</v>
      </c>
      <c r="U159" s="10">
        <f>IF(Q159&gt;0,(I159/Q159-District!$B$4)*100,"")</f>
        <v>-13.92848602</v>
      </c>
      <c r="V159" s="10">
        <f>IF(R159&gt;0,(K159/R159-District!$B$5)*100,"")</f>
        <v>-10.44139284</v>
      </c>
      <c r="W159" s="10">
        <f>IF(S159&gt;0,(M159/S159-District!$B$6)*100,"")</f>
        <v>-10.24807153</v>
      </c>
      <c r="X159" s="10">
        <f>IF(T159&gt;0,(O159/T159-District!$B$7)*100,"")</f>
        <v>-9.447432553</v>
      </c>
      <c r="Y159" s="28">
        <f t="shared" si="5"/>
        <v>13.92848445</v>
      </c>
      <c r="Z159" s="5">
        <f t="shared" si="6"/>
        <v>171</v>
      </c>
      <c r="AA159" s="28">
        <f t="shared" si="7"/>
        <v>10.44139156</v>
      </c>
      <c r="AB159" s="5">
        <f t="shared" si="8"/>
        <v>127</v>
      </c>
      <c r="AC159" s="28">
        <f t="shared" si="9"/>
        <v>10.24806989</v>
      </c>
      <c r="AD159" s="5">
        <f t="shared" si="10"/>
        <v>134</v>
      </c>
    </row>
    <row r="160" ht="15.75" customHeight="1">
      <c r="A160" s="5" t="s">
        <v>769</v>
      </c>
      <c r="B160" s="5" t="s">
        <v>234</v>
      </c>
      <c r="C160" s="5" t="s">
        <v>362</v>
      </c>
      <c r="D160" s="5">
        <v>1022.0</v>
      </c>
      <c r="E160" s="5" t="s">
        <v>122</v>
      </c>
      <c r="F160" s="5" t="s">
        <v>367</v>
      </c>
      <c r="G160" s="5" t="s">
        <v>367</v>
      </c>
      <c r="H160" s="5" t="s">
        <v>367</v>
      </c>
      <c r="I160" s="11">
        <v>376.0</v>
      </c>
      <c r="J160" s="11">
        <v>622.0</v>
      </c>
      <c r="K160" s="11">
        <v>555.0</v>
      </c>
      <c r="L160" s="11">
        <v>886.0</v>
      </c>
      <c r="M160" s="11">
        <v>474.0</v>
      </c>
      <c r="N160" s="11">
        <v>704.0</v>
      </c>
      <c r="O160" s="11">
        <v>557.0</v>
      </c>
      <c r="P160" s="11">
        <v>890.0</v>
      </c>
      <c r="Q160" s="11">
        <f t="shared" si="1"/>
        <v>998</v>
      </c>
      <c r="R160" s="11">
        <f t="shared" si="2"/>
        <v>1441</v>
      </c>
      <c r="S160" s="11">
        <f t="shared" si="3"/>
        <v>1178</v>
      </c>
      <c r="T160" s="11">
        <f t="shared" si="4"/>
        <v>1447</v>
      </c>
      <c r="U160" s="10">
        <f>IF(Q160&gt;0,(I160/Q160-District!$B$4)*100,"")</f>
        <v>-15.73688292</v>
      </c>
      <c r="V160" s="10">
        <f>IF(R160&gt;0,(K160/R160-District!$B$5)*100,"")</f>
        <v>-11.23505139</v>
      </c>
      <c r="W160" s="10">
        <f>IF(S160&gt;0,(M160/S160-District!$B$6)*100,"")</f>
        <v>-10.7453297</v>
      </c>
      <c r="X160" s="10">
        <f>IF(T160&gt;0,(O160/T160-District!$B$7)*100,"")</f>
        <v>-11.00298745</v>
      </c>
      <c r="Y160" s="28">
        <f t="shared" si="5"/>
        <v>15.73688148</v>
      </c>
      <c r="Z160" s="5">
        <f t="shared" si="6"/>
        <v>187</v>
      </c>
      <c r="AA160" s="28">
        <f t="shared" si="7"/>
        <v>11.23505022</v>
      </c>
      <c r="AB160" s="5">
        <f t="shared" si="8"/>
        <v>136</v>
      </c>
      <c r="AC160" s="28">
        <f t="shared" si="9"/>
        <v>11.002986</v>
      </c>
      <c r="AD160" s="5">
        <f t="shared" si="10"/>
        <v>150</v>
      </c>
    </row>
    <row r="161" ht="15.75" customHeight="1">
      <c r="A161" s="5" t="s">
        <v>770</v>
      </c>
      <c r="B161" s="5" t="s">
        <v>234</v>
      </c>
      <c r="C161" s="5" t="s">
        <v>362</v>
      </c>
      <c r="D161" s="5">
        <v>1025.0</v>
      </c>
      <c r="E161" s="5" t="s">
        <v>122</v>
      </c>
      <c r="F161" s="5" t="s">
        <v>368</v>
      </c>
      <c r="G161" s="5" t="s">
        <v>368</v>
      </c>
      <c r="H161" s="5" t="s">
        <v>368</v>
      </c>
      <c r="I161" s="11">
        <v>352.0</v>
      </c>
      <c r="J161" s="11">
        <v>381.0</v>
      </c>
      <c r="K161" s="11">
        <v>488.0</v>
      </c>
      <c r="L161" s="11">
        <v>662.0</v>
      </c>
      <c r="M161" s="11">
        <v>374.0</v>
      </c>
      <c r="N161" s="11">
        <v>457.0</v>
      </c>
      <c r="O161" s="11">
        <v>492.0</v>
      </c>
      <c r="P161" s="11">
        <v>675.0</v>
      </c>
      <c r="Q161" s="11">
        <f t="shared" si="1"/>
        <v>733</v>
      </c>
      <c r="R161" s="11">
        <f t="shared" si="2"/>
        <v>1150</v>
      </c>
      <c r="S161" s="11">
        <f t="shared" si="3"/>
        <v>831</v>
      </c>
      <c r="T161" s="11">
        <f t="shared" si="4"/>
        <v>1167</v>
      </c>
      <c r="U161" s="10">
        <f>IF(Q161&gt;0,(I161/Q161-District!$B$4)*100,"")</f>
        <v>-5.390405522</v>
      </c>
      <c r="V161" s="10">
        <f>IF(R161&gt;0,(K161/R161-District!$B$5)*100,"")</f>
        <v>-7.315188979</v>
      </c>
      <c r="W161" s="10">
        <f>IF(S161&gt;0,(M161/S161-District!$B$6)*100,"")</f>
        <v>-5.977003857</v>
      </c>
      <c r="X161" s="10">
        <f>IF(T161&gt;0,(O161/T161-District!$B$7)*100,"")</f>
        <v>-7.337039109</v>
      </c>
      <c r="Y161" s="28">
        <f t="shared" si="5"/>
        <v>7.315187829</v>
      </c>
      <c r="Z161" s="5">
        <f t="shared" si="6"/>
        <v>102</v>
      </c>
      <c r="AA161" s="28">
        <f t="shared" si="7"/>
        <v>7.315188148</v>
      </c>
      <c r="AB161" s="5">
        <f t="shared" si="8"/>
        <v>95</v>
      </c>
      <c r="AC161" s="28">
        <f t="shared" si="9"/>
        <v>7.337037942</v>
      </c>
      <c r="AD161" s="5">
        <f t="shared" si="10"/>
        <v>106</v>
      </c>
    </row>
    <row r="162" ht="15.75" customHeight="1">
      <c r="A162" s="5" t="s">
        <v>771</v>
      </c>
      <c r="B162" s="5" t="s">
        <v>234</v>
      </c>
      <c r="C162" s="5" t="s">
        <v>369</v>
      </c>
      <c r="D162" s="5">
        <v>1030.0</v>
      </c>
      <c r="E162" s="5" t="s">
        <v>122</v>
      </c>
      <c r="F162" s="5" t="s">
        <v>370</v>
      </c>
      <c r="G162" s="5" t="s">
        <v>370</v>
      </c>
      <c r="H162" s="5" t="s">
        <v>370</v>
      </c>
      <c r="I162" s="11">
        <v>505.0</v>
      </c>
      <c r="J162" s="11">
        <v>425.0</v>
      </c>
      <c r="K162" s="11">
        <v>700.0</v>
      </c>
      <c r="L162" s="11">
        <v>691.0</v>
      </c>
      <c r="M162" s="11">
        <v>504.0</v>
      </c>
      <c r="N162" s="11">
        <v>501.0</v>
      </c>
      <c r="O162" s="11">
        <v>668.0</v>
      </c>
      <c r="P162" s="11">
        <v>693.0</v>
      </c>
      <c r="Q162" s="11">
        <f t="shared" si="1"/>
        <v>930</v>
      </c>
      <c r="R162" s="11">
        <f t="shared" si="2"/>
        <v>1391</v>
      </c>
      <c r="S162" s="11">
        <f t="shared" si="3"/>
        <v>1005</v>
      </c>
      <c r="T162" s="11">
        <f t="shared" si="4"/>
        <v>1361</v>
      </c>
      <c r="U162" s="10">
        <f>IF(Q162&gt;0,(I162/Q162-District!$B$4)*100,"")</f>
        <v>0.8888416434</v>
      </c>
      <c r="V162" s="10">
        <f>IF(R162&gt;0,(K162/R162-District!$B$5)*100,"")</f>
        <v>0.5735366798</v>
      </c>
      <c r="W162" s="10">
        <f>IF(S162&gt;0,(M162/S162-District!$B$6)*100,"")</f>
        <v>-0.8337669732</v>
      </c>
      <c r="X162" s="10">
        <f>IF(T162&gt;0,(O162/T162-District!$B$7)*100,"")</f>
        <v>-0.4148644644</v>
      </c>
      <c r="Y162" s="28">
        <f t="shared" si="5"/>
        <v>0.8888402524</v>
      </c>
      <c r="Z162" s="5">
        <f t="shared" si="6"/>
        <v>3</v>
      </c>
      <c r="AA162" s="28">
        <f t="shared" si="7"/>
        <v>0.8337659682</v>
      </c>
      <c r="AB162" s="5">
        <f t="shared" si="8"/>
        <v>3</v>
      </c>
      <c r="AC162" s="28">
        <f t="shared" si="9"/>
        <v>0.8337656122</v>
      </c>
      <c r="AD162" s="5">
        <f t="shared" si="10"/>
        <v>4</v>
      </c>
    </row>
    <row r="163" ht="15.75" customHeight="1">
      <c r="A163" s="5" t="s">
        <v>772</v>
      </c>
      <c r="B163" s="5" t="s">
        <v>234</v>
      </c>
      <c r="C163" s="5" t="s">
        <v>369</v>
      </c>
      <c r="D163" s="5">
        <v>1040.0</v>
      </c>
      <c r="E163" s="5" t="s">
        <v>122</v>
      </c>
      <c r="F163" s="5" t="s">
        <v>371</v>
      </c>
      <c r="G163" s="5" t="s">
        <v>371</v>
      </c>
      <c r="H163" s="5" t="s">
        <v>371</v>
      </c>
      <c r="I163" s="11">
        <v>565.0</v>
      </c>
      <c r="J163" s="11">
        <v>475.0</v>
      </c>
      <c r="K163" s="11">
        <v>796.0</v>
      </c>
      <c r="L163" s="11">
        <v>790.0</v>
      </c>
      <c r="M163" s="11">
        <v>602.0</v>
      </c>
      <c r="N163" s="11">
        <v>577.0</v>
      </c>
      <c r="O163" s="11">
        <v>803.0</v>
      </c>
      <c r="P163" s="11">
        <v>818.0</v>
      </c>
      <c r="Q163" s="11">
        <f t="shared" si="1"/>
        <v>1040</v>
      </c>
      <c r="R163" s="11">
        <f t="shared" si="2"/>
        <v>1586</v>
      </c>
      <c r="S163" s="11">
        <f t="shared" si="3"/>
        <v>1179</v>
      </c>
      <c r="T163" s="11">
        <f t="shared" si="4"/>
        <v>1621</v>
      </c>
      <c r="U163" s="10">
        <f>IF(Q163&gt;0,(I163/Q163-District!$B$4)*100,"")</f>
        <v>0.9146894515</v>
      </c>
      <c r="V163" s="10">
        <f>IF(R163&gt;0,(K163/R163-District!$B$5)*100,"")</f>
        <v>0.4391835195</v>
      </c>
      <c r="W163" s="10">
        <f>IF(S163&gt;0,(M163/S163-District!$B$6)*100,"")</f>
        <v>0.0771998213</v>
      </c>
      <c r="X163" s="10">
        <f>IF(T163&gt;0,(O163/T163-District!$B$7)*100,"")</f>
        <v>0.0409004978</v>
      </c>
      <c r="Y163" s="28">
        <f t="shared" si="5"/>
        <v>0.9146878655</v>
      </c>
      <c r="Z163" s="5">
        <f t="shared" si="6"/>
        <v>4</v>
      </c>
      <c r="AA163" s="28">
        <f t="shared" si="7"/>
        <v>0.4391823405</v>
      </c>
      <c r="AB163" s="5">
        <f t="shared" si="8"/>
        <v>1</v>
      </c>
      <c r="AC163" s="28">
        <f t="shared" si="9"/>
        <v>0.0771982003</v>
      </c>
      <c r="AD163" s="5">
        <f t="shared" si="10"/>
        <v>1</v>
      </c>
    </row>
    <row r="164" ht="15.75" customHeight="1">
      <c r="A164" s="5" t="s">
        <v>773</v>
      </c>
      <c r="B164" s="5" t="s">
        <v>234</v>
      </c>
      <c r="C164" s="5" t="s">
        <v>369</v>
      </c>
      <c r="D164" s="5">
        <v>1050.0</v>
      </c>
      <c r="E164" s="5" t="s">
        <v>122</v>
      </c>
      <c r="F164" s="5" t="s">
        <v>373</v>
      </c>
      <c r="G164" s="5" t="s">
        <v>373</v>
      </c>
      <c r="H164" s="5" t="s">
        <v>373</v>
      </c>
      <c r="I164" s="11">
        <v>252.0</v>
      </c>
      <c r="J164" s="11">
        <v>235.0</v>
      </c>
      <c r="K164" s="11">
        <v>361.0</v>
      </c>
      <c r="L164" s="11">
        <v>375.0</v>
      </c>
      <c r="M164" s="11">
        <v>292.0</v>
      </c>
      <c r="N164" s="11">
        <v>268.0</v>
      </c>
      <c r="O164" s="11">
        <v>342.0</v>
      </c>
      <c r="P164" s="11">
        <v>358.0</v>
      </c>
      <c r="Q164" s="11">
        <f t="shared" si="1"/>
        <v>487</v>
      </c>
      <c r="R164" s="11">
        <f t="shared" si="2"/>
        <v>736</v>
      </c>
      <c r="S164" s="11">
        <f t="shared" si="3"/>
        <v>560</v>
      </c>
      <c r="T164" s="11">
        <f t="shared" si="4"/>
        <v>700</v>
      </c>
      <c r="U164" s="10">
        <f>IF(Q164&gt;0,(I164/Q164-District!$B$4)*100,"")</f>
        <v>-1.666853749</v>
      </c>
      <c r="V164" s="10">
        <f>IF(R164&gt;0,(K164/R164-District!$B$5)*100,"")</f>
        <v>-0.7010585442</v>
      </c>
      <c r="W164" s="10">
        <f>IF(S164&gt;0,(M164/S164-District!$B$6)*100,"")</f>
        <v>1.159836438</v>
      </c>
      <c r="X164" s="10">
        <f>IF(T164&gt;0,(O164/T164-District!$B$7)*100,"")</f>
        <v>-0.6392792854</v>
      </c>
      <c r="Y164" s="28">
        <f t="shared" si="5"/>
        <v>1.666853013</v>
      </c>
      <c r="Z164" s="5">
        <f t="shared" si="6"/>
        <v>10</v>
      </c>
      <c r="AA164" s="28">
        <f t="shared" si="7"/>
        <v>1.159835878</v>
      </c>
      <c r="AB164" s="5">
        <f t="shared" si="8"/>
        <v>11</v>
      </c>
      <c r="AC164" s="28">
        <f t="shared" si="9"/>
        <v>1.159835738</v>
      </c>
      <c r="AD164" s="5">
        <f t="shared" si="10"/>
        <v>11</v>
      </c>
    </row>
    <row r="165" ht="15.75" customHeight="1">
      <c r="A165" s="5" t="s">
        <v>774</v>
      </c>
      <c r="B165" s="5" t="s">
        <v>234</v>
      </c>
      <c r="C165" s="5" t="s">
        <v>369</v>
      </c>
      <c r="D165" s="5">
        <v>1055.0</v>
      </c>
      <c r="E165" s="5" t="s">
        <v>122</v>
      </c>
      <c r="F165" s="5" t="s">
        <v>374</v>
      </c>
      <c r="G165" s="5" t="s">
        <v>374</v>
      </c>
      <c r="H165" s="5" t="s">
        <v>374</v>
      </c>
      <c r="I165" s="11">
        <v>277.0</v>
      </c>
      <c r="J165" s="11">
        <v>252.0</v>
      </c>
      <c r="K165" s="11">
        <v>406.0</v>
      </c>
      <c r="L165" s="11">
        <v>388.0</v>
      </c>
      <c r="M165" s="11">
        <v>331.0</v>
      </c>
      <c r="N165" s="11">
        <v>297.0</v>
      </c>
      <c r="O165" s="11">
        <v>411.0</v>
      </c>
      <c r="P165" s="11">
        <v>417.0</v>
      </c>
      <c r="Q165" s="11">
        <f t="shared" si="1"/>
        <v>529</v>
      </c>
      <c r="R165" s="11">
        <f t="shared" si="2"/>
        <v>794</v>
      </c>
      <c r="S165" s="11">
        <f t="shared" si="3"/>
        <v>628</v>
      </c>
      <c r="T165" s="11">
        <f t="shared" si="4"/>
        <v>828</v>
      </c>
      <c r="U165" s="10">
        <f>IF(Q165&gt;0,(I165/Q165-District!$B$4)*100,"")</f>
        <v>-1.049284665</v>
      </c>
      <c r="V165" s="10">
        <f>IF(R165&gt;0,(K165/R165-District!$B$5)*100,"")</f>
        <v>1.383529672</v>
      </c>
      <c r="W165" s="10">
        <f>IF(S165&gt;0,(M165/S165-District!$B$6)*100,"")</f>
        <v>1.723985665</v>
      </c>
      <c r="X165" s="10">
        <f>IF(T165&gt;0,(O165/T165-District!$B$7)*100,"")</f>
        <v>0.1412590169</v>
      </c>
      <c r="Y165" s="28">
        <f t="shared" si="5"/>
        <v>1.383528878</v>
      </c>
      <c r="Z165" s="5">
        <f t="shared" si="6"/>
        <v>7</v>
      </c>
      <c r="AA165" s="28">
        <f t="shared" si="7"/>
        <v>1.723985037</v>
      </c>
      <c r="AB165" s="5">
        <f t="shared" si="8"/>
        <v>19</v>
      </c>
      <c r="AC165" s="28">
        <f t="shared" si="9"/>
        <v>1.723984837</v>
      </c>
      <c r="AD165" s="5">
        <f t="shared" si="10"/>
        <v>23</v>
      </c>
    </row>
    <row r="166" ht="15.75" customHeight="1">
      <c r="A166" s="5" t="s">
        <v>775</v>
      </c>
      <c r="B166" s="5" t="s">
        <v>234</v>
      </c>
      <c r="C166" s="5" t="s">
        <v>369</v>
      </c>
      <c r="D166" s="5">
        <v>1060.0</v>
      </c>
      <c r="E166" s="5" t="s">
        <v>122</v>
      </c>
      <c r="F166" s="5" t="s">
        <v>375</v>
      </c>
      <c r="G166" s="5" t="s">
        <v>375</v>
      </c>
      <c r="H166" s="5" t="s">
        <v>375</v>
      </c>
      <c r="I166" s="11">
        <v>385.0</v>
      </c>
      <c r="J166" s="11">
        <v>428.0</v>
      </c>
      <c r="K166" s="11">
        <v>524.0</v>
      </c>
      <c r="L166" s="11">
        <v>571.0</v>
      </c>
      <c r="M166" s="11">
        <v>418.0</v>
      </c>
      <c r="N166" s="11">
        <v>445.0</v>
      </c>
      <c r="O166" s="11">
        <v>525.0</v>
      </c>
      <c r="P166" s="11">
        <v>552.0</v>
      </c>
      <c r="Q166" s="11">
        <f t="shared" si="1"/>
        <v>813</v>
      </c>
      <c r="R166" s="11">
        <f t="shared" si="2"/>
        <v>1095</v>
      </c>
      <c r="S166" s="11">
        <f t="shared" si="3"/>
        <v>863</v>
      </c>
      <c r="T166" s="11">
        <f t="shared" si="4"/>
        <v>1077</v>
      </c>
      <c r="U166" s="10">
        <f>IF(Q166&gt;0,(I166/Q166-District!$B$4)*100,"")</f>
        <v>-6.056760071</v>
      </c>
      <c r="V166" s="10">
        <f>IF(R166&gt;0,(K166/R166-District!$B$5)*100,"")</f>
        <v>-1.896090309</v>
      </c>
      <c r="W166" s="10">
        <f>IF(S166&gt;0,(M166/S166-District!$B$6)*100,"")</f>
        <v>-2.547331249</v>
      </c>
      <c r="X166" s="10">
        <f>IF(T166&gt;0,(O166/T166-District!$B$7)*100,"")</f>
        <v>-0.7499040367</v>
      </c>
      <c r="Y166" s="28">
        <f t="shared" si="5"/>
        <v>6.056758976</v>
      </c>
      <c r="Z166" s="5">
        <f t="shared" si="6"/>
        <v>83</v>
      </c>
      <c r="AA166" s="28">
        <f t="shared" si="7"/>
        <v>2.547330386</v>
      </c>
      <c r="AB166" s="5">
        <f t="shared" si="8"/>
        <v>38</v>
      </c>
      <c r="AC166" s="28">
        <f t="shared" si="9"/>
        <v>2.547330172</v>
      </c>
      <c r="AD166" s="5">
        <f t="shared" si="10"/>
        <v>42</v>
      </c>
    </row>
    <row r="167" ht="15.75" customHeight="1">
      <c r="A167" s="5" t="s">
        <v>776</v>
      </c>
      <c r="B167" s="5" t="s">
        <v>234</v>
      </c>
      <c r="C167" s="5" t="s">
        <v>369</v>
      </c>
      <c r="D167" s="5">
        <v>1070.0</v>
      </c>
      <c r="E167" s="5" t="s">
        <v>122</v>
      </c>
      <c r="F167" s="5" t="s">
        <v>376</v>
      </c>
      <c r="G167" s="5" t="s">
        <v>376</v>
      </c>
      <c r="H167" s="5" t="s">
        <v>376</v>
      </c>
      <c r="I167" s="11">
        <v>242.0</v>
      </c>
      <c r="J167" s="11">
        <v>256.0</v>
      </c>
      <c r="K167" s="11">
        <v>316.0</v>
      </c>
      <c r="L167" s="11">
        <v>347.0</v>
      </c>
      <c r="M167" s="11">
        <v>266.0</v>
      </c>
      <c r="N167" s="11">
        <v>293.0</v>
      </c>
      <c r="O167" s="11">
        <v>313.0</v>
      </c>
      <c r="P167" s="11">
        <v>360.0</v>
      </c>
      <c r="Q167" s="11">
        <f t="shared" si="1"/>
        <v>498</v>
      </c>
      <c r="R167" s="11">
        <f t="shared" si="2"/>
        <v>663</v>
      </c>
      <c r="S167" s="11">
        <f t="shared" si="3"/>
        <v>559</v>
      </c>
      <c r="T167" s="11">
        <f t="shared" si="4"/>
        <v>673</v>
      </c>
      <c r="U167" s="10">
        <f>IF(Q167&gt;0,(I167/Q167-District!$B$4)*100,"")</f>
        <v>-4.817856115</v>
      </c>
      <c r="V167" s="10">
        <f>IF(R167&gt;0,(K167/R167-District!$B$5)*100,"")</f>
        <v>-2.087829808</v>
      </c>
      <c r="W167" s="10">
        <f>IF(S167&gt;0,(M167/S167-District!$B$6)*100,"")</f>
        <v>-3.398047538</v>
      </c>
      <c r="X167" s="10">
        <f>IF(T167&gt;0,(O167/T167-District!$B$7)*100,"")</f>
        <v>-2.98824978</v>
      </c>
      <c r="Y167" s="28">
        <f t="shared" si="5"/>
        <v>4.817855452</v>
      </c>
      <c r="Z167" s="5">
        <f t="shared" si="6"/>
        <v>70</v>
      </c>
      <c r="AA167" s="28">
        <f t="shared" si="7"/>
        <v>3.398046979</v>
      </c>
      <c r="AB167" s="5">
        <f t="shared" si="8"/>
        <v>53</v>
      </c>
      <c r="AC167" s="28">
        <f t="shared" si="9"/>
        <v>3.398046865</v>
      </c>
      <c r="AD167" s="5">
        <f t="shared" si="10"/>
        <v>58</v>
      </c>
    </row>
    <row r="168" ht="15.75" customHeight="1">
      <c r="A168" s="5" t="s">
        <v>777</v>
      </c>
      <c r="B168" s="5" t="s">
        <v>234</v>
      </c>
      <c r="C168" s="5" t="s">
        <v>369</v>
      </c>
      <c r="D168" s="5">
        <v>1085.0</v>
      </c>
      <c r="E168" s="5" t="s">
        <v>122</v>
      </c>
      <c r="F168" s="5" t="s">
        <v>377</v>
      </c>
      <c r="G168" s="5" t="s">
        <v>377</v>
      </c>
      <c r="H168" s="5" t="s">
        <v>377</v>
      </c>
      <c r="I168" s="11">
        <v>281.0</v>
      </c>
      <c r="J168" s="11">
        <v>313.0</v>
      </c>
      <c r="K168" s="11">
        <v>377.0</v>
      </c>
      <c r="L168" s="11">
        <v>396.0</v>
      </c>
      <c r="M168" s="11">
        <v>350.0</v>
      </c>
      <c r="N168" s="11">
        <v>297.0</v>
      </c>
      <c r="O168" s="11">
        <v>415.0</v>
      </c>
      <c r="P168" s="11">
        <v>371.0</v>
      </c>
      <c r="Q168" s="11">
        <f t="shared" si="1"/>
        <v>594</v>
      </c>
      <c r="R168" s="11">
        <f t="shared" si="2"/>
        <v>773</v>
      </c>
      <c r="S168" s="11">
        <f t="shared" si="3"/>
        <v>647</v>
      </c>
      <c r="T168" s="11">
        <f t="shared" si="4"/>
        <v>786</v>
      </c>
      <c r="U168" s="10">
        <f>IF(Q168&gt;0,(I168/Q168-District!$B$4)*100,"")</f>
        <v>-6.105836319</v>
      </c>
      <c r="V168" s="10">
        <f>IF(R168&gt;0,(K168/R168-District!$B$5)*100,"")</f>
        <v>-0.9789495954</v>
      </c>
      <c r="W168" s="10">
        <f>IF(S168&gt;0,(M168/S168-District!$B$6)*100,"")</f>
        <v>3.112806189</v>
      </c>
      <c r="X168" s="10">
        <f>IF(T168&gt;0,(O168/T168-District!$B$7)*100,"")</f>
        <v>3.302560046</v>
      </c>
      <c r="Y168" s="28">
        <f t="shared" si="5"/>
        <v>6.105835546</v>
      </c>
      <c r="Z168" s="5">
        <f t="shared" si="6"/>
        <v>85</v>
      </c>
      <c r="AA168" s="28">
        <f t="shared" si="7"/>
        <v>3.112805542</v>
      </c>
      <c r="AB168" s="5">
        <f t="shared" si="8"/>
        <v>48</v>
      </c>
      <c r="AC168" s="28">
        <f t="shared" si="9"/>
        <v>3.30255926</v>
      </c>
      <c r="AD168" s="5">
        <f t="shared" si="10"/>
        <v>56</v>
      </c>
    </row>
    <row r="169" ht="15.75" customHeight="1">
      <c r="A169" s="5" t="s">
        <v>778</v>
      </c>
      <c r="B169" s="5" t="s">
        <v>234</v>
      </c>
      <c r="C169" s="5" t="s">
        <v>369</v>
      </c>
      <c r="D169" s="5">
        <v>1090.0</v>
      </c>
      <c r="E169" s="5" t="s">
        <v>122</v>
      </c>
      <c r="F169" s="5" t="s">
        <v>378</v>
      </c>
      <c r="G169" s="5" t="s">
        <v>378</v>
      </c>
      <c r="H169" s="5" t="s">
        <v>378</v>
      </c>
      <c r="I169" s="11">
        <v>438.0</v>
      </c>
      <c r="J169" s="11">
        <v>460.0</v>
      </c>
      <c r="K169" s="11">
        <v>549.0</v>
      </c>
      <c r="L169" s="11">
        <v>585.0</v>
      </c>
      <c r="M169" s="11">
        <v>476.0</v>
      </c>
      <c r="N169" s="11">
        <v>451.0</v>
      </c>
      <c r="O169" s="11">
        <v>533.0</v>
      </c>
      <c r="P169" s="11">
        <v>535.0</v>
      </c>
      <c r="Q169" s="11">
        <f t="shared" si="1"/>
        <v>898</v>
      </c>
      <c r="R169" s="11">
        <f t="shared" si="2"/>
        <v>1134</v>
      </c>
      <c r="S169" s="11">
        <f t="shared" si="3"/>
        <v>927</v>
      </c>
      <c r="T169" s="11">
        <f t="shared" si="4"/>
        <v>1068</v>
      </c>
      <c r="U169" s="10">
        <f>IF(Q169&gt;0,(I169/Q169-District!$B$4)*100,"")</f>
        <v>-4.637177946</v>
      </c>
      <c r="V169" s="10">
        <f>IF(R169&gt;0,(K169/R169-District!$B$5)*100,"")</f>
        <v>-1.337273175</v>
      </c>
      <c r="W169" s="10">
        <f>IF(S169&gt;0,(M169/S169-District!$B$6)*100,"")</f>
        <v>0.3654151099</v>
      </c>
      <c r="X169" s="10">
        <f>IF(T169&gt;0,(O169/T169-District!$B$7)*100,"")</f>
        <v>0.4099448986</v>
      </c>
      <c r="Y169" s="28">
        <f t="shared" si="5"/>
        <v>4.637176812</v>
      </c>
      <c r="Z169" s="5">
        <f t="shared" si="6"/>
        <v>68</v>
      </c>
      <c r="AA169" s="28">
        <f t="shared" si="7"/>
        <v>1.337272248</v>
      </c>
      <c r="AB169" s="5">
        <f t="shared" si="8"/>
        <v>13</v>
      </c>
      <c r="AC169" s="28">
        <f t="shared" si="9"/>
        <v>0.4099438306</v>
      </c>
      <c r="AD169" s="5">
        <f t="shared" si="10"/>
        <v>2</v>
      </c>
    </row>
    <row r="170" ht="15.75" customHeight="1">
      <c r="A170" s="5" t="s">
        <v>779</v>
      </c>
      <c r="B170" s="5" t="s">
        <v>234</v>
      </c>
      <c r="C170" s="5" t="s">
        <v>379</v>
      </c>
      <c r="D170" s="5">
        <v>1100.0</v>
      </c>
      <c r="E170" s="5" t="s">
        <v>122</v>
      </c>
      <c r="F170" s="5" t="s">
        <v>380</v>
      </c>
      <c r="G170" s="5" t="s">
        <v>380</v>
      </c>
      <c r="H170" s="5" t="s">
        <v>380</v>
      </c>
      <c r="I170" s="11">
        <v>156.0</v>
      </c>
      <c r="J170" s="11">
        <v>176.0</v>
      </c>
      <c r="K170" s="11">
        <v>218.0</v>
      </c>
      <c r="L170" s="11">
        <v>335.0</v>
      </c>
      <c r="M170" s="11">
        <v>186.0</v>
      </c>
      <c r="N170" s="11">
        <v>201.0</v>
      </c>
      <c r="O170" s="11">
        <v>242.0</v>
      </c>
      <c r="P170" s="11">
        <v>337.0</v>
      </c>
      <c r="Q170" s="11">
        <f t="shared" si="1"/>
        <v>332</v>
      </c>
      <c r="R170" s="11">
        <f t="shared" si="2"/>
        <v>553</v>
      </c>
      <c r="S170" s="11">
        <f t="shared" si="3"/>
        <v>387</v>
      </c>
      <c r="T170" s="11">
        <f t="shared" si="4"/>
        <v>579</v>
      </c>
      <c r="U170" s="10">
        <f>IF(Q170&gt;0,(I170/Q170-District!$B$4)*100,"")</f>
        <v>-6.424281818</v>
      </c>
      <c r="V170" s="10">
        <f>IF(R170&gt;0,(K170/R170-District!$B$5)*100,"")</f>
        <v>-10.32863343</v>
      </c>
      <c r="W170" s="10">
        <f>IF(S170&gt;0,(M170/S170-District!$B$6)*100,"")</f>
        <v>-2.921005201</v>
      </c>
      <c r="X170" s="10">
        <f>IF(T170&gt;0,(O170/T170-District!$B$7)*100,"")</f>
        <v>-7.700221797</v>
      </c>
      <c r="Y170" s="28">
        <f t="shared" si="5"/>
        <v>10.32863288</v>
      </c>
      <c r="Z170" s="5">
        <f t="shared" si="6"/>
        <v>129</v>
      </c>
      <c r="AA170" s="28">
        <f t="shared" si="7"/>
        <v>10.32863305</v>
      </c>
      <c r="AB170" s="5">
        <f t="shared" si="8"/>
        <v>125</v>
      </c>
      <c r="AC170" s="28">
        <f t="shared" si="9"/>
        <v>7.700221218</v>
      </c>
      <c r="AD170" s="5">
        <f t="shared" si="10"/>
        <v>110</v>
      </c>
    </row>
    <row r="171" ht="15.75" customHeight="1">
      <c r="A171" s="5" t="s">
        <v>780</v>
      </c>
      <c r="B171" s="5" t="s">
        <v>234</v>
      </c>
      <c r="C171" s="5" t="s">
        <v>379</v>
      </c>
      <c r="D171" s="5">
        <v>1110.0</v>
      </c>
      <c r="E171" s="5" t="s">
        <v>122</v>
      </c>
      <c r="F171" s="5" t="s">
        <v>381</v>
      </c>
      <c r="G171" s="5" t="s">
        <v>381</v>
      </c>
      <c r="H171" s="5" t="s">
        <v>381</v>
      </c>
      <c r="I171" s="11">
        <v>132.0</v>
      </c>
      <c r="J171" s="11">
        <v>148.0</v>
      </c>
      <c r="K171" s="11">
        <v>181.0</v>
      </c>
      <c r="L171" s="11">
        <v>287.0</v>
      </c>
      <c r="M171" s="11">
        <v>134.0</v>
      </c>
      <c r="N171" s="11">
        <v>168.0</v>
      </c>
      <c r="O171" s="11">
        <v>187.0</v>
      </c>
      <c r="P171" s="11">
        <v>292.0</v>
      </c>
      <c r="Q171" s="11">
        <f t="shared" si="1"/>
        <v>280</v>
      </c>
      <c r="R171" s="11">
        <f t="shared" si="2"/>
        <v>468</v>
      </c>
      <c r="S171" s="11">
        <f t="shared" si="3"/>
        <v>302</v>
      </c>
      <c r="T171" s="11">
        <f t="shared" si="4"/>
        <v>479</v>
      </c>
      <c r="U171" s="10">
        <f>IF(Q171&gt;0,(I171/Q171-District!$B$4)*100,"")</f>
        <v>-6.269376483</v>
      </c>
      <c r="V171" s="10">
        <f>IF(R171&gt;0,(K171/R171-District!$B$5)*100,"")</f>
        <v>-11.07475791</v>
      </c>
      <c r="W171" s="10">
        <f>IF(S171&gt;0,(M171/S171-District!$B$6)*100,"")</f>
        <v>-6.612159777</v>
      </c>
      <c r="X171" s="10">
        <f>IF(T171&gt;0,(O171/T171-District!$B$7)*100,"")</f>
        <v>-10.45675617</v>
      </c>
      <c r="Y171" s="28" t="str">
        <f t="shared" si="5"/>
        <v/>
      </c>
      <c r="Z171" s="5" t="str">
        <f t="shared" si="6"/>
        <v/>
      </c>
      <c r="AA171" s="28">
        <f t="shared" si="7"/>
        <v>11.07475761</v>
      </c>
      <c r="AB171" s="5">
        <f t="shared" si="8"/>
        <v>132</v>
      </c>
      <c r="AC171" s="28">
        <f t="shared" si="9"/>
        <v>10.45675569</v>
      </c>
      <c r="AD171" s="5">
        <f t="shared" si="10"/>
        <v>137</v>
      </c>
    </row>
    <row r="172" ht="15.75" customHeight="1">
      <c r="A172" s="5" t="s">
        <v>781</v>
      </c>
      <c r="B172" s="5" t="s">
        <v>234</v>
      </c>
      <c r="C172" s="5" t="s">
        <v>379</v>
      </c>
      <c r="D172" s="5">
        <v>1120.0</v>
      </c>
      <c r="E172" s="5" t="s">
        <v>122</v>
      </c>
      <c r="F172" s="5" t="s">
        <v>383</v>
      </c>
      <c r="G172" s="5" t="s">
        <v>383</v>
      </c>
      <c r="H172" s="5" t="s">
        <v>383</v>
      </c>
      <c r="I172" s="11">
        <v>249.0</v>
      </c>
      <c r="J172" s="11">
        <v>302.0</v>
      </c>
      <c r="K172" s="11">
        <v>349.0</v>
      </c>
      <c r="L172" s="11">
        <v>527.0</v>
      </c>
      <c r="M172" s="11">
        <v>291.0</v>
      </c>
      <c r="N172" s="11">
        <v>371.0</v>
      </c>
      <c r="O172" s="11">
        <v>371.0</v>
      </c>
      <c r="P172" s="11">
        <v>527.0</v>
      </c>
      <c r="Q172" s="11">
        <f t="shared" si="1"/>
        <v>551</v>
      </c>
      <c r="R172" s="11">
        <f t="shared" si="2"/>
        <v>876</v>
      </c>
      <c r="S172" s="11">
        <f t="shared" si="3"/>
        <v>662</v>
      </c>
      <c r="T172" s="11">
        <f t="shared" si="4"/>
        <v>898</v>
      </c>
      <c r="U172" s="10">
        <f>IF(Q172&gt;0,(I172/Q172-District!$B$4)*100,"")</f>
        <v>-8.221671012</v>
      </c>
      <c r="V172" s="10">
        <f>IF(R172&gt;0,(K172/R172-District!$B$5)*100,"")</f>
        <v>-9.909788939</v>
      </c>
      <c r="W172" s="10">
        <f>IF(S172&gt;0,(M172/S172-District!$B$6)*100,"")</f>
        <v>-7.025316777</v>
      </c>
      <c r="X172" s="10">
        <f>IF(T172&gt;0,(O172/T172-District!$B$7)*100,"")</f>
        <v>-8.182390962</v>
      </c>
      <c r="Y172" s="28">
        <f t="shared" si="5"/>
        <v>9.909788063</v>
      </c>
      <c r="Z172" s="5">
        <f t="shared" si="6"/>
        <v>123</v>
      </c>
      <c r="AA172" s="28">
        <f t="shared" si="7"/>
        <v>9.909788277</v>
      </c>
      <c r="AB172" s="5">
        <f t="shared" si="8"/>
        <v>120</v>
      </c>
      <c r="AC172" s="28">
        <f t="shared" si="9"/>
        <v>8.182390064</v>
      </c>
      <c r="AD172" s="5">
        <f t="shared" si="10"/>
        <v>115</v>
      </c>
    </row>
    <row r="173" ht="15.75" customHeight="1">
      <c r="A173" s="5" t="s">
        <v>782</v>
      </c>
      <c r="B173" s="5" t="s">
        <v>234</v>
      </c>
      <c r="C173" s="5" t="s">
        <v>384</v>
      </c>
      <c r="D173" s="5">
        <v>1130.0</v>
      </c>
      <c r="E173" s="5" t="s">
        <v>122</v>
      </c>
      <c r="F173" s="5" t="s">
        <v>385</v>
      </c>
      <c r="G173" s="5" t="s">
        <v>385</v>
      </c>
      <c r="H173" s="5" t="s">
        <v>385</v>
      </c>
      <c r="I173" s="11">
        <v>698.0</v>
      </c>
      <c r="J173" s="11">
        <v>577.0</v>
      </c>
      <c r="K173" s="11">
        <v>897.0</v>
      </c>
      <c r="L173" s="11">
        <v>943.0</v>
      </c>
      <c r="M173" s="11">
        <v>745.0</v>
      </c>
      <c r="N173" s="11">
        <v>675.0</v>
      </c>
      <c r="O173" s="11">
        <v>912.0</v>
      </c>
      <c r="P173" s="11">
        <v>964.0</v>
      </c>
      <c r="Q173" s="11">
        <f t="shared" si="1"/>
        <v>1275</v>
      </c>
      <c r="R173" s="11">
        <f t="shared" si="2"/>
        <v>1840</v>
      </c>
      <c r="S173" s="11">
        <f t="shared" si="3"/>
        <v>1420</v>
      </c>
      <c r="T173" s="11">
        <f t="shared" si="4"/>
        <v>1876</v>
      </c>
      <c r="U173" s="10">
        <f>IF(Q173&gt;0,(I173/Q173-District!$B$4)*100,"")</f>
        <v>1.332864414</v>
      </c>
      <c r="V173" s="10">
        <f>IF(R173&gt;0,(K173/R173-District!$B$5)*100,"")</f>
        <v>-0.9999715877</v>
      </c>
      <c r="W173" s="10">
        <f>IF(S173&gt;0,(M173/S173-District!$B$6)*100,"")</f>
        <v>1.481768028</v>
      </c>
      <c r="X173" s="10">
        <f>IF(T173&gt;0,(O173/T173-District!$B$7)*100,"")</f>
        <v>-0.8823496479</v>
      </c>
      <c r="Y173" s="28">
        <f t="shared" si="5"/>
        <v>1.332862574</v>
      </c>
      <c r="Z173" s="5">
        <f t="shared" si="6"/>
        <v>6</v>
      </c>
      <c r="AA173" s="28">
        <f t="shared" si="7"/>
        <v>1.481766608</v>
      </c>
      <c r="AB173" s="5">
        <f t="shared" si="8"/>
        <v>14</v>
      </c>
      <c r="AC173" s="28">
        <f t="shared" si="9"/>
        <v>1.481766152</v>
      </c>
      <c r="AD173" s="5">
        <f t="shared" si="10"/>
        <v>19</v>
      </c>
    </row>
    <row r="174" ht="15.75" customHeight="1">
      <c r="A174" s="5" t="s">
        <v>783</v>
      </c>
      <c r="B174" s="5" t="s">
        <v>234</v>
      </c>
      <c r="C174" s="5" t="s">
        <v>384</v>
      </c>
      <c r="D174" s="5">
        <v>1140.0</v>
      </c>
      <c r="E174" s="5" t="s">
        <v>122</v>
      </c>
      <c r="F174" s="5" t="s">
        <v>386</v>
      </c>
      <c r="G174" s="5" t="s">
        <v>386</v>
      </c>
      <c r="H174" s="5" t="s">
        <v>386</v>
      </c>
      <c r="I174" s="11">
        <v>362.0</v>
      </c>
      <c r="J174" s="11">
        <v>257.0</v>
      </c>
      <c r="K174" s="11">
        <v>462.0</v>
      </c>
      <c r="L174" s="11">
        <v>438.0</v>
      </c>
      <c r="M174" s="11">
        <v>346.0</v>
      </c>
      <c r="N174" s="11">
        <v>303.0</v>
      </c>
      <c r="O174" s="11">
        <v>449.0</v>
      </c>
      <c r="P174" s="11">
        <v>448.0</v>
      </c>
      <c r="Q174" s="11">
        <f t="shared" si="1"/>
        <v>619</v>
      </c>
      <c r="R174" s="11">
        <f t="shared" si="2"/>
        <v>900</v>
      </c>
      <c r="S174" s="11">
        <f t="shared" si="3"/>
        <v>649</v>
      </c>
      <c r="T174" s="11">
        <f t="shared" si="4"/>
        <v>897</v>
      </c>
      <c r="U174" s="10">
        <f>IF(Q174&gt;0,(I174/Q174-District!$B$4)*100,"")</f>
        <v>5.069188022</v>
      </c>
      <c r="V174" s="10">
        <f>IF(R174&gt;0,(K174/R174-District!$B$5)*100,"")</f>
        <v>1.583361746</v>
      </c>
      <c r="W174" s="10">
        <f>IF(S174&gt;0,(M174/S174-District!$B$6)*100,"")</f>
        <v>2.329768201</v>
      </c>
      <c r="X174" s="10">
        <f>IF(T174&gt;0,(O174/T174-District!$B$7)*100,"")</f>
        <v>0.5593192175</v>
      </c>
      <c r="Y174" s="28">
        <f t="shared" si="5"/>
        <v>5.069187122</v>
      </c>
      <c r="Z174" s="5">
        <f t="shared" si="6"/>
        <v>73</v>
      </c>
      <c r="AA174" s="28">
        <f t="shared" si="7"/>
        <v>2.329767552</v>
      </c>
      <c r="AB174" s="5">
        <f t="shared" si="8"/>
        <v>34</v>
      </c>
      <c r="AC174" s="28">
        <f t="shared" si="9"/>
        <v>2.329767304</v>
      </c>
      <c r="AD174" s="5">
        <f t="shared" si="10"/>
        <v>39</v>
      </c>
    </row>
    <row r="175" ht="15.75" customHeight="1">
      <c r="A175" s="5" t="s">
        <v>784</v>
      </c>
      <c r="B175" s="5" t="s">
        <v>234</v>
      </c>
      <c r="C175" s="5" t="s">
        <v>384</v>
      </c>
      <c r="D175" s="5">
        <v>1150.0</v>
      </c>
      <c r="E175" s="5" t="s">
        <v>122</v>
      </c>
      <c r="F175" s="5" t="s">
        <v>387</v>
      </c>
      <c r="G175" s="5" t="s">
        <v>387</v>
      </c>
      <c r="H175" s="5" t="s">
        <v>387</v>
      </c>
      <c r="I175" s="11">
        <v>743.0</v>
      </c>
      <c r="J175" s="11">
        <v>566.0</v>
      </c>
      <c r="K175" s="11">
        <v>1111.0</v>
      </c>
      <c r="L175" s="11">
        <v>853.0</v>
      </c>
      <c r="M175" s="11">
        <v>935.0</v>
      </c>
      <c r="N175" s="11">
        <v>631.0</v>
      </c>
      <c r="O175" s="11">
        <v>1161.0</v>
      </c>
      <c r="P175" s="11">
        <v>915.0</v>
      </c>
      <c r="Q175" s="11">
        <f t="shared" si="1"/>
        <v>1309</v>
      </c>
      <c r="R175" s="11">
        <f t="shared" si="2"/>
        <v>1964</v>
      </c>
      <c r="S175" s="11">
        <f t="shared" si="3"/>
        <v>1566</v>
      </c>
      <c r="T175" s="11">
        <f t="shared" si="4"/>
        <v>2076</v>
      </c>
      <c r="U175" s="10">
        <f>IF(Q175&gt;0,(I175/Q175-District!$B$4)*100,"")</f>
        <v>3.348652547</v>
      </c>
      <c r="V175" s="10">
        <f>IF(R175&gt;0,(K175/R175-District!$B$5)*100,"")</f>
        <v>6.818256518</v>
      </c>
      <c r="W175" s="10">
        <f>IF(S175&gt;0,(M175/S175-District!$B$6)*100,"")</f>
        <v>8.723237278</v>
      </c>
      <c r="X175" s="10">
        <f>IF(T175&gt;0,(O175/T175-District!$B$7)*100,"")</f>
        <v>6.428433349</v>
      </c>
      <c r="Y175" s="28">
        <f t="shared" si="5"/>
        <v>6.818254554</v>
      </c>
      <c r="Z175" s="5">
        <f t="shared" si="6"/>
        <v>98</v>
      </c>
      <c r="AA175" s="28">
        <f t="shared" si="7"/>
        <v>8.723235712</v>
      </c>
      <c r="AB175" s="5">
        <f t="shared" si="8"/>
        <v>109</v>
      </c>
      <c r="AC175" s="28">
        <f t="shared" si="9"/>
        <v>8.723235202</v>
      </c>
      <c r="AD175" s="5">
        <f t="shared" si="10"/>
        <v>119</v>
      </c>
    </row>
    <row r="176" ht="15.75" customHeight="1">
      <c r="A176" s="5" t="s">
        <v>785</v>
      </c>
      <c r="B176" s="5" t="s">
        <v>234</v>
      </c>
      <c r="C176" s="5" t="s">
        <v>384</v>
      </c>
      <c r="D176" s="5">
        <v>1160.0</v>
      </c>
      <c r="E176" s="5" t="s">
        <v>122</v>
      </c>
      <c r="F176" s="5" t="s">
        <v>388</v>
      </c>
      <c r="G176" s="5" t="s">
        <v>388</v>
      </c>
      <c r="H176" s="5" t="s">
        <v>388</v>
      </c>
      <c r="I176" s="11">
        <v>428.0</v>
      </c>
      <c r="J176" s="11">
        <v>401.0</v>
      </c>
      <c r="K176" s="11">
        <v>532.0</v>
      </c>
      <c r="L176" s="11">
        <v>572.0</v>
      </c>
      <c r="M176" s="11">
        <v>424.0</v>
      </c>
      <c r="N176" s="11">
        <v>437.0</v>
      </c>
      <c r="O176" s="11">
        <v>534.0</v>
      </c>
      <c r="P176" s="11">
        <v>577.0</v>
      </c>
      <c r="Q176" s="11">
        <f t="shared" si="1"/>
        <v>829</v>
      </c>
      <c r="R176" s="11">
        <f t="shared" si="2"/>
        <v>1104</v>
      </c>
      <c r="S176" s="11">
        <f t="shared" si="3"/>
        <v>861</v>
      </c>
      <c r="T176" s="11">
        <f t="shared" si="4"/>
        <v>1111</v>
      </c>
      <c r="U176" s="10">
        <f>IF(Q176&gt;0,(I176/Q176-District!$B$4)*100,"")</f>
        <v>-1.783765592</v>
      </c>
      <c r="V176" s="10">
        <f>IF(R176&gt;0,(K176/R176-District!$B$5)*100,"")</f>
        <v>-1.561565791</v>
      </c>
      <c r="W176" s="10">
        <f>IF(S176&gt;0,(M176/S176-District!$B$6)*100,"")</f>
        <v>-1.737956825</v>
      </c>
      <c r="X176" s="10">
        <f>IF(T176&gt;0,(O176/T176-District!$B$7)*100,"")</f>
        <v>-1.431615662</v>
      </c>
      <c r="Y176" s="28">
        <f t="shared" si="5"/>
        <v>1.783764488</v>
      </c>
      <c r="Z176" s="5">
        <f t="shared" si="6"/>
        <v>12</v>
      </c>
      <c r="AA176" s="28">
        <f t="shared" si="7"/>
        <v>1.737955964</v>
      </c>
      <c r="AB176" s="5">
        <f t="shared" si="8"/>
        <v>20</v>
      </c>
      <c r="AC176" s="28">
        <f t="shared" si="9"/>
        <v>1.737955714</v>
      </c>
      <c r="AD176" s="5">
        <f t="shared" si="10"/>
        <v>24</v>
      </c>
    </row>
    <row r="177" ht="15.75" customHeight="1">
      <c r="A177" s="5" t="s">
        <v>786</v>
      </c>
      <c r="B177" s="5" t="s">
        <v>234</v>
      </c>
      <c r="C177" s="5" t="s">
        <v>384</v>
      </c>
      <c r="D177" s="5">
        <v>1170.0</v>
      </c>
      <c r="E177" s="5" t="s">
        <v>122</v>
      </c>
      <c r="F177" s="5" t="s">
        <v>389</v>
      </c>
      <c r="G177" s="5" t="s">
        <v>389</v>
      </c>
      <c r="H177" s="5" t="s">
        <v>389</v>
      </c>
      <c r="I177" s="11">
        <v>821.0</v>
      </c>
      <c r="J177" s="11">
        <v>513.0</v>
      </c>
      <c r="K177" s="11">
        <v>1074.0</v>
      </c>
      <c r="L177" s="11">
        <v>761.0</v>
      </c>
      <c r="M177" s="11">
        <v>872.0</v>
      </c>
      <c r="N177" s="11">
        <v>544.0</v>
      </c>
      <c r="O177" s="11">
        <v>1123.0</v>
      </c>
      <c r="P177" s="11">
        <v>741.0</v>
      </c>
      <c r="Q177" s="11">
        <f t="shared" si="1"/>
        <v>1334</v>
      </c>
      <c r="R177" s="11">
        <f t="shared" si="2"/>
        <v>1835</v>
      </c>
      <c r="S177" s="11">
        <f t="shared" si="3"/>
        <v>1416</v>
      </c>
      <c r="T177" s="11">
        <f t="shared" si="4"/>
        <v>1864</v>
      </c>
      <c r="U177" s="10">
        <f>IF(Q177&gt;0,(I177/Q177-District!$B$4)*100,"")</f>
        <v>8.131994261</v>
      </c>
      <c r="V177" s="10">
        <f>IF(R177&gt;0,(K177/R177-District!$B$5)*100,"")</f>
        <v>8.778638767</v>
      </c>
      <c r="W177" s="10">
        <f>IF(S177&gt;0,(M177/S177-District!$B$6)*100,"")</f>
        <v>10.5989002</v>
      </c>
      <c r="X177" s="10">
        <f>IF(T177&gt;0,(O177/T177-District!$B$7)*100,"")</f>
        <v>10.75035897</v>
      </c>
      <c r="Y177" s="28">
        <f t="shared" si="5"/>
        <v>8.778636932</v>
      </c>
      <c r="Z177" s="5">
        <f t="shared" si="6"/>
        <v>110</v>
      </c>
      <c r="AA177" s="28">
        <f t="shared" si="7"/>
        <v>10.59889878</v>
      </c>
      <c r="AB177" s="5">
        <f t="shared" si="8"/>
        <v>129</v>
      </c>
      <c r="AC177" s="28">
        <f t="shared" si="9"/>
        <v>10.75035711</v>
      </c>
      <c r="AD177" s="5">
        <f t="shared" si="10"/>
        <v>143</v>
      </c>
    </row>
    <row r="178" ht="15.75" customHeight="1">
      <c r="A178" s="5" t="s">
        <v>787</v>
      </c>
      <c r="B178" s="5" t="s">
        <v>234</v>
      </c>
      <c r="C178" s="5" t="s">
        <v>384</v>
      </c>
      <c r="D178" s="5">
        <v>1180.0</v>
      </c>
      <c r="E178" s="5" t="s">
        <v>122</v>
      </c>
      <c r="F178" s="5" t="s">
        <v>390</v>
      </c>
      <c r="G178" s="5" t="s">
        <v>390</v>
      </c>
      <c r="H178" s="5" t="s">
        <v>390</v>
      </c>
      <c r="I178" s="11">
        <v>768.0</v>
      </c>
      <c r="J178" s="11">
        <v>482.0</v>
      </c>
      <c r="K178" s="11">
        <v>961.0</v>
      </c>
      <c r="L178" s="11">
        <v>649.0</v>
      </c>
      <c r="M178" s="11">
        <v>891.0</v>
      </c>
      <c r="N178" s="11">
        <v>525.0</v>
      </c>
      <c r="O178" s="11">
        <v>1054.0</v>
      </c>
      <c r="P178" s="11">
        <v>706.0</v>
      </c>
      <c r="Q178" s="11">
        <f t="shared" si="1"/>
        <v>1250</v>
      </c>
      <c r="R178" s="11">
        <f t="shared" si="2"/>
        <v>1610</v>
      </c>
      <c r="S178" s="11">
        <f t="shared" si="3"/>
        <v>1416</v>
      </c>
      <c r="T178" s="11">
        <f t="shared" si="4"/>
        <v>1760</v>
      </c>
      <c r="U178" s="10">
        <f>IF(Q178&gt;0,(I178/Q178-District!$B$4)*100,"")</f>
        <v>8.027766375</v>
      </c>
      <c r="V178" s="10">
        <f>IF(R178&gt;0,(K178/R178-District!$B$5)*100,"")</f>
        <v>9.939469406</v>
      </c>
      <c r="W178" s="10">
        <f>IF(S178&gt;0,(M178/S178-District!$B$6)*100,"")</f>
        <v>11.94070811</v>
      </c>
      <c r="X178" s="10">
        <f>IF(T178&gt;0,(O178/T178-District!$B$7)*100,"")</f>
        <v>10.38994149</v>
      </c>
      <c r="Y178" s="28">
        <f t="shared" si="5"/>
        <v>9.939467796</v>
      </c>
      <c r="Z178" s="5">
        <f t="shared" si="6"/>
        <v>124</v>
      </c>
      <c r="AA178" s="28">
        <f t="shared" si="7"/>
        <v>11.94070669</v>
      </c>
      <c r="AB178" s="5">
        <f t="shared" si="8"/>
        <v>137</v>
      </c>
      <c r="AC178" s="28">
        <f t="shared" si="9"/>
        <v>11.94070635</v>
      </c>
      <c r="AD178" s="5">
        <f t="shared" si="10"/>
        <v>158</v>
      </c>
    </row>
    <row r="179" ht="15.75" customHeight="1">
      <c r="A179" s="5" t="s">
        <v>788</v>
      </c>
      <c r="B179" s="5" t="s">
        <v>234</v>
      </c>
      <c r="C179" s="5" t="s">
        <v>384</v>
      </c>
      <c r="D179" s="5">
        <v>1190.0</v>
      </c>
      <c r="E179" s="5" t="s">
        <v>122</v>
      </c>
      <c r="F179" s="5" t="s">
        <v>391</v>
      </c>
      <c r="G179" s="5" t="s">
        <v>391</v>
      </c>
      <c r="H179" s="5" t="s">
        <v>391</v>
      </c>
      <c r="I179" s="11">
        <v>355.0</v>
      </c>
      <c r="J179" s="11">
        <v>298.0</v>
      </c>
      <c r="K179" s="11">
        <v>462.0</v>
      </c>
      <c r="L179" s="11">
        <v>425.0</v>
      </c>
      <c r="M179" s="11">
        <v>424.0</v>
      </c>
      <c r="N179" s="11">
        <v>334.0</v>
      </c>
      <c r="O179" s="11">
        <v>469.0</v>
      </c>
      <c r="P179" s="11">
        <v>468.0</v>
      </c>
      <c r="Q179" s="11">
        <f t="shared" si="1"/>
        <v>653</v>
      </c>
      <c r="R179" s="11">
        <f t="shared" si="2"/>
        <v>887</v>
      </c>
      <c r="S179" s="11">
        <f t="shared" si="3"/>
        <v>758</v>
      </c>
      <c r="T179" s="11">
        <f t="shared" si="4"/>
        <v>937</v>
      </c>
      <c r="U179" s="10">
        <f>IF(Q179&gt;0,(I179/Q179-District!$B$4)*100,"")</f>
        <v>0.9522380438</v>
      </c>
      <c r="V179" s="10">
        <f>IF(R179&gt;0,(K179/R179-District!$B$5)*100,"")</f>
        <v>2.335710487</v>
      </c>
      <c r="W179" s="10">
        <f>IF(S179&gt;0,(M179/S179-District!$B$6)*100,"")</f>
        <v>4.953654757</v>
      </c>
      <c r="X179" s="10">
        <f>IF(T179&gt;0,(O179/T179-District!$B$7)*100,"")</f>
        <v>0.5569396504</v>
      </c>
      <c r="Y179" s="28">
        <f t="shared" si="5"/>
        <v>2.3357096</v>
      </c>
      <c r="Z179" s="5">
        <f t="shared" si="6"/>
        <v>23</v>
      </c>
      <c r="AA179" s="28">
        <f t="shared" si="7"/>
        <v>4.953653999</v>
      </c>
      <c r="AB179" s="5">
        <f t="shared" si="8"/>
        <v>75</v>
      </c>
      <c r="AC179" s="28">
        <f t="shared" si="9"/>
        <v>4.95365382</v>
      </c>
      <c r="AD179" s="5">
        <f t="shared" si="10"/>
        <v>81</v>
      </c>
    </row>
    <row r="180" ht="15.75" customHeight="1">
      <c r="A180" s="5" t="s">
        <v>789</v>
      </c>
      <c r="B180" s="5" t="s">
        <v>234</v>
      </c>
      <c r="C180" s="5" t="s">
        <v>384</v>
      </c>
      <c r="D180" s="5">
        <v>1200.0</v>
      </c>
      <c r="E180" s="5" t="s">
        <v>122</v>
      </c>
      <c r="F180" s="5" t="s">
        <v>394</v>
      </c>
      <c r="G180" s="5" t="s">
        <v>394</v>
      </c>
      <c r="H180" s="5" t="s">
        <v>394</v>
      </c>
      <c r="I180" s="11">
        <v>834.0</v>
      </c>
      <c r="J180" s="11">
        <v>745.0</v>
      </c>
      <c r="K180" s="11">
        <v>1169.0</v>
      </c>
      <c r="L180" s="11">
        <v>1215.0</v>
      </c>
      <c r="M180" s="11">
        <v>1062.0</v>
      </c>
      <c r="N180" s="11">
        <v>971.0</v>
      </c>
      <c r="O180" s="11">
        <v>1317.0</v>
      </c>
      <c r="P180" s="11">
        <v>1291.0</v>
      </c>
      <c r="Q180" s="11">
        <f t="shared" si="1"/>
        <v>1579</v>
      </c>
      <c r="R180" s="11">
        <f t="shared" si="2"/>
        <v>2384</v>
      </c>
      <c r="S180" s="11">
        <f t="shared" si="3"/>
        <v>2033</v>
      </c>
      <c r="T180" s="11">
        <f t="shared" si="4"/>
        <v>2608</v>
      </c>
      <c r="U180" s="10">
        <f>IF(Q180&gt;0,(I180/Q180-District!$B$4)*100,"")</f>
        <v>-0.5939942334</v>
      </c>
      <c r="V180" s="10">
        <f>IF(R180&gt;0,(K180/R180-District!$B$5)*100,"")</f>
        <v>-0.7147366884</v>
      </c>
      <c r="W180" s="10">
        <f>IF(S180&gt;0,(M180/S180-District!$B$6)*100,"")</f>
        <v>1.25505111</v>
      </c>
      <c r="X180" s="10">
        <f>IF(T180&gt;0,(O180/T180-District!$B$7)*100,"")</f>
        <v>1.002044115</v>
      </c>
      <c r="Y180" s="28">
        <f t="shared" si="5"/>
        <v>0.7147343044</v>
      </c>
      <c r="Z180" s="5">
        <f t="shared" si="6"/>
        <v>2</v>
      </c>
      <c r="AA180" s="28">
        <f t="shared" si="7"/>
        <v>1.255049077</v>
      </c>
      <c r="AB180" s="5">
        <f t="shared" si="8"/>
        <v>12</v>
      </c>
      <c r="AC180" s="28">
        <f t="shared" si="9"/>
        <v>1.255048502</v>
      </c>
      <c r="AD180" s="5">
        <f t="shared" si="10"/>
        <v>15</v>
      </c>
    </row>
    <row r="181" ht="15.75" customHeight="1">
      <c r="A181" s="5" t="s">
        <v>790</v>
      </c>
      <c r="B181" s="5" t="s">
        <v>234</v>
      </c>
      <c r="C181" s="5" t="s">
        <v>395</v>
      </c>
      <c r="D181" s="5">
        <v>1210.0</v>
      </c>
      <c r="E181" s="5" t="s">
        <v>122</v>
      </c>
      <c r="F181" s="5" t="s">
        <v>396</v>
      </c>
      <c r="G181" s="5" t="s">
        <v>396</v>
      </c>
      <c r="H181" s="5" t="s">
        <v>396</v>
      </c>
      <c r="I181" s="11">
        <v>725.0</v>
      </c>
      <c r="J181" s="11">
        <v>672.0</v>
      </c>
      <c r="K181" s="11">
        <v>985.0</v>
      </c>
      <c r="L181" s="11">
        <v>971.0</v>
      </c>
      <c r="M181" s="11">
        <v>812.0</v>
      </c>
      <c r="N181" s="11">
        <v>703.0</v>
      </c>
      <c r="O181" s="11">
        <v>992.0</v>
      </c>
      <c r="P181" s="11">
        <v>983.0</v>
      </c>
      <c r="Q181" s="11">
        <f t="shared" si="1"/>
        <v>1397</v>
      </c>
      <c r="R181" s="11">
        <f t="shared" si="2"/>
        <v>1956</v>
      </c>
      <c r="S181" s="11">
        <f t="shared" si="3"/>
        <v>1515</v>
      </c>
      <c r="T181" s="11">
        <f t="shared" si="4"/>
        <v>1975</v>
      </c>
      <c r="U181" s="10">
        <f>IF(Q181&gt;0,(I181/Q181-District!$B$4)*100,"")</f>
        <v>-1.51531165</v>
      </c>
      <c r="V181" s="10">
        <f>IF(R181&gt;0,(K181/R181-District!$B$5)*100,"")</f>
        <v>0.607901623</v>
      </c>
      <c r="W181" s="10">
        <f>IF(S181&gt;0,(M181/S181-District!$B$6)*100,"")</f>
        <v>2.614339031</v>
      </c>
      <c r="X181" s="10">
        <f>IF(T181&gt;0,(O181/T181-District!$B$7)*100,"")</f>
        <v>0.7314259587</v>
      </c>
      <c r="Y181" s="28">
        <f t="shared" si="5"/>
        <v>1.515309694</v>
      </c>
      <c r="Z181" s="5">
        <f t="shared" si="6"/>
        <v>9</v>
      </c>
      <c r="AA181" s="28">
        <f t="shared" si="7"/>
        <v>2.614337516</v>
      </c>
      <c r="AB181" s="5">
        <f t="shared" si="8"/>
        <v>41</v>
      </c>
      <c r="AC181" s="28">
        <f t="shared" si="9"/>
        <v>2.614337056</v>
      </c>
      <c r="AD181" s="5">
        <f t="shared" si="10"/>
        <v>45</v>
      </c>
    </row>
    <row r="182" ht="15.75" customHeight="1">
      <c r="A182" s="5" t="s">
        <v>791</v>
      </c>
      <c r="B182" s="5" t="s">
        <v>234</v>
      </c>
      <c r="C182" s="5" t="s">
        <v>395</v>
      </c>
      <c r="D182" s="5">
        <v>1220.0</v>
      </c>
      <c r="E182" s="5" t="s">
        <v>122</v>
      </c>
      <c r="F182" s="5" t="s">
        <v>397</v>
      </c>
      <c r="G182" s="5" t="s">
        <v>397</v>
      </c>
      <c r="H182" s="5" t="s">
        <v>397</v>
      </c>
      <c r="I182" s="11">
        <v>1001.0</v>
      </c>
      <c r="J182" s="11">
        <v>938.0</v>
      </c>
      <c r="K182" s="11">
        <v>1275.0</v>
      </c>
      <c r="L182" s="11">
        <v>1300.0</v>
      </c>
      <c r="M182" s="11">
        <v>1089.0</v>
      </c>
      <c r="N182" s="11">
        <v>1003.0</v>
      </c>
      <c r="O182" s="11">
        <v>1311.0</v>
      </c>
      <c r="P182" s="11">
        <v>1258.0</v>
      </c>
      <c r="Q182" s="11">
        <f t="shared" si="1"/>
        <v>1939</v>
      </c>
      <c r="R182" s="11">
        <f t="shared" si="2"/>
        <v>2575</v>
      </c>
      <c r="S182" s="11">
        <f t="shared" si="3"/>
        <v>2092</v>
      </c>
      <c r="T182" s="11">
        <f t="shared" si="4"/>
        <v>2569</v>
      </c>
      <c r="U182" s="10">
        <f>IF(Q182&gt;0,(I182/Q182-District!$B$4)*100,"")</f>
        <v>-1.787684889</v>
      </c>
      <c r="V182" s="10">
        <f>IF(R182&gt;0,(K182/R182-District!$B$5)*100,"")</f>
        <v>-0.2354084809</v>
      </c>
      <c r="W182" s="10">
        <f>IF(S182&gt;0,(M182/S182-District!$B$6)*100,"")</f>
        <v>1.072428626</v>
      </c>
      <c r="X182" s="10">
        <f>IF(T182&gt;0,(O182/T182-District!$B$7)*100,"")</f>
        <v>1.535107636</v>
      </c>
      <c r="Y182" s="28">
        <f t="shared" si="5"/>
        <v>1.787682314</v>
      </c>
      <c r="Z182" s="5">
        <f t="shared" si="6"/>
        <v>13</v>
      </c>
      <c r="AA182" s="28">
        <f t="shared" si="7"/>
        <v>1.072426534</v>
      </c>
      <c r="AB182" s="5">
        <f t="shared" si="8"/>
        <v>6</v>
      </c>
      <c r="AC182" s="28">
        <f t="shared" si="9"/>
        <v>1.535105067</v>
      </c>
      <c r="AD182" s="5">
        <f t="shared" si="10"/>
        <v>21</v>
      </c>
    </row>
    <row r="183" ht="15.75" customHeight="1">
      <c r="A183" s="5" t="s">
        <v>792</v>
      </c>
      <c r="B183" s="5" t="s">
        <v>234</v>
      </c>
      <c r="C183" s="5" t="s">
        <v>395</v>
      </c>
      <c r="D183" s="5">
        <v>1230.0</v>
      </c>
      <c r="E183" s="5" t="s">
        <v>122</v>
      </c>
      <c r="F183" s="5" t="s">
        <v>398</v>
      </c>
      <c r="G183" s="5" t="s">
        <v>398</v>
      </c>
      <c r="H183" s="5" t="s">
        <v>398</v>
      </c>
      <c r="I183" s="11">
        <v>582.0</v>
      </c>
      <c r="J183" s="11">
        <v>595.0</v>
      </c>
      <c r="K183" s="11">
        <v>774.0</v>
      </c>
      <c r="L183" s="11">
        <v>872.0</v>
      </c>
      <c r="M183" s="11">
        <v>658.0</v>
      </c>
      <c r="N183" s="11">
        <v>705.0</v>
      </c>
      <c r="O183" s="11">
        <v>914.0</v>
      </c>
      <c r="P183" s="11">
        <v>1075.0</v>
      </c>
      <c r="Q183" s="11">
        <f t="shared" si="1"/>
        <v>1177</v>
      </c>
      <c r="R183" s="11">
        <f t="shared" si="2"/>
        <v>1646</v>
      </c>
      <c r="S183" s="11">
        <f t="shared" si="3"/>
        <v>1363</v>
      </c>
      <c r="T183" s="11">
        <f t="shared" si="4"/>
        <v>1989</v>
      </c>
      <c r="U183" s="10">
        <f>IF(Q183&gt;0,(I183/Q183-District!$B$4)*100,"")</f>
        <v>-3.964485112</v>
      </c>
      <c r="V183" s="10">
        <f>IF(R183&gt;0,(K183/R183-District!$B$5)*100,"")</f>
        <v>-2.726885318</v>
      </c>
      <c r="W183" s="10">
        <f>IF(S183&gt;0,(M183/S183-District!$B$6)*100,"")</f>
        <v>-2.707158636</v>
      </c>
      <c r="X183" s="10">
        <f>IF(T183&gt;0,(O183/T183-District!$B$7)*100,"")</f>
        <v>-3.543682072</v>
      </c>
      <c r="Y183" s="28">
        <f t="shared" si="5"/>
        <v>3.964483466</v>
      </c>
      <c r="Z183" s="5">
        <f t="shared" si="6"/>
        <v>54</v>
      </c>
      <c r="AA183" s="28">
        <f t="shared" si="7"/>
        <v>2.726883955</v>
      </c>
      <c r="AB183" s="5">
        <f t="shared" si="8"/>
        <v>43</v>
      </c>
      <c r="AC183" s="28">
        <f t="shared" si="9"/>
        <v>3.543680083</v>
      </c>
      <c r="AD183" s="5">
        <f t="shared" si="10"/>
        <v>62</v>
      </c>
    </row>
    <row r="184" ht="15.75" customHeight="1">
      <c r="A184" s="5" t="s">
        <v>793</v>
      </c>
      <c r="B184" s="5" t="s">
        <v>234</v>
      </c>
      <c r="C184" s="5" t="s">
        <v>395</v>
      </c>
      <c r="D184" s="5">
        <v>1240.0</v>
      </c>
      <c r="E184" s="5" t="s">
        <v>122</v>
      </c>
      <c r="F184" s="5" t="s">
        <v>399</v>
      </c>
      <c r="G184" s="5" t="s">
        <v>399</v>
      </c>
      <c r="H184" s="5" t="s">
        <v>399</v>
      </c>
      <c r="I184" s="11">
        <v>456.0</v>
      </c>
      <c r="J184" s="11">
        <v>276.0</v>
      </c>
      <c r="K184" s="11">
        <v>624.0</v>
      </c>
      <c r="L184" s="11">
        <v>456.0</v>
      </c>
      <c r="M184" s="11">
        <v>516.0</v>
      </c>
      <c r="N184" s="11">
        <v>400.0</v>
      </c>
      <c r="O184" s="11">
        <v>735.0</v>
      </c>
      <c r="P184" s="11">
        <v>653.0</v>
      </c>
      <c r="Q184" s="11">
        <f t="shared" si="1"/>
        <v>732</v>
      </c>
      <c r="R184" s="11">
        <f t="shared" si="2"/>
        <v>1080</v>
      </c>
      <c r="S184" s="11">
        <f t="shared" si="3"/>
        <v>916</v>
      </c>
      <c r="T184" s="11">
        <f t="shared" si="4"/>
        <v>1388</v>
      </c>
      <c r="U184" s="10">
        <f>IF(Q184&gt;0,(I184/Q184-District!$B$4)*100,"")</f>
        <v>8.882848342</v>
      </c>
      <c r="V184" s="10">
        <f>IF(R184&gt;0,(K184/R184-District!$B$5)*100,"")</f>
        <v>8.02780619</v>
      </c>
      <c r="W184" s="10">
        <f>IF(S184&gt;0,(M184/S184-District!$B$6)*100,"")</f>
        <v>5.348857025</v>
      </c>
      <c r="X184" s="10">
        <f>IF(T184&gt;0,(O184/T184-District!$B$7)*100,"")</f>
        <v>3.457468347</v>
      </c>
      <c r="Y184" s="28">
        <f t="shared" si="5"/>
        <v>8.882847262</v>
      </c>
      <c r="Z184" s="5">
        <f t="shared" si="6"/>
        <v>112</v>
      </c>
      <c r="AA184" s="28">
        <f t="shared" si="7"/>
        <v>8.027805274</v>
      </c>
      <c r="AB184" s="5">
        <f t="shared" si="8"/>
        <v>105</v>
      </c>
      <c r="AC184" s="28">
        <f t="shared" si="9"/>
        <v>5.348855637</v>
      </c>
      <c r="AD184" s="5">
        <f t="shared" si="10"/>
        <v>85</v>
      </c>
    </row>
    <row r="185" ht="15.75" customHeight="1">
      <c r="A185" s="5" t="s">
        <v>794</v>
      </c>
      <c r="B185" s="5" t="s">
        <v>234</v>
      </c>
      <c r="C185" s="5" t="s">
        <v>395</v>
      </c>
      <c r="D185" s="5">
        <v>1245.0</v>
      </c>
      <c r="E185" s="5" t="s">
        <v>122</v>
      </c>
      <c r="F185" s="5" t="s">
        <v>400</v>
      </c>
      <c r="G185" s="5" t="s">
        <v>400</v>
      </c>
      <c r="H185" s="5" t="s">
        <v>400</v>
      </c>
      <c r="I185" s="11">
        <v>1053.0</v>
      </c>
      <c r="J185" s="11">
        <v>954.0</v>
      </c>
      <c r="K185" s="11">
        <v>1738.0</v>
      </c>
      <c r="L185" s="11">
        <v>1571.0</v>
      </c>
      <c r="M185" s="11">
        <v>1409.0</v>
      </c>
      <c r="N185" s="11">
        <v>1142.0</v>
      </c>
      <c r="O185" s="11">
        <v>1929.0</v>
      </c>
      <c r="P185" s="11">
        <v>1679.0</v>
      </c>
      <c r="Q185" s="11">
        <f t="shared" si="1"/>
        <v>2007</v>
      </c>
      <c r="R185" s="11">
        <f t="shared" si="2"/>
        <v>3309</v>
      </c>
      <c r="S185" s="11">
        <f t="shared" si="3"/>
        <v>2551</v>
      </c>
      <c r="T185" s="11">
        <f t="shared" si="4"/>
        <v>3608</v>
      </c>
      <c r="U185" s="10">
        <f>IF(Q185&gt;0,(I185/Q185-District!$B$4)*100,"")</f>
        <v>-0.9458659124</v>
      </c>
      <c r="V185" s="10">
        <f>IF(R185&gt;0,(K185/R185-District!$B$5)*100,"")</f>
        <v>2.773449385</v>
      </c>
      <c r="W185" s="10">
        <f>IF(S185&gt;0,(M185/S185-District!$B$6)*100,"")</f>
        <v>4.250221161</v>
      </c>
      <c r="X185" s="10">
        <f>IF(T185&gt;0,(O185/T185-District!$B$7)*100,"")</f>
        <v>3.968101139</v>
      </c>
      <c r="Y185" s="28">
        <f t="shared" si="5"/>
        <v>2.773446076</v>
      </c>
      <c r="Z185" s="5">
        <f t="shared" si="6"/>
        <v>33</v>
      </c>
      <c r="AA185" s="28">
        <f t="shared" si="7"/>
        <v>4.25021861</v>
      </c>
      <c r="AB185" s="5">
        <f t="shared" si="8"/>
        <v>66</v>
      </c>
      <c r="AC185" s="28">
        <f t="shared" si="9"/>
        <v>4.250217553</v>
      </c>
      <c r="AD185" s="5">
        <f t="shared" si="10"/>
        <v>72</v>
      </c>
    </row>
    <row r="186" ht="15.75" customHeight="1">
      <c r="A186" s="5" t="s">
        <v>795</v>
      </c>
      <c r="B186" s="5" t="s">
        <v>234</v>
      </c>
      <c r="C186" s="5" t="s">
        <v>395</v>
      </c>
      <c r="D186" s="5">
        <v>1246.0</v>
      </c>
      <c r="E186" s="5" t="s">
        <v>122</v>
      </c>
      <c r="F186" s="5" t="s">
        <v>401</v>
      </c>
      <c r="G186" s="5" t="s">
        <v>401</v>
      </c>
      <c r="H186" s="5" t="s">
        <v>401</v>
      </c>
      <c r="I186" s="11">
        <v>445.0</v>
      </c>
      <c r="J186" s="11">
        <v>325.0</v>
      </c>
      <c r="K186" s="11">
        <v>712.0</v>
      </c>
      <c r="L186" s="11">
        <v>569.0</v>
      </c>
      <c r="M186" s="11">
        <v>513.0</v>
      </c>
      <c r="N186" s="11">
        <v>429.0</v>
      </c>
      <c r="O186" s="11">
        <v>696.0</v>
      </c>
      <c r="P186" s="11">
        <v>666.0</v>
      </c>
      <c r="Q186" s="11">
        <f t="shared" si="1"/>
        <v>770</v>
      </c>
      <c r="R186" s="11">
        <f t="shared" si="2"/>
        <v>1281</v>
      </c>
      <c r="S186" s="11">
        <f t="shared" si="3"/>
        <v>942</v>
      </c>
      <c r="T186" s="11">
        <f t="shared" si="4"/>
        <v>1362</v>
      </c>
      <c r="U186" s="10">
        <f>IF(Q186&gt;0,(I186/Q186-District!$B$4)*100,"")</f>
        <v>4.379974167</v>
      </c>
      <c r="V186" s="10">
        <f>IF(R186&gt;0,(K186/R186-District!$B$5)*100,"")</f>
        <v>5.831605305</v>
      </c>
      <c r="W186" s="10">
        <f>IF(S186&gt;0,(M186/S186-District!$B$6)*100,"")</f>
        <v>3.475578022</v>
      </c>
      <c r="X186" s="10">
        <f>IF(T186&gt;0,(O186/T186-District!$B$7)*100,"")</f>
        <v>1.604899443</v>
      </c>
      <c r="Y186" s="28">
        <f t="shared" si="5"/>
        <v>5.831604024</v>
      </c>
      <c r="Z186" s="5">
        <f t="shared" si="6"/>
        <v>81</v>
      </c>
      <c r="AA186" s="28">
        <f t="shared" si="7"/>
        <v>5.831604363</v>
      </c>
      <c r="AB186" s="5">
        <f t="shared" si="8"/>
        <v>83</v>
      </c>
      <c r="AC186" s="28">
        <f t="shared" si="9"/>
        <v>3.47557666</v>
      </c>
      <c r="AD186" s="5">
        <f t="shared" si="10"/>
        <v>61</v>
      </c>
    </row>
    <row r="187" ht="15.75" customHeight="1">
      <c r="A187" s="5" t="s">
        <v>796</v>
      </c>
      <c r="B187" s="5" t="s">
        <v>234</v>
      </c>
      <c r="C187" s="5" t="s">
        <v>395</v>
      </c>
      <c r="D187" s="5">
        <v>1247.0</v>
      </c>
      <c r="E187" s="5" t="s">
        <v>122</v>
      </c>
      <c r="F187" s="5" t="s">
        <v>404</v>
      </c>
      <c r="G187" s="5" t="s">
        <v>404</v>
      </c>
      <c r="H187" s="5" t="s">
        <v>404</v>
      </c>
      <c r="I187" s="11">
        <v>437.0</v>
      </c>
      <c r="J187" s="11">
        <v>362.0</v>
      </c>
      <c r="K187" s="11">
        <v>681.0</v>
      </c>
      <c r="L187" s="11">
        <v>643.0</v>
      </c>
      <c r="M187" s="11">
        <v>494.0</v>
      </c>
      <c r="N187" s="11">
        <v>404.0</v>
      </c>
      <c r="O187" s="11">
        <v>715.0</v>
      </c>
      <c r="P187" s="11">
        <v>601.0</v>
      </c>
      <c r="Q187" s="11">
        <f t="shared" si="1"/>
        <v>799</v>
      </c>
      <c r="R187" s="11">
        <f t="shared" si="2"/>
        <v>1324</v>
      </c>
      <c r="S187" s="11">
        <f t="shared" si="3"/>
        <v>898</v>
      </c>
      <c r="T187" s="11">
        <f t="shared" si="4"/>
        <v>1316</v>
      </c>
      <c r="U187" s="10">
        <f>IF(Q187&gt;0,(I187/Q187-District!$B$4)*100,"")</f>
        <v>1.281133083</v>
      </c>
      <c r="V187" s="10">
        <f>IF(R187&gt;0,(K187/R187-District!$B$5)*100,"")</f>
        <v>1.68507373</v>
      </c>
      <c r="W187" s="10">
        <f>IF(S187&gt;0,(M187/S187-District!$B$6)*100,"")</f>
        <v>4.028115153</v>
      </c>
      <c r="X187" s="10">
        <f>IF(T187&gt;0,(O187/T187-District!$B$7)*100,"")</f>
        <v>4.834884848</v>
      </c>
      <c r="Y187" s="28">
        <f t="shared" si="5"/>
        <v>1.685072406</v>
      </c>
      <c r="Z187" s="5">
        <f t="shared" si="6"/>
        <v>11</v>
      </c>
      <c r="AA187" s="28">
        <f t="shared" si="7"/>
        <v>4.028114255</v>
      </c>
      <c r="AB187" s="5">
        <f t="shared" si="8"/>
        <v>62</v>
      </c>
      <c r="AC187" s="28">
        <f t="shared" si="9"/>
        <v>4.834883532</v>
      </c>
      <c r="AD187" s="5">
        <f t="shared" si="10"/>
        <v>79</v>
      </c>
    </row>
    <row r="188" ht="15.75" customHeight="1">
      <c r="A188" s="5" t="s">
        <v>797</v>
      </c>
      <c r="B188" s="5" t="s">
        <v>234</v>
      </c>
      <c r="C188" s="5" t="s">
        <v>395</v>
      </c>
      <c r="D188" s="5">
        <v>1248.0</v>
      </c>
      <c r="E188" s="5" t="s">
        <v>122</v>
      </c>
      <c r="F188" s="5" t="s">
        <v>405</v>
      </c>
      <c r="G188" s="5" t="s">
        <v>405</v>
      </c>
      <c r="H188" s="5" t="s">
        <v>405</v>
      </c>
      <c r="I188" s="11">
        <v>438.0</v>
      </c>
      <c r="J188" s="11">
        <v>373.0</v>
      </c>
      <c r="K188" s="11">
        <v>706.0</v>
      </c>
      <c r="L188" s="11">
        <v>629.0</v>
      </c>
      <c r="M188" s="11">
        <v>518.0</v>
      </c>
      <c r="N188" s="11">
        <v>471.0</v>
      </c>
      <c r="O188" s="11">
        <v>728.0</v>
      </c>
      <c r="P188" s="11">
        <v>692.0</v>
      </c>
      <c r="Q188" s="11">
        <f t="shared" si="1"/>
        <v>811</v>
      </c>
      <c r="R188" s="11">
        <f t="shared" si="2"/>
        <v>1335</v>
      </c>
      <c r="S188" s="11">
        <f t="shared" si="3"/>
        <v>989</v>
      </c>
      <c r="T188" s="11">
        <f t="shared" si="4"/>
        <v>1420</v>
      </c>
      <c r="U188" s="10">
        <f>IF(Q188&gt;0,(I188/Q188-District!$B$4)*100,"")</f>
        <v>0.5951646483</v>
      </c>
      <c r="V188" s="10">
        <f>IF(R188&gt;0,(K188/R188-District!$B$5)*100,"")</f>
        <v>3.133923543</v>
      </c>
      <c r="W188" s="10">
        <f>IF(S188&gt;0,(M188/S188-District!$B$6)*100,"")</f>
        <v>1.393116808</v>
      </c>
      <c r="X188" s="10">
        <f>IF(T188&gt;0,(O188/T188-District!$B$7)*100,"")</f>
        <v>1.771183491</v>
      </c>
      <c r="Y188" s="28">
        <f t="shared" si="5"/>
        <v>3.133922208</v>
      </c>
      <c r="Z188" s="5">
        <f t="shared" si="6"/>
        <v>46</v>
      </c>
      <c r="AA188" s="28">
        <f t="shared" si="7"/>
        <v>3.133922554</v>
      </c>
      <c r="AB188" s="5">
        <f t="shared" si="8"/>
        <v>49</v>
      </c>
      <c r="AC188" s="28">
        <f t="shared" si="9"/>
        <v>1.771182071</v>
      </c>
      <c r="AD188" s="5">
        <f t="shared" si="10"/>
        <v>27</v>
      </c>
    </row>
    <row r="189" ht="15.75" customHeight="1">
      <c r="A189" s="5" t="s">
        <v>798</v>
      </c>
      <c r="B189" s="5" t="s">
        <v>234</v>
      </c>
      <c r="C189" s="5" t="s">
        <v>406</v>
      </c>
      <c r="D189" s="5">
        <v>1250.0</v>
      </c>
      <c r="E189" s="5" t="s">
        <v>122</v>
      </c>
      <c r="F189" s="5" t="s">
        <v>407</v>
      </c>
      <c r="G189" s="5" t="s">
        <v>407</v>
      </c>
      <c r="H189" s="5" t="s">
        <v>407</v>
      </c>
      <c r="I189" s="11">
        <v>927.0</v>
      </c>
      <c r="J189" s="11">
        <v>970.0</v>
      </c>
      <c r="K189" s="11">
        <v>1314.0</v>
      </c>
      <c r="L189" s="11">
        <v>1541.0</v>
      </c>
      <c r="M189" s="11">
        <v>1212.0</v>
      </c>
      <c r="N189" s="11">
        <v>1282.0</v>
      </c>
      <c r="O189" s="11">
        <v>1473.0</v>
      </c>
      <c r="P189" s="11">
        <v>1690.0</v>
      </c>
      <c r="Q189" s="11">
        <f t="shared" si="1"/>
        <v>1897</v>
      </c>
      <c r="R189" s="11">
        <f t="shared" si="2"/>
        <v>2855</v>
      </c>
      <c r="S189" s="11">
        <f t="shared" si="3"/>
        <v>2494</v>
      </c>
      <c r="T189" s="11">
        <f t="shared" si="4"/>
        <v>3163</v>
      </c>
      <c r="U189" s="10">
        <f>IF(Q189&gt;0,(I189/Q189-District!$B$4)*100,"")</f>
        <v>-4.545602102</v>
      </c>
      <c r="V189" s="10">
        <f>IF(R189&gt;0,(K189/R189-District!$B$5)*100,"")</f>
        <v>-3.725453199</v>
      </c>
      <c r="W189" s="10">
        <f>IF(S189&gt;0,(M189/S189-District!$B$6)*100,"")</f>
        <v>-2.386388788</v>
      </c>
      <c r="X189" s="10">
        <f>IF(T189&gt;0,(O189/T189-District!$B$7)*100,"")</f>
        <v>-2.926709844</v>
      </c>
      <c r="Y189" s="28">
        <f t="shared" si="5"/>
        <v>4.545599247</v>
      </c>
      <c r="Z189" s="5">
        <f t="shared" si="6"/>
        <v>66</v>
      </c>
      <c r="AA189" s="28">
        <f t="shared" si="7"/>
        <v>3.725450705</v>
      </c>
      <c r="AB189" s="5">
        <f t="shared" si="8"/>
        <v>58</v>
      </c>
      <c r="AC189" s="28">
        <f t="shared" si="9"/>
        <v>2.926706681</v>
      </c>
      <c r="AD189" s="5">
        <f t="shared" si="10"/>
        <v>53</v>
      </c>
    </row>
    <row r="190" ht="15.75" customHeight="1">
      <c r="A190" s="5" t="s">
        <v>799</v>
      </c>
      <c r="B190" s="5" t="s">
        <v>234</v>
      </c>
      <c r="C190" s="5" t="s">
        <v>406</v>
      </c>
      <c r="D190" s="5">
        <v>1260.0</v>
      </c>
      <c r="E190" s="5" t="s">
        <v>122</v>
      </c>
      <c r="F190" s="5" t="s">
        <v>408</v>
      </c>
      <c r="G190" s="5" t="s">
        <v>408</v>
      </c>
      <c r="H190" s="5" t="s">
        <v>408</v>
      </c>
      <c r="I190" s="11">
        <v>736.0</v>
      </c>
      <c r="J190" s="11">
        <v>1004.0</v>
      </c>
      <c r="K190" s="11">
        <v>908.0</v>
      </c>
      <c r="L190" s="11">
        <v>1414.0</v>
      </c>
      <c r="M190" s="11">
        <v>820.0</v>
      </c>
      <c r="N190" s="11">
        <v>1168.0</v>
      </c>
      <c r="O190" s="11">
        <v>907.0</v>
      </c>
      <c r="P190" s="11">
        <v>1445.0</v>
      </c>
      <c r="Q190" s="11">
        <f t="shared" si="1"/>
        <v>1740</v>
      </c>
      <c r="R190" s="11">
        <f t="shared" si="2"/>
        <v>2322</v>
      </c>
      <c r="S190" s="11">
        <f t="shared" si="3"/>
        <v>1988</v>
      </c>
      <c r="T190" s="11">
        <f t="shared" si="4"/>
        <v>2352</v>
      </c>
      <c r="U190" s="10">
        <f>IF(Q190&gt;0,(I190/Q190-District!$B$4)*100,"")</f>
        <v>-11.11338305</v>
      </c>
      <c r="V190" s="10">
        <f>IF(R190&gt;0,(K190/R190-District!$B$5)*100,"")</f>
        <v>-10.64575109</v>
      </c>
      <c r="W190" s="10">
        <f>IF(S190&gt;0,(M190/S190-District!$B$6)*100,"")</f>
        <v>-9.735535795</v>
      </c>
      <c r="X190" s="10">
        <f>IF(T190&gt;0,(O190/T190-District!$B$7)*100,"")</f>
        <v>-10.93349697</v>
      </c>
      <c r="Y190" s="28">
        <f t="shared" si="5"/>
        <v>11.11338073</v>
      </c>
      <c r="Z190" s="5">
        <f t="shared" si="6"/>
        <v>137</v>
      </c>
      <c r="AA190" s="28">
        <f t="shared" si="7"/>
        <v>10.6457491</v>
      </c>
      <c r="AB190" s="5">
        <f t="shared" si="8"/>
        <v>131</v>
      </c>
      <c r="AC190" s="28">
        <f t="shared" si="9"/>
        <v>10.93349462</v>
      </c>
      <c r="AD190" s="5">
        <f t="shared" si="10"/>
        <v>147</v>
      </c>
    </row>
    <row r="191" ht="15.75" customHeight="1">
      <c r="A191" s="5" t="s">
        <v>800</v>
      </c>
      <c r="B191" s="5" t="s">
        <v>234</v>
      </c>
      <c r="C191" s="5" t="s">
        <v>409</v>
      </c>
      <c r="D191" s="5">
        <v>1270.0</v>
      </c>
      <c r="E191" s="5" t="s">
        <v>122</v>
      </c>
      <c r="F191" s="5" t="s">
        <v>410</v>
      </c>
      <c r="G191" s="5" t="s">
        <v>410</v>
      </c>
      <c r="H191" s="5" t="s">
        <v>410</v>
      </c>
      <c r="I191" s="11">
        <v>762.0</v>
      </c>
      <c r="J191" s="11">
        <v>808.0</v>
      </c>
      <c r="K191" s="11">
        <v>967.0</v>
      </c>
      <c r="L191" s="11">
        <v>1075.0</v>
      </c>
      <c r="M191" s="11">
        <v>888.0</v>
      </c>
      <c r="N191" s="11">
        <v>859.0</v>
      </c>
      <c r="O191" s="11">
        <v>1017.0</v>
      </c>
      <c r="P191" s="11">
        <v>1074.0</v>
      </c>
      <c r="Q191" s="11">
        <f t="shared" si="1"/>
        <v>1570</v>
      </c>
      <c r="R191" s="11">
        <f t="shared" si="2"/>
        <v>2042</v>
      </c>
      <c r="S191" s="11">
        <f t="shared" si="3"/>
        <v>1747</v>
      </c>
      <c r="T191" s="11">
        <f t="shared" si="4"/>
        <v>2091</v>
      </c>
      <c r="U191" s="10">
        <f>IF(Q191&gt;0,(I191/Q191-District!$B$4)*100,"")</f>
        <v>-4.877201778</v>
      </c>
      <c r="V191" s="10">
        <f>IF(R191&gt;0,(K191/R191-District!$B$5)*100,"")</f>
        <v>-2.394437797</v>
      </c>
      <c r="W191" s="10">
        <f>IF(S191&gt;0,(M191/S191-District!$B$6)*100,"")</f>
        <v>-0.1530264287</v>
      </c>
      <c r="X191" s="10">
        <f>IF(T191&gt;0,(O191/T191-District!$B$7)*100,"")</f>
        <v>-0.8594063606</v>
      </c>
      <c r="Y191" s="28">
        <f t="shared" si="5"/>
        <v>4.877199736</v>
      </c>
      <c r="Z191" s="5">
        <f t="shared" si="6"/>
        <v>71</v>
      </c>
      <c r="AA191" s="28">
        <f t="shared" si="7"/>
        <v>2.39443605</v>
      </c>
      <c r="AB191" s="5">
        <f t="shared" si="8"/>
        <v>35</v>
      </c>
      <c r="AC191" s="28">
        <f t="shared" si="9"/>
        <v>0.8594042696</v>
      </c>
      <c r="AD191" s="5">
        <f t="shared" si="10"/>
        <v>5</v>
      </c>
    </row>
    <row r="192" ht="15.75" customHeight="1">
      <c r="A192" s="5" t="s">
        <v>801</v>
      </c>
      <c r="B192" s="5" t="s">
        <v>234</v>
      </c>
      <c r="C192" s="5" t="s">
        <v>409</v>
      </c>
      <c r="D192" s="5">
        <v>1280.0</v>
      </c>
      <c r="E192" s="5" t="s">
        <v>122</v>
      </c>
      <c r="F192" s="5" t="s">
        <v>411</v>
      </c>
      <c r="G192" s="5" t="s">
        <v>411</v>
      </c>
      <c r="H192" s="5" t="s">
        <v>411</v>
      </c>
      <c r="I192" s="11">
        <v>473.0</v>
      </c>
      <c r="J192" s="11">
        <v>524.0</v>
      </c>
      <c r="K192" s="11">
        <v>633.0</v>
      </c>
      <c r="L192" s="11">
        <v>829.0</v>
      </c>
      <c r="M192" s="11">
        <v>590.0</v>
      </c>
      <c r="N192" s="11">
        <v>646.0</v>
      </c>
      <c r="O192" s="11">
        <v>753.0</v>
      </c>
      <c r="P192" s="11">
        <v>851.0</v>
      </c>
      <c r="Q192" s="11">
        <f t="shared" si="1"/>
        <v>997</v>
      </c>
      <c r="R192" s="11">
        <f t="shared" si="2"/>
        <v>1462</v>
      </c>
      <c r="S192" s="11">
        <f t="shared" si="3"/>
        <v>1236</v>
      </c>
      <c r="T192" s="11">
        <f t="shared" si="4"/>
        <v>1604</v>
      </c>
      <c r="U192" s="10">
        <f>IF(Q192&gt;0,(I192/Q192-District!$B$4)*100,"")</f>
        <v>-5.969906645</v>
      </c>
      <c r="V192" s="10">
        <f>IF(R192&gt;0,(K192/R192-District!$B$5)*100,"")</f>
        <v>-6.453117963</v>
      </c>
      <c r="W192" s="10">
        <f>IF(S192&gt;0,(M192/S192-District!$B$6)*100,"")</f>
        <v>-3.248392873</v>
      </c>
      <c r="X192" s="10">
        <f>IF(T192&gt;0,(O192/T192-District!$B$7)*100,"")</f>
        <v>-2.551284985</v>
      </c>
      <c r="Y192" s="28">
        <f t="shared" si="5"/>
        <v>6.453116501</v>
      </c>
      <c r="Z192" s="5">
        <f t="shared" si="6"/>
        <v>93</v>
      </c>
      <c r="AA192" s="28">
        <f t="shared" si="7"/>
        <v>6.453116727</v>
      </c>
      <c r="AB192" s="5">
        <f t="shared" si="8"/>
        <v>91</v>
      </c>
      <c r="AC192" s="28">
        <f t="shared" si="9"/>
        <v>3.248391269</v>
      </c>
      <c r="AD192" s="5">
        <f t="shared" si="10"/>
        <v>55</v>
      </c>
    </row>
    <row r="193" ht="15.75" customHeight="1">
      <c r="A193" s="5" t="s">
        <v>802</v>
      </c>
      <c r="B193" s="5" t="s">
        <v>234</v>
      </c>
      <c r="C193" s="5" t="s">
        <v>409</v>
      </c>
      <c r="D193" s="5">
        <v>1290.0</v>
      </c>
      <c r="E193" s="5" t="s">
        <v>122</v>
      </c>
      <c r="F193" s="5" t="s">
        <v>412</v>
      </c>
      <c r="G193" s="5" t="s">
        <v>412</v>
      </c>
      <c r="H193" s="5" t="s">
        <v>412</v>
      </c>
      <c r="I193" s="11">
        <v>388.0</v>
      </c>
      <c r="J193" s="11">
        <v>404.0</v>
      </c>
      <c r="K193" s="11">
        <v>512.0</v>
      </c>
      <c r="L193" s="11">
        <v>584.0</v>
      </c>
      <c r="M193" s="11">
        <v>498.0</v>
      </c>
      <c r="N193" s="11">
        <v>506.0</v>
      </c>
      <c r="O193" s="11">
        <v>713.0</v>
      </c>
      <c r="P193" s="11">
        <v>780.0</v>
      </c>
      <c r="Q193" s="11">
        <f t="shared" si="1"/>
        <v>792</v>
      </c>
      <c r="R193" s="11">
        <f t="shared" si="2"/>
        <v>1096</v>
      </c>
      <c r="S193" s="11">
        <f t="shared" si="3"/>
        <v>1004</v>
      </c>
      <c r="T193" s="11">
        <f t="shared" si="4"/>
        <v>1493</v>
      </c>
      <c r="U193" s="10">
        <f>IF(Q193&gt;0,(I193/Q193-District!$B$4)*100,"")</f>
        <v>-4.422334636</v>
      </c>
      <c r="V193" s="10">
        <f>IF(R193&gt;0,(K193/R193-District!$B$5)*100,"")</f>
        <v>-3.034643121</v>
      </c>
      <c r="W193" s="10">
        <f>IF(S193&gt;0,(M193/S193-District!$B$6)*100,"")</f>
        <v>-1.381427079</v>
      </c>
      <c r="X193" s="10">
        <f>IF(T193&gt;0,(O193/T193-District!$B$7)*100,"")</f>
        <v>-1.740226563</v>
      </c>
      <c r="Y193" s="28">
        <f t="shared" si="5"/>
        <v>4.42233354</v>
      </c>
      <c r="Z193" s="5">
        <f t="shared" si="6"/>
        <v>61</v>
      </c>
      <c r="AA193" s="28">
        <f t="shared" si="7"/>
        <v>3.034642117</v>
      </c>
      <c r="AB193" s="5">
        <f t="shared" si="8"/>
        <v>46</v>
      </c>
      <c r="AC193" s="28">
        <f t="shared" si="9"/>
        <v>1.74022507</v>
      </c>
      <c r="AD193" s="5">
        <f t="shared" si="10"/>
        <v>26</v>
      </c>
    </row>
    <row r="194" ht="15.75" customHeight="1">
      <c r="A194" s="5" t="s">
        <v>803</v>
      </c>
      <c r="B194" s="5" t="s">
        <v>234</v>
      </c>
      <c r="C194" s="5" t="s">
        <v>409</v>
      </c>
      <c r="D194" s="5">
        <v>1300.0</v>
      </c>
      <c r="E194" s="5" t="s">
        <v>122</v>
      </c>
      <c r="F194" s="5" t="s">
        <v>413</v>
      </c>
      <c r="G194" s="5" t="s">
        <v>413</v>
      </c>
      <c r="H194" s="5" t="s">
        <v>413</v>
      </c>
      <c r="I194" s="11">
        <v>1052.0</v>
      </c>
      <c r="J194" s="11">
        <v>1135.0</v>
      </c>
      <c r="K194" s="11">
        <v>1456.0</v>
      </c>
      <c r="L194" s="11">
        <v>1724.0</v>
      </c>
      <c r="M194" s="11">
        <v>1289.0</v>
      </c>
      <c r="N194" s="11">
        <v>1351.0</v>
      </c>
      <c r="O194" s="11">
        <v>1648.0</v>
      </c>
      <c r="P194" s="11">
        <v>1789.0</v>
      </c>
      <c r="Q194" s="11">
        <f t="shared" si="1"/>
        <v>2187</v>
      </c>
      <c r="R194" s="11">
        <f t="shared" si="2"/>
        <v>3180</v>
      </c>
      <c r="S194" s="11">
        <f t="shared" si="3"/>
        <v>2640</v>
      </c>
      <c r="T194" s="11">
        <f t="shared" si="4"/>
        <v>3437</v>
      </c>
      <c r="U194" s="10">
        <f>IF(Q194&gt;0,(I194/Q194-District!$B$4)*100,"")</f>
        <v>-5.309810214</v>
      </c>
      <c r="V194" s="10">
        <f>IF(R194&gt;0,(K194/R194-District!$B$5)*100,"")</f>
        <v>-3.963808066</v>
      </c>
      <c r="W194" s="10">
        <f>IF(S194&gt;0,(M194/S194-District!$B$6)*100,"")</f>
        <v>-2.157263129</v>
      </c>
      <c r="X194" s="10">
        <f>IF(T194&gt;0,(O194/T194-District!$B$7)*100,"")</f>
        <v>-1.547629591</v>
      </c>
      <c r="Y194" s="28">
        <f t="shared" si="5"/>
        <v>5.309807034</v>
      </c>
      <c r="Z194" s="5">
        <f t="shared" si="6"/>
        <v>74</v>
      </c>
      <c r="AA194" s="28">
        <f t="shared" si="7"/>
        <v>3.963805426</v>
      </c>
      <c r="AB194" s="5">
        <f t="shared" si="8"/>
        <v>61</v>
      </c>
      <c r="AC194" s="28">
        <f t="shared" si="9"/>
        <v>2.157259692</v>
      </c>
      <c r="AD194" s="5">
        <f t="shared" si="10"/>
        <v>35</v>
      </c>
    </row>
    <row r="195" ht="15.75" customHeight="1">
      <c r="A195" s="5" t="s">
        <v>804</v>
      </c>
      <c r="B195" s="5" t="s">
        <v>234</v>
      </c>
      <c r="C195" s="5" t="s">
        <v>409</v>
      </c>
      <c r="D195" s="5">
        <v>1302.0</v>
      </c>
      <c r="E195" s="5" t="s">
        <v>122</v>
      </c>
      <c r="F195" s="5" t="s">
        <v>415</v>
      </c>
      <c r="G195" s="5" t="s">
        <v>415</v>
      </c>
      <c r="H195" s="5" t="s">
        <v>415</v>
      </c>
      <c r="I195" s="11">
        <v>472.0</v>
      </c>
      <c r="J195" s="11">
        <v>494.0</v>
      </c>
      <c r="K195" s="11">
        <v>629.0</v>
      </c>
      <c r="L195" s="11">
        <v>702.0</v>
      </c>
      <c r="M195" s="11">
        <v>559.0</v>
      </c>
      <c r="N195" s="11">
        <v>520.0</v>
      </c>
      <c r="O195" s="11">
        <v>683.0</v>
      </c>
      <c r="P195" s="11">
        <v>663.0</v>
      </c>
      <c r="Q195" s="11">
        <f t="shared" si="1"/>
        <v>966</v>
      </c>
      <c r="R195" s="11">
        <f t="shared" si="2"/>
        <v>1331</v>
      </c>
      <c r="S195" s="11">
        <f t="shared" si="3"/>
        <v>1079</v>
      </c>
      <c r="T195" s="11">
        <f t="shared" si="4"/>
        <v>1346</v>
      </c>
      <c r="U195" s="10">
        <f>IF(Q195&gt;0,(I195/Q195-District!$B$4)*100,"")</f>
        <v>-4.550949982</v>
      </c>
      <c r="V195" s="10">
        <f>IF(R195&gt;0,(K195/R195-District!$B$5)*100,"")</f>
        <v>-2.492270611</v>
      </c>
      <c r="W195" s="10">
        <f>IF(S195&gt;0,(M195/S195-District!$B$6)*100,"")</f>
        <v>0.8242082111</v>
      </c>
      <c r="X195" s="10">
        <f>IF(T195&gt;0,(O195/T195-District!$B$7)*100,"")</f>
        <v>1.246519908</v>
      </c>
      <c r="Y195" s="28">
        <f t="shared" si="5"/>
        <v>4.550948651</v>
      </c>
      <c r="Z195" s="5">
        <f t="shared" si="6"/>
        <v>67</v>
      </c>
      <c r="AA195" s="28">
        <f t="shared" si="7"/>
        <v>2.492269532</v>
      </c>
      <c r="AB195" s="5">
        <f t="shared" si="8"/>
        <v>37</v>
      </c>
      <c r="AC195" s="28">
        <f t="shared" si="9"/>
        <v>1.246518562</v>
      </c>
      <c r="AD195" s="5">
        <f t="shared" si="10"/>
        <v>14</v>
      </c>
    </row>
    <row r="196" ht="15.75" customHeight="1">
      <c r="A196" s="5" t="s">
        <v>805</v>
      </c>
      <c r="B196" s="5" t="s">
        <v>234</v>
      </c>
      <c r="C196" s="5" t="s">
        <v>409</v>
      </c>
      <c r="D196" s="5">
        <v>1305.0</v>
      </c>
      <c r="E196" s="5" t="s">
        <v>122</v>
      </c>
      <c r="F196" s="5" t="s">
        <v>417</v>
      </c>
      <c r="G196" s="5" t="s">
        <v>417</v>
      </c>
      <c r="H196" s="5" t="s">
        <v>417</v>
      </c>
      <c r="I196" s="11">
        <v>505.0</v>
      </c>
      <c r="J196" s="11">
        <v>403.0</v>
      </c>
      <c r="K196" s="11">
        <v>620.0</v>
      </c>
      <c r="L196" s="11">
        <v>587.0</v>
      </c>
      <c r="M196" s="11">
        <v>582.0</v>
      </c>
      <c r="N196" s="11">
        <v>487.0</v>
      </c>
      <c r="O196" s="11">
        <v>648.0</v>
      </c>
      <c r="P196" s="11">
        <v>583.0</v>
      </c>
      <c r="Q196" s="11">
        <f t="shared" si="1"/>
        <v>908</v>
      </c>
      <c r="R196" s="11">
        <f t="shared" si="2"/>
        <v>1207</v>
      </c>
      <c r="S196" s="11">
        <f t="shared" si="3"/>
        <v>1069</v>
      </c>
      <c r="T196" s="11">
        <f t="shared" si="4"/>
        <v>1231</v>
      </c>
      <c r="U196" s="10">
        <f>IF(Q196&gt;0,(I196/Q196-District!$B$4)*100,"")</f>
        <v>2.204506463</v>
      </c>
      <c r="V196" s="10">
        <f>IF(R196&gt;0,(K196/R196-District!$B$5)*100,"")</f>
        <v>1.617054096</v>
      </c>
      <c r="W196" s="10">
        <f>IF(S196&gt;0,(M196/S196-District!$B$6)*100,"")</f>
        <v>3.460384347</v>
      </c>
      <c r="X196" s="10">
        <f>IF(T196&gt;0,(O196/T196-District!$B$7)*100,"")</f>
        <v>3.143707833</v>
      </c>
      <c r="Y196" s="28">
        <f t="shared" si="5"/>
        <v>2.204505256</v>
      </c>
      <c r="Z196" s="5">
        <f t="shared" si="6"/>
        <v>19</v>
      </c>
      <c r="AA196" s="28">
        <f t="shared" si="7"/>
        <v>3.460383278</v>
      </c>
      <c r="AB196" s="5">
        <f t="shared" si="8"/>
        <v>55</v>
      </c>
      <c r="AC196" s="28">
        <f t="shared" si="9"/>
        <v>3.460383116</v>
      </c>
      <c r="AD196" s="5">
        <f t="shared" si="10"/>
        <v>60</v>
      </c>
    </row>
    <row r="197" ht="15.75" customHeight="1">
      <c r="A197" s="5" t="s">
        <v>806</v>
      </c>
      <c r="B197" s="5" t="s">
        <v>234</v>
      </c>
      <c r="C197" s="5" t="s">
        <v>418</v>
      </c>
      <c r="D197" s="5">
        <v>1310.0</v>
      </c>
      <c r="E197" s="5" t="s">
        <v>122</v>
      </c>
      <c r="F197" s="5" t="s">
        <v>419</v>
      </c>
      <c r="G197" s="5" t="s">
        <v>419</v>
      </c>
      <c r="H197" s="5" t="s">
        <v>419</v>
      </c>
      <c r="I197" s="11">
        <v>149.0</v>
      </c>
      <c r="J197" s="11">
        <v>312.0</v>
      </c>
      <c r="K197" s="11">
        <v>217.0</v>
      </c>
      <c r="L197" s="11">
        <v>510.0</v>
      </c>
      <c r="M197" s="11">
        <v>188.0</v>
      </c>
      <c r="N197" s="11">
        <v>395.0</v>
      </c>
      <c r="O197" s="11">
        <v>243.0</v>
      </c>
      <c r="P197" s="11">
        <v>532.0</v>
      </c>
      <c r="Q197" s="11">
        <f t="shared" si="1"/>
        <v>461</v>
      </c>
      <c r="R197" s="11">
        <f t="shared" si="2"/>
        <v>727</v>
      </c>
      <c r="S197" s="11">
        <f t="shared" si="3"/>
        <v>583</v>
      </c>
      <c r="T197" s="11">
        <f t="shared" si="4"/>
        <v>775</v>
      </c>
      <c r="U197" s="10">
        <f>IF(Q197&gt;0,(I197/Q197-District!$B$4)*100,"")</f>
        <v>-21.09119241</v>
      </c>
      <c r="V197" s="10">
        <f>IF(R197&gt;0,(K197/R197-District!$B$5)*100,"")</f>
        <v>-19.90127833</v>
      </c>
      <c r="W197" s="10">
        <f>IF(S197&gt;0,(M197/S197-District!$B$6)*100,"")</f>
        <v>-18.73602242</v>
      </c>
      <c r="X197" s="10">
        <f>IF(T197&gt;0,(O197/T197-District!$B$7)*100,"")</f>
        <v>-18.14158343</v>
      </c>
      <c r="Y197" s="28">
        <f t="shared" si="5"/>
        <v>21.09119168</v>
      </c>
      <c r="Z197" s="5">
        <f t="shared" si="6"/>
        <v>236</v>
      </c>
      <c r="AA197" s="28">
        <f t="shared" si="7"/>
        <v>19.90127774</v>
      </c>
      <c r="AB197" s="5">
        <f t="shared" si="8"/>
        <v>212</v>
      </c>
      <c r="AC197" s="28">
        <f t="shared" si="9"/>
        <v>18.73602164</v>
      </c>
      <c r="AD197" s="5">
        <f t="shared" si="10"/>
        <v>227</v>
      </c>
    </row>
    <row r="198" ht="15.75" customHeight="1">
      <c r="A198" s="5" t="s">
        <v>807</v>
      </c>
      <c r="B198" s="5" t="s">
        <v>234</v>
      </c>
      <c r="C198" s="5" t="s">
        <v>418</v>
      </c>
      <c r="D198" s="5">
        <v>1320.0</v>
      </c>
      <c r="E198" s="5" t="s">
        <v>122</v>
      </c>
      <c r="F198" s="5" t="s">
        <v>420</v>
      </c>
      <c r="G198" s="5" t="s">
        <v>420</v>
      </c>
      <c r="H198" s="5" t="s">
        <v>420</v>
      </c>
      <c r="I198" s="11">
        <v>590.0</v>
      </c>
      <c r="J198" s="11">
        <v>1006.0</v>
      </c>
      <c r="K198" s="11">
        <v>804.0</v>
      </c>
      <c r="L198" s="11">
        <v>1644.0</v>
      </c>
      <c r="M198" s="11">
        <v>697.0</v>
      </c>
      <c r="N198" s="11">
        <v>1216.0</v>
      </c>
      <c r="O198" s="11">
        <v>841.0</v>
      </c>
      <c r="P198" s="11">
        <v>1653.0</v>
      </c>
      <c r="Q198" s="11">
        <f t="shared" si="1"/>
        <v>1596</v>
      </c>
      <c r="R198" s="11">
        <f t="shared" si="2"/>
        <v>2448</v>
      </c>
      <c r="S198" s="11">
        <f t="shared" si="3"/>
        <v>1913</v>
      </c>
      <c r="T198" s="11">
        <f t="shared" si="4"/>
        <v>2494</v>
      </c>
      <c r="U198" s="10">
        <f>IF(Q198&gt;0,(I198/Q198-District!$B$4)*100,"")</f>
        <v>-16.44481508</v>
      </c>
      <c r="V198" s="10">
        <f>IF(R198&gt;0,(K198/R198-District!$B$5)*100,"")</f>
        <v>-16.90683433</v>
      </c>
      <c r="W198" s="10">
        <f>IF(S198&gt;0,(M198/S198-District!$B$6)*100,"")</f>
        <v>-14.54810173</v>
      </c>
      <c r="X198" s="10">
        <f>IF(T198&gt;0,(O198/T198-District!$B$7)*100,"")</f>
        <v>-15.77549191</v>
      </c>
      <c r="Y198" s="28">
        <f t="shared" si="5"/>
        <v>16.90683188</v>
      </c>
      <c r="Z198" s="5">
        <f t="shared" si="6"/>
        <v>199</v>
      </c>
      <c r="AA198" s="28">
        <f t="shared" si="7"/>
        <v>16.90683242</v>
      </c>
      <c r="AB198" s="5">
        <f t="shared" si="8"/>
        <v>187</v>
      </c>
      <c r="AC198" s="28">
        <f t="shared" si="9"/>
        <v>15.77548942</v>
      </c>
      <c r="AD198" s="5">
        <f t="shared" si="10"/>
        <v>198</v>
      </c>
    </row>
    <row r="199" ht="15.75" customHeight="1">
      <c r="A199" s="5" t="s">
        <v>808</v>
      </c>
      <c r="B199" s="5" t="s">
        <v>234</v>
      </c>
      <c r="C199" s="5" t="s">
        <v>418</v>
      </c>
      <c r="D199" s="5">
        <v>1330.0</v>
      </c>
      <c r="E199" s="5" t="s">
        <v>122</v>
      </c>
      <c r="F199" s="5" t="s">
        <v>421</v>
      </c>
      <c r="G199" s="5" t="s">
        <v>421</v>
      </c>
      <c r="H199" s="5" t="s">
        <v>421</v>
      </c>
      <c r="I199" s="11">
        <v>136.0</v>
      </c>
      <c r="J199" s="11">
        <v>274.0</v>
      </c>
      <c r="K199" s="11">
        <v>210.0</v>
      </c>
      <c r="L199" s="11">
        <v>424.0</v>
      </c>
      <c r="M199" s="11">
        <v>169.0</v>
      </c>
      <c r="N199" s="11">
        <v>341.0</v>
      </c>
      <c r="O199" s="11">
        <v>182.0</v>
      </c>
      <c r="P199" s="11">
        <v>484.0</v>
      </c>
      <c r="Q199" s="11">
        <f t="shared" si="1"/>
        <v>410</v>
      </c>
      <c r="R199" s="11">
        <f t="shared" si="2"/>
        <v>634</v>
      </c>
      <c r="S199" s="11">
        <f t="shared" si="3"/>
        <v>510</v>
      </c>
      <c r="T199" s="11">
        <f t="shared" si="4"/>
        <v>666</v>
      </c>
      <c r="U199" s="10">
        <f>IF(Q199&gt;0,(I199/Q199-District!$B$4)*100,"")</f>
        <v>-20.24150192</v>
      </c>
      <c r="V199" s="10">
        <f>IF(R199&gt;0,(K199/R199-District!$B$5)*100,"")</f>
        <v>-16.6269432</v>
      </c>
      <c r="W199" s="10">
        <f>IF(S199&gt;0,(M199/S199-District!$B$6)*100,"")</f>
        <v>-17.8457658</v>
      </c>
      <c r="X199" s="10">
        <f>IF(T199&gt;0,(O199/T199-District!$B$7)*100,"")</f>
        <v>-22.16909482</v>
      </c>
      <c r="Y199" s="28">
        <f t="shared" si="5"/>
        <v>20.24150128</v>
      </c>
      <c r="Z199" s="5">
        <f t="shared" si="6"/>
        <v>229</v>
      </c>
      <c r="AA199" s="28">
        <f t="shared" si="7"/>
        <v>17.84576529</v>
      </c>
      <c r="AB199" s="5">
        <f t="shared" si="8"/>
        <v>193</v>
      </c>
      <c r="AC199" s="28">
        <f t="shared" si="9"/>
        <v>22.16909415</v>
      </c>
      <c r="AD199" s="5">
        <f t="shared" si="10"/>
        <v>257</v>
      </c>
    </row>
    <row r="200" ht="15.75" customHeight="1">
      <c r="A200" s="5" t="s">
        <v>809</v>
      </c>
      <c r="B200" s="5" t="s">
        <v>234</v>
      </c>
      <c r="C200" s="5" t="s">
        <v>422</v>
      </c>
      <c r="D200" s="5">
        <v>1340.0</v>
      </c>
      <c r="E200" s="5" t="s">
        <v>122</v>
      </c>
      <c r="F200" s="5" t="s">
        <v>422</v>
      </c>
      <c r="G200" s="5" t="s">
        <v>422</v>
      </c>
      <c r="H200" s="5" t="s">
        <v>422</v>
      </c>
      <c r="I200" s="11">
        <v>822.0</v>
      </c>
      <c r="J200" s="11">
        <v>1519.0</v>
      </c>
      <c r="K200" s="11">
        <v>1073.0</v>
      </c>
      <c r="L200" s="11">
        <v>2156.0</v>
      </c>
      <c r="M200" s="11">
        <v>981.0</v>
      </c>
      <c r="N200" s="11">
        <v>1711.0</v>
      </c>
      <c r="O200" s="11">
        <v>1172.0</v>
      </c>
      <c r="P200" s="11">
        <v>2201.0</v>
      </c>
      <c r="Q200" s="11">
        <f t="shared" si="1"/>
        <v>2341</v>
      </c>
      <c r="R200" s="11">
        <f t="shared" si="2"/>
        <v>3229</v>
      </c>
      <c r="S200" s="11">
        <f t="shared" si="3"/>
        <v>2692</v>
      </c>
      <c r="T200" s="11">
        <f t="shared" si="4"/>
        <v>3373</v>
      </c>
      <c r="U200" s="10">
        <f>IF(Q200&gt;0,(I200/Q200-District!$B$4)*100,"")</f>
        <v>-18.29903414</v>
      </c>
      <c r="V200" s="10">
        <f>IF(R200&gt;0,(K200/R200-District!$B$5)*100,"")</f>
        <v>-16.51986939</v>
      </c>
      <c r="W200" s="10">
        <f>IF(S200&gt;0,(M200/S200-District!$B$6)*100,"")</f>
        <v>-14.54171313</v>
      </c>
      <c r="X200" s="10">
        <f>IF(T200&gt;0,(O200/T200-District!$B$7)*100,"")</f>
        <v>-14.74990569</v>
      </c>
      <c r="Y200" s="28">
        <f t="shared" si="5"/>
        <v>18.29903091</v>
      </c>
      <c r="Z200" s="5">
        <f t="shared" si="6"/>
        <v>210</v>
      </c>
      <c r="AA200" s="28">
        <f t="shared" si="7"/>
        <v>16.5198667</v>
      </c>
      <c r="AB200" s="5">
        <f t="shared" si="8"/>
        <v>183</v>
      </c>
      <c r="AC200" s="28">
        <f t="shared" si="9"/>
        <v>14.74990232</v>
      </c>
      <c r="AD200" s="5">
        <f t="shared" si="10"/>
        <v>191</v>
      </c>
    </row>
    <row r="201" ht="15.75" customHeight="1">
      <c r="A201" s="5" t="s">
        <v>810</v>
      </c>
      <c r="B201" s="5" t="s">
        <v>234</v>
      </c>
      <c r="C201" s="5" t="s">
        <v>423</v>
      </c>
      <c r="D201" s="5">
        <v>1350.0</v>
      </c>
      <c r="E201" s="5" t="s">
        <v>122</v>
      </c>
      <c r="F201" s="5" t="s">
        <v>427</v>
      </c>
      <c r="G201" s="5" t="s">
        <v>427</v>
      </c>
      <c r="H201" s="5" t="s">
        <v>427</v>
      </c>
      <c r="I201" s="11">
        <v>626.0</v>
      </c>
      <c r="J201" s="11">
        <v>318.0</v>
      </c>
      <c r="K201" s="11">
        <v>918.0</v>
      </c>
      <c r="L201" s="11">
        <v>541.0</v>
      </c>
      <c r="M201" s="11">
        <v>613.0</v>
      </c>
      <c r="N201" s="11">
        <v>381.0</v>
      </c>
      <c r="O201" s="11">
        <v>871.0</v>
      </c>
      <c r="P201" s="11">
        <v>616.0</v>
      </c>
      <c r="Q201" s="11">
        <f t="shared" si="1"/>
        <v>944</v>
      </c>
      <c r="R201" s="11">
        <f t="shared" si="2"/>
        <v>1459</v>
      </c>
      <c r="S201" s="11">
        <f t="shared" si="3"/>
        <v>994</v>
      </c>
      <c r="T201" s="11">
        <f t="shared" si="4"/>
        <v>1487</v>
      </c>
      <c r="U201" s="10">
        <f>IF(Q201&gt;0,(I201/Q201-District!$B$4)*100,"")</f>
        <v>12.9013257</v>
      </c>
      <c r="V201" s="10">
        <f>IF(R201&gt;0,(K201/R201-District!$B$5)*100,"")</f>
        <v>13.1698365</v>
      </c>
      <c r="W201" s="10">
        <f>IF(S201&gt;0,(M201/S201-District!$B$6)*100,"")</f>
        <v>10.68699942</v>
      </c>
      <c r="X201" s="10">
        <f>IF(T201&gt;0,(O201/T201-District!$B$7)*100,"")</f>
        <v>9.07788855</v>
      </c>
      <c r="Y201" s="28">
        <f t="shared" si="5"/>
        <v>13.16983504</v>
      </c>
      <c r="Z201" s="5">
        <f t="shared" si="6"/>
        <v>160</v>
      </c>
      <c r="AA201" s="28">
        <f t="shared" si="7"/>
        <v>13.16983551</v>
      </c>
      <c r="AB201" s="5">
        <f t="shared" si="8"/>
        <v>154</v>
      </c>
      <c r="AC201" s="28">
        <f t="shared" si="9"/>
        <v>10.68699793</v>
      </c>
      <c r="AD201" s="5">
        <f t="shared" si="10"/>
        <v>141</v>
      </c>
    </row>
    <row r="202" ht="15.75" customHeight="1">
      <c r="A202" s="5" t="s">
        <v>811</v>
      </c>
      <c r="B202" s="5" t="s">
        <v>234</v>
      </c>
      <c r="C202" s="5" t="s">
        <v>423</v>
      </c>
      <c r="D202" s="5">
        <v>1360.0</v>
      </c>
      <c r="E202" s="5" t="s">
        <v>122</v>
      </c>
      <c r="F202" s="5" t="s">
        <v>429</v>
      </c>
      <c r="G202" s="5" t="s">
        <v>429</v>
      </c>
      <c r="H202" s="5" t="s">
        <v>429</v>
      </c>
      <c r="I202" s="11">
        <v>234.0</v>
      </c>
      <c r="J202" s="11">
        <v>159.0</v>
      </c>
      <c r="K202" s="11">
        <v>308.0</v>
      </c>
      <c r="L202" s="11">
        <v>263.0</v>
      </c>
      <c r="M202" s="11">
        <v>219.0</v>
      </c>
      <c r="N202" s="11">
        <v>164.0</v>
      </c>
      <c r="O202" s="11">
        <v>305.0</v>
      </c>
      <c r="P202" s="11">
        <v>262.0</v>
      </c>
      <c r="Q202" s="11">
        <f t="shared" si="1"/>
        <v>393</v>
      </c>
      <c r="R202" s="11">
        <f t="shared" si="2"/>
        <v>571</v>
      </c>
      <c r="S202" s="11">
        <f t="shared" si="3"/>
        <v>383</v>
      </c>
      <c r="T202" s="11">
        <f t="shared" si="4"/>
        <v>567</v>
      </c>
      <c r="U202" s="10">
        <f>IF(Q202&gt;0,(I202/Q202-District!$B$4)*100,"")</f>
        <v>6.129751107</v>
      </c>
      <c r="V202" s="10">
        <f>IF(R202&gt;0,(K202/R202-District!$B$5)*100,"")</f>
        <v>4.190483754</v>
      </c>
      <c r="W202" s="10">
        <f>IF(S202&gt;0,(M202/S202-District!$B$6)*100,"")</f>
        <v>6.197135953</v>
      </c>
      <c r="X202" s="10">
        <f>IF(T202&gt;0,(O202/T202-District!$B$7)*100,"")</f>
        <v>4.295464983</v>
      </c>
      <c r="Y202" s="28">
        <f t="shared" si="5"/>
        <v>6.129750536</v>
      </c>
      <c r="Z202" s="5">
        <f t="shared" si="6"/>
        <v>87</v>
      </c>
      <c r="AA202" s="28">
        <f t="shared" si="7"/>
        <v>6.19713557</v>
      </c>
      <c r="AB202" s="5">
        <f t="shared" si="8"/>
        <v>86</v>
      </c>
      <c r="AC202" s="28">
        <f t="shared" si="9"/>
        <v>6.197135386</v>
      </c>
      <c r="AD202" s="5">
        <f t="shared" si="10"/>
        <v>95</v>
      </c>
    </row>
    <row r="203" ht="15.75" customHeight="1">
      <c r="A203" s="5" t="s">
        <v>812</v>
      </c>
      <c r="B203" s="5" t="s">
        <v>234</v>
      </c>
      <c r="C203" s="5" t="s">
        <v>423</v>
      </c>
      <c r="D203" s="5">
        <v>1370.0</v>
      </c>
      <c r="E203" s="5" t="s">
        <v>122</v>
      </c>
      <c r="F203" s="5" t="s">
        <v>430</v>
      </c>
      <c r="G203" s="5" t="s">
        <v>430</v>
      </c>
      <c r="H203" s="5" t="s">
        <v>430</v>
      </c>
      <c r="I203" s="11">
        <v>359.0</v>
      </c>
      <c r="J203" s="11">
        <v>144.0</v>
      </c>
      <c r="K203" s="11">
        <v>601.0</v>
      </c>
      <c r="L203" s="11">
        <v>269.0</v>
      </c>
      <c r="M203" s="11">
        <v>356.0</v>
      </c>
      <c r="N203" s="11">
        <v>169.0</v>
      </c>
      <c r="O203" s="11">
        <v>535.0</v>
      </c>
      <c r="P203" s="11">
        <v>364.0</v>
      </c>
      <c r="Q203" s="11">
        <f t="shared" si="1"/>
        <v>503</v>
      </c>
      <c r="R203" s="11">
        <f t="shared" si="2"/>
        <v>870</v>
      </c>
      <c r="S203" s="11">
        <f t="shared" si="3"/>
        <v>525</v>
      </c>
      <c r="T203" s="11">
        <f t="shared" si="4"/>
        <v>899</v>
      </c>
      <c r="U203" s="10">
        <f>IF(Q203&gt;0,(I203/Q203-District!$B$4)*100,"")</f>
        <v>17.95953576</v>
      </c>
      <c r="V203" s="10">
        <f>IF(R203&gt;0,(K203/R203-District!$B$5)*100,"")</f>
        <v>19.33048818</v>
      </c>
      <c r="W203" s="10">
        <f>IF(S203&gt;0,(M203/S203-District!$B$6)*100,"")</f>
        <v>16.8265031</v>
      </c>
      <c r="X203" s="10">
        <f>IF(T203&gt;0,(O203/T203-District!$B$7)*100,"")</f>
        <v>10.01414515</v>
      </c>
      <c r="Y203" s="28">
        <f t="shared" si="5"/>
        <v>19.33048731</v>
      </c>
      <c r="Z203" s="5">
        <f t="shared" si="6"/>
        <v>219</v>
      </c>
      <c r="AA203" s="28">
        <f t="shared" si="7"/>
        <v>19.33048766</v>
      </c>
      <c r="AB203" s="5">
        <f t="shared" si="8"/>
        <v>209</v>
      </c>
      <c r="AC203" s="28">
        <f t="shared" si="9"/>
        <v>16.82650221</v>
      </c>
      <c r="AD203" s="5">
        <f t="shared" si="10"/>
        <v>213</v>
      </c>
    </row>
    <row r="204" ht="15.75" customHeight="1">
      <c r="A204" s="5" t="s">
        <v>813</v>
      </c>
      <c r="B204" s="5" t="s">
        <v>234</v>
      </c>
      <c r="C204" s="5" t="s">
        <v>423</v>
      </c>
      <c r="D204" s="5">
        <v>1380.0</v>
      </c>
      <c r="E204" s="5" t="s">
        <v>122</v>
      </c>
      <c r="F204" s="5" t="s">
        <v>431</v>
      </c>
      <c r="G204" s="5" t="s">
        <v>431</v>
      </c>
      <c r="H204" s="5" t="s">
        <v>431</v>
      </c>
      <c r="I204" s="11">
        <v>362.0</v>
      </c>
      <c r="J204" s="11">
        <v>257.0</v>
      </c>
      <c r="K204" s="11">
        <v>510.0</v>
      </c>
      <c r="L204" s="11">
        <v>445.0</v>
      </c>
      <c r="M204" s="11">
        <v>392.0</v>
      </c>
      <c r="N204" s="11">
        <v>296.0</v>
      </c>
      <c r="O204" s="11">
        <v>564.0</v>
      </c>
      <c r="P204" s="11">
        <v>451.0</v>
      </c>
      <c r="Q204" s="11">
        <f t="shared" si="1"/>
        <v>619</v>
      </c>
      <c r="R204" s="11">
        <f t="shared" si="2"/>
        <v>955</v>
      </c>
      <c r="S204" s="11">
        <f t="shared" si="3"/>
        <v>688</v>
      </c>
      <c r="T204" s="11">
        <f t="shared" si="4"/>
        <v>1015</v>
      </c>
      <c r="U204" s="10">
        <f>IF(Q204&gt;0,(I204/Q204-District!$B$4)*100,"")</f>
        <v>5.069188022</v>
      </c>
      <c r="V204" s="10">
        <f>IF(R204&gt;0,(K204/R204-District!$B$5)*100,"")</f>
        <v>3.653169774</v>
      </c>
      <c r="W204" s="10">
        <f>IF(S204&gt;0,(M204/S204-District!$B$6)*100,"")</f>
        <v>5.993723481</v>
      </c>
      <c r="X204" s="10">
        <f>IF(T204&gt;0,(O204/T204-District!$B$7)*100,"")</f>
        <v>6.070080321</v>
      </c>
      <c r="Y204" s="28">
        <f t="shared" si="5"/>
        <v>5.069187067</v>
      </c>
      <c r="Z204" s="5">
        <f t="shared" si="6"/>
        <v>72</v>
      </c>
      <c r="AA204" s="28">
        <f t="shared" si="7"/>
        <v>5.993722793</v>
      </c>
      <c r="AB204" s="5">
        <f t="shared" si="8"/>
        <v>84</v>
      </c>
      <c r="AC204" s="28">
        <f t="shared" si="9"/>
        <v>6.070079306</v>
      </c>
      <c r="AD204" s="5">
        <f t="shared" si="10"/>
        <v>93</v>
      </c>
    </row>
    <row r="205" ht="15.75" customHeight="1">
      <c r="A205" s="5" t="s">
        <v>814</v>
      </c>
      <c r="B205" s="5" t="s">
        <v>234</v>
      </c>
      <c r="C205" s="5" t="s">
        <v>423</v>
      </c>
      <c r="D205" s="5">
        <v>1390.0</v>
      </c>
      <c r="E205" s="5" t="s">
        <v>122</v>
      </c>
      <c r="F205" s="5" t="s">
        <v>432</v>
      </c>
      <c r="G205" s="5" t="s">
        <v>432</v>
      </c>
      <c r="H205" s="5" t="s">
        <v>432</v>
      </c>
      <c r="I205" s="11">
        <v>222.0</v>
      </c>
      <c r="J205" s="11">
        <v>172.0</v>
      </c>
      <c r="K205" s="11">
        <v>275.0</v>
      </c>
      <c r="L205" s="11">
        <v>301.0</v>
      </c>
      <c r="M205" s="11">
        <v>212.0</v>
      </c>
      <c r="N205" s="11">
        <v>217.0</v>
      </c>
      <c r="O205" s="11">
        <v>279.0</v>
      </c>
      <c r="P205" s="11">
        <v>318.0</v>
      </c>
      <c r="Q205" s="11">
        <f t="shared" si="1"/>
        <v>394</v>
      </c>
      <c r="R205" s="11">
        <f t="shared" si="2"/>
        <v>576</v>
      </c>
      <c r="S205" s="11">
        <f t="shared" si="3"/>
        <v>429</v>
      </c>
      <c r="T205" s="11">
        <f t="shared" si="4"/>
        <v>597</v>
      </c>
      <c r="U205" s="10">
        <f>IF(Q205&gt;0,(I205/Q205-District!$B$4)*100,"")</f>
        <v>2.93294404</v>
      </c>
      <c r="V205" s="10">
        <f>IF(R205&gt;0,(K205/R205-District!$B$5)*100,"")</f>
        <v>-2.006916032</v>
      </c>
      <c r="W205" s="10">
        <f>IF(S205&gt;0,(M205/S205-District!$B$6)*100,"")</f>
        <v>-1.565771287</v>
      </c>
      <c r="X205" s="10">
        <f>IF(T205&gt;0,(O205/T205-District!$B$7)*100,"")</f>
        <v>-2.762753801</v>
      </c>
      <c r="Y205" s="28">
        <f t="shared" si="5"/>
        <v>2.932943464</v>
      </c>
      <c r="Z205" s="5">
        <f t="shared" si="6"/>
        <v>40</v>
      </c>
      <c r="AA205" s="28">
        <f t="shared" si="7"/>
        <v>2.006915603</v>
      </c>
      <c r="AB205" s="5">
        <f t="shared" si="8"/>
        <v>24</v>
      </c>
      <c r="AC205" s="28">
        <f t="shared" si="9"/>
        <v>2.762753204</v>
      </c>
      <c r="AD205" s="5">
        <f t="shared" si="10"/>
        <v>47</v>
      </c>
    </row>
    <row r="206" ht="15.75" customHeight="1">
      <c r="A206" s="5" t="s">
        <v>815</v>
      </c>
      <c r="B206" s="5" t="s">
        <v>234</v>
      </c>
      <c r="C206" s="5" t="s">
        <v>423</v>
      </c>
      <c r="D206" s="5">
        <v>1400.0</v>
      </c>
      <c r="E206" s="5" t="s">
        <v>122</v>
      </c>
      <c r="F206" s="5" t="s">
        <v>433</v>
      </c>
      <c r="G206" s="5" t="s">
        <v>433</v>
      </c>
      <c r="H206" s="5" t="s">
        <v>433</v>
      </c>
      <c r="I206" s="11">
        <v>364.0</v>
      </c>
      <c r="J206" s="11">
        <v>269.0</v>
      </c>
      <c r="K206" s="11">
        <v>586.0</v>
      </c>
      <c r="L206" s="11">
        <v>475.0</v>
      </c>
      <c r="M206" s="11">
        <v>399.0</v>
      </c>
      <c r="N206" s="11">
        <v>329.0</v>
      </c>
      <c r="O206" s="11">
        <v>571.0</v>
      </c>
      <c r="P206" s="11">
        <v>544.0</v>
      </c>
      <c r="Q206" s="11">
        <f t="shared" si="1"/>
        <v>633</v>
      </c>
      <c r="R206" s="11">
        <f t="shared" si="2"/>
        <v>1061</v>
      </c>
      <c r="S206" s="11">
        <f t="shared" si="3"/>
        <v>728</v>
      </c>
      <c r="T206" s="11">
        <f t="shared" si="4"/>
        <v>1115</v>
      </c>
      <c r="U206" s="10">
        <f>IF(Q206&gt;0,(I206/Q206-District!$B$4)*100,"")</f>
        <v>4.091715822</v>
      </c>
      <c r="V206" s="10">
        <f>IF(R206&gt;0,(K206/R206-District!$B$5)*100,"")</f>
        <v>5.480942644</v>
      </c>
      <c r="W206" s="10">
        <f>IF(S206&gt;0,(M206/S206-District!$B$6)*100,"")</f>
        <v>3.824671603</v>
      </c>
      <c r="X206" s="10">
        <f>IF(T206&gt;0,(O206/T206-District!$B$7)*100,"")</f>
        <v>1.714340189</v>
      </c>
      <c r="Y206" s="28">
        <f t="shared" si="5"/>
        <v>5.480941583</v>
      </c>
      <c r="Z206" s="5">
        <f t="shared" si="6"/>
        <v>77</v>
      </c>
      <c r="AA206" s="28">
        <f t="shared" si="7"/>
        <v>5.480941916</v>
      </c>
      <c r="AB206" s="5">
        <f t="shared" si="8"/>
        <v>79</v>
      </c>
      <c r="AC206" s="28">
        <f t="shared" si="9"/>
        <v>3.824670488</v>
      </c>
      <c r="AD206" s="5">
        <f t="shared" si="10"/>
        <v>67</v>
      </c>
    </row>
    <row r="207" ht="15.75" customHeight="1">
      <c r="A207" s="5" t="s">
        <v>816</v>
      </c>
      <c r="B207" s="5" t="s">
        <v>234</v>
      </c>
      <c r="C207" s="5" t="s">
        <v>423</v>
      </c>
      <c r="D207" s="5">
        <v>1410.0</v>
      </c>
      <c r="E207" s="5" t="s">
        <v>122</v>
      </c>
      <c r="F207" s="5" t="s">
        <v>434</v>
      </c>
      <c r="G207" s="5" t="s">
        <v>434</v>
      </c>
      <c r="H207" s="5" t="s">
        <v>434</v>
      </c>
      <c r="I207" s="11">
        <v>605.0</v>
      </c>
      <c r="J207" s="11">
        <v>619.0</v>
      </c>
      <c r="K207" s="11">
        <v>819.0</v>
      </c>
      <c r="L207" s="11">
        <v>946.0</v>
      </c>
      <c r="M207" s="11">
        <v>664.0</v>
      </c>
      <c r="N207" s="11">
        <v>709.0</v>
      </c>
      <c r="O207" s="11">
        <v>829.0</v>
      </c>
      <c r="P207" s="11">
        <v>968.0</v>
      </c>
      <c r="Q207" s="11">
        <f t="shared" si="1"/>
        <v>1224</v>
      </c>
      <c r="R207" s="11">
        <f t="shared" si="2"/>
        <v>1765</v>
      </c>
      <c r="S207" s="11">
        <f t="shared" si="3"/>
        <v>1373</v>
      </c>
      <c r="T207" s="11">
        <f t="shared" si="4"/>
        <v>1797</v>
      </c>
      <c r="U207" s="10">
        <f>IF(Q207&gt;0,(I207/Q207-District!$B$4)*100,"")</f>
        <v>-3.98412905</v>
      </c>
      <c r="V207" s="10">
        <f>IF(R207&gt;0,(K207/R207-District!$B$5)*100,"")</f>
        <v>-3.347705299</v>
      </c>
      <c r="W207" s="10">
        <f>IF(S207&gt;0,(M207/S207-District!$B$6)*100,"")</f>
        <v>-2.621767973</v>
      </c>
      <c r="X207" s="10">
        <f>IF(T207&gt;0,(O207/T207-District!$B$7)*100,"")</f>
        <v>-3.363979182</v>
      </c>
      <c r="Y207" s="28">
        <f t="shared" si="5"/>
        <v>3.984127285</v>
      </c>
      <c r="Z207" s="5">
        <f t="shared" si="6"/>
        <v>55</v>
      </c>
      <c r="AA207" s="28">
        <f t="shared" si="7"/>
        <v>3.347703926</v>
      </c>
      <c r="AB207" s="5">
        <f t="shared" si="8"/>
        <v>51</v>
      </c>
      <c r="AC207" s="28">
        <f t="shared" si="9"/>
        <v>3.363977385</v>
      </c>
      <c r="AD207" s="5">
        <f t="shared" si="10"/>
        <v>57</v>
      </c>
    </row>
    <row r="208" ht="15.75" customHeight="1">
      <c r="A208" s="5" t="s">
        <v>817</v>
      </c>
      <c r="B208" s="5" t="s">
        <v>234</v>
      </c>
      <c r="C208" s="5" t="s">
        <v>423</v>
      </c>
      <c r="D208" s="5">
        <v>1420.0</v>
      </c>
      <c r="E208" s="5" t="s">
        <v>122</v>
      </c>
      <c r="F208" s="5" t="s">
        <v>435</v>
      </c>
      <c r="G208" s="5" t="s">
        <v>435</v>
      </c>
      <c r="H208" s="5" t="s">
        <v>435</v>
      </c>
      <c r="I208" s="11">
        <v>491.0</v>
      </c>
      <c r="J208" s="11">
        <v>458.0</v>
      </c>
      <c r="K208" s="11">
        <v>664.0</v>
      </c>
      <c r="L208" s="11">
        <v>763.0</v>
      </c>
      <c r="M208" s="11">
        <v>577.0</v>
      </c>
      <c r="N208" s="11">
        <v>567.0</v>
      </c>
      <c r="O208" s="11">
        <v>698.0</v>
      </c>
      <c r="P208" s="11">
        <v>748.0</v>
      </c>
      <c r="Q208" s="11">
        <f t="shared" si="1"/>
        <v>949</v>
      </c>
      <c r="R208" s="11">
        <f t="shared" si="2"/>
        <v>1427</v>
      </c>
      <c r="S208" s="11">
        <f t="shared" si="3"/>
        <v>1144</v>
      </c>
      <c r="T208" s="11">
        <f t="shared" si="4"/>
        <v>1446</v>
      </c>
      <c r="U208" s="10">
        <f>IF(Q208&gt;0,(I208/Q208-District!$B$4)*100,"")</f>
        <v>-1.673561339</v>
      </c>
      <c r="V208" s="10">
        <f>IF(R208&gt;0,(K208/R208-District!$B$5)*100,"")</f>
        <v>-3.218787285</v>
      </c>
      <c r="W208" s="10">
        <f>IF(S208&gt;0,(M208/S208-District!$B$6)*100,"")</f>
        <v>-0.5459577675</v>
      </c>
      <c r="X208" s="10">
        <f>IF(T208&gt;0,(O208/T208-District!$B$7)*100,"")</f>
        <v>-1.225329473</v>
      </c>
      <c r="Y208" s="28">
        <f t="shared" si="5"/>
        <v>3.218785858</v>
      </c>
      <c r="Z208" s="5">
        <f t="shared" si="6"/>
        <v>47</v>
      </c>
      <c r="AA208" s="28">
        <f t="shared" si="7"/>
        <v>3.218786141</v>
      </c>
      <c r="AB208" s="5">
        <f t="shared" si="8"/>
        <v>50</v>
      </c>
      <c r="AC208" s="28">
        <f t="shared" si="9"/>
        <v>1.225328027</v>
      </c>
      <c r="AD208" s="5">
        <f t="shared" si="10"/>
        <v>13</v>
      </c>
    </row>
    <row r="209" ht="15.75" customHeight="1">
      <c r="A209" s="5" t="s">
        <v>818</v>
      </c>
      <c r="B209" s="5" t="s">
        <v>234</v>
      </c>
      <c r="C209" s="5" t="s">
        <v>423</v>
      </c>
      <c r="D209" s="5">
        <v>1430.0</v>
      </c>
      <c r="E209" s="5" t="s">
        <v>122</v>
      </c>
      <c r="F209" s="5" t="s">
        <v>436</v>
      </c>
      <c r="G209" s="5" t="s">
        <v>436</v>
      </c>
      <c r="H209" s="5" t="s">
        <v>436</v>
      </c>
      <c r="I209" s="11">
        <v>463.0</v>
      </c>
      <c r="J209" s="11">
        <v>368.0</v>
      </c>
      <c r="K209" s="11">
        <v>621.0</v>
      </c>
      <c r="L209" s="11">
        <v>568.0</v>
      </c>
      <c r="M209" s="11">
        <v>470.0</v>
      </c>
      <c r="N209" s="11">
        <v>394.0</v>
      </c>
      <c r="O209" s="11">
        <v>582.0</v>
      </c>
      <c r="P209" s="11">
        <v>562.0</v>
      </c>
      <c r="Q209" s="11">
        <f t="shared" si="1"/>
        <v>831</v>
      </c>
      <c r="R209" s="11">
        <f t="shared" si="2"/>
        <v>1189</v>
      </c>
      <c r="S209" s="11">
        <f t="shared" si="3"/>
        <v>864</v>
      </c>
      <c r="T209" s="11">
        <f t="shared" si="4"/>
        <v>1144</v>
      </c>
      <c r="U209" s="10">
        <f>IF(Q209&gt;0,(I209/Q209-District!$B$4)*100,"")</f>
        <v>2.303771188</v>
      </c>
      <c r="V209" s="10">
        <f>IF(R209&gt;0,(K209/R209-District!$B$5)*100,"")</f>
        <v>2.478792079</v>
      </c>
      <c r="W209" s="10">
        <f>IF(S209&gt;0,(M209/S209-District!$B$6)*100,"")</f>
        <v>3.415127444</v>
      </c>
      <c r="X209" s="10">
        <f>IF(T209&gt;0,(O209/T209-District!$B$7)*100,"")</f>
        <v>1.377703732</v>
      </c>
      <c r="Y209" s="28">
        <f t="shared" si="5"/>
        <v>2.47879089</v>
      </c>
      <c r="Z209" s="5">
        <f t="shared" si="6"/>
        <v>28</v>
      </c>
      <c r="AA209" s="28">
        <f t="shared" si="7"/>
        <v>3.41512658</v>
      </c>
      <c r="AB209" s="5">
        <f t="shared" si="8"/>
        <v>54</v>
      </c>
      <c r="AC209" s="28">
        <f t="shared" si="9"/>
        <v>3.4151263</v>
      </c>
      <c r="AD209" s="5">
        <f t="shared" si="10"/>
        <v>59</v>
      </c>
    </row>
    <row r="210" ht="15.75" customHeight="1">
      <c r="A210" s="5" t="s">
        <v>819</v>
      </c>
      <c r="B210" s="5" t="s">
        <v>234</v>
      </c>
      <c r="C210" s="5" t="s">
        <v>423</v>
      </c>
      <c r="D210" s="5">
        <v>1440.0</v>
      </c>
      <c r="E210" s="5" t="s">
        <v>122</v>
      </c>
      <c r="F210" s="5" t="s">
        <v>424</v>
      </c>
      <c r="G210" s="5" t="s">
        <v>424</v>
      </c>
      <c r="H210" s="5" t="s">
        <v>424</v>
      </c>
      <c r="I210" s="11">
        <v>519.0</v>
      </c>
      <c r="J210" s="11">
        <v>590.0</v>
      </c>
      <c r="K210" s="11">
        <v>708.0</v>
      </c>
      <c r="L210" s="11">
        <v>922.0</v>
      </c>
      <c r="M210" s="11">
        <v>616.0</v>
      </c>
      <c r="N210" s="11">
        <v>685.0</v>
      </c>
      <c r="O210" s="11">
        <v>811.0</v>
      </c>
      <c r="P210" s="11">
        <v>918.0</v>
      </c>
      <c r="Q210" s="11">
        <f t="shared" si="1"/>
        <v>1109</v>
      </c>
      <c r="R210" s="11">
        <f t="shared" si="2"/>
        <v>1630</v>
      </c>
      <c r="S210" s="11">
        <f t="shared" si="3"/>
        <v>1301</v>
      </c>
      <c r="T210" s="11">
        <f t="shared" si="4"/>
        <v>1729</v>
      </c>
      <c r="U210" s="10">
        <f>IF(Q210&gt;0,(I210/Q210-District!$B$4)*100,"")</f>
        <v>-6.613315681</v>
      </c>
      <c r="V210" s="10">
        <f>IF(R210&gt;0,(K210/R210-District!$B$5)*100,"")</f>
        <v>-6.314388766</v>
      </c>
      <c r="W210" s="10">
        <f>IF(S210&gt;0,(M210/S210-District!$B$6)*100,"")</f>
        <v>-3.634827007</v>
      </c>
      <c r="X210" s="10">
        <f>IF(T210&gt;0,(O210/T210-District!$B$7)*100,"")</f>
        <v>-2.590696289</v>
      </c>
      <c r="Y210" s="28">
        <f t="shared" si="5"/>
        <v>6.613314051</v>
      </c>
      <c r="Z210" s="5">
        <f t="shared" si="6"/>
        <v>95</v>
      </c>
      <c r="AA210" s="28">
        <f t="shared" si="7"/>
        <v>6.314387465</v>
      </c>
      <c r="AB210" s="5">
        <f t="shared" si="8"/>
        <v>89</v>
      </c>
      <c r="AC210" s="28">
        <f t="shared" si="9"/>
        <v>3.634825278</v>
      </c>
      <c r="AD210" s="5">
        <f t="shared" si="10"/>
        <v>64</v>
      </c>
    </row>
    <row r="211" ht="15.75" customHeight="1">
      <c r="A211" s="5" t="s">
        <v>820</v>
      </c>
      <c r="B211" s="5" t="s">
        <v>234</v>
      </c>
      <c r="C211" s="5" t="s">
        <v>423</v>
      </c>
      <c r="D211" s="5">
        <v>1450.0</v>
      </c>
      <c r="E211" s="5" t="s">
        <v>122</v>
      </c>
      <c r="F211" s="5" t="s">
        <v>425</v>
      </c>
      <c r="G211" s="5" t="s">
        <v>425</v>
      </c>
      <c r="H211" s="5" t="s">
        <v>425</v>
      </c>
      <c r="I211" s="11">
        <v>401.0</v>
      </c>
      <c r="J211" s="11">
        <v>384.0</v>
      </c>
      <c r="K211" s="11">
        <v>629.0</v>
      </c>
      <c r="L211" s="11">
        <v>686.0</v>
      </c>
      <c r="M211" s="11">
        <v>446.0</v>
      </c>
      <c r="N211" s="11">
        <v>517.0</v>
      </c>
      <c r="O211" s="11">
        <v>606.0</v>
      </c>
      <c r="P211" s="11">
        <v>669.0</v>
      </c>
      <c r="Q211" s="11">
        <f t="shared" si="1"/>
        <v>785</v>
      </c>
      <c r="R211" s="11">
        <f t="shared" si="2"/>
        <v>1315</v>
      </c>
      <c r="S211" s="11">
        <f t="shared" si="3"/>
        <v>963</v>
      </c>
      <c r="T211" s="11">
        <f t="shared" si="4"/>
        <v>1275</v>
      </c>
      <c r="U211" s="10">
        <f>IF(Q211&gt;0,(I211/Q211-District!$B$4)*100,"")</f>
        <v>-2.329431078</v>
      </c>
      <c r="V211" s="10">
        <f>IF(R211&gt;0,(K211/R211-District!$B$5)*100,"")</f>
        <v>-1.917271968</v>
      </c>
      <c r="W211" s="10">
        <f>IF(S211&gt;0,(M211/S211-District!$B$6)*100,"")</f>
        <v>-4.669417382</v>
      </c>
      <c r="X211" s="10">
        <f>IF(T211&gt;0,(O211/T211-District!$B$7)*100,"")</f>
        <v>-1.967010378</v>
      </c>
      <c r="Y211" s="28">
        <f t="shared" si="5"/>
        <v>2.329429763</v>
      </c>
      <c r="Z211" s="5">
        <f t="shared" si="6"/>
        <v>22</v>
      </c>
      <c r="AA211" s="28">
        <f t="shared" si="7"/>
        <v>4.669416419</v>
      </c>
      <c r="AB211" s="5">
        <f t="shared" si="8"/>
        <v>73</v>
      </c>
      <c r="AC211" s="28">
        <f t="shared" si="9"/>
        <v>4.669416107</v>
      </c>
      <c r="AD211" s="5">
        <f t="shared" si="10"/>
        <v>77</v>
      </c>
    </row>
    <row r="212" ht="15.75" customHeight="1">
      <c r="A212" s="5" t="s">
        <v>821</v>
      </c>
      <c r="B212" s="5" t="s">
        <v>234</v>
      </c>
      <c r="C212" s="5" t="s">
        <v>423</v>
      </c>
      <c r="D212" s="5">
        <v>1460.0</v>
      </c>
      <c r="E212" s="5" t="s">
        <v>122</v>
      </c>
      <c r="F212" s="5" t="s">
        <v>426</v>
      </c>
      <c r="G212" s="5" t="s">
        <v>426</v>
      </c>
      <c r="H212" s="5" t="s">
        <v>426</v>
      </c>
      <c r="I212" s="11">
        <v>549.0</v>
      </c>
      <c r="J212" s="11">
        <v>332.0</v>
      </c>
      <c r="K212" s="11">
        <v>819.0</v>
      </c>
      <c r="L212" s="11">
        <v>552.0</v>
      </c>
      <c r="M212" s="11">
        <v>544.0</v>
      </c>
      <c r="N212" s="11">
        <v>356.0</v>
      </c>
      <c r="O212" s="11">
        <v>732.0</v>
      </c>
      <c r="P212" s="11">
        <v>616.0</v>
      </c>
      <c r="Q212" s="11">
        <f t="shared" si="1"/>
        <v>881</v>
      </c>
      <c r="R212" s="11">
        <f t="shared" si="2"/>
        <v>1371</v>
      </c>
      <c r="S212" s="11">
        <f t="shared" si="3"/>
        <v>900</v>
      </c>
      <c r="T212" s="11">
        <f t="shared" si="4"/>
        <v>1348</v>
      </c>
      <c r="U212" s="10">
        <f>IF(Q212&gt;0,(I212/Q212-District!$B$4)*100,"")</f>
        <v>8.903316885</v>
      </c>
      <c r="V212" s="10">
        <f>IF(R212&gt;0,(K212/R212-District!$B$5)*100,"")</f>
        <v>9.987446355</v>
      </c>
      <c r="W212" s="10">
        <f>IF(S212&gt;0,(M212/S212-District!$B$6)*100,"")</f>
        <v>9.46142374</v>
      </c>
      <c r="X212" s="10">
        <f>IF(T212&gt;0,(O212/T212-District!$B$7)*100,"")</f>
        <v>4.806248481</v>
      </c>
      <c r="Y212" s="28">
        <f t="shared" si="5"/>
        <v>9.987444984</v>
      </c>
      <c r="Z212" s="5">
        <f t="shared" si="6"/>
        <v>125</v>
      </c>
      <c r="AA212" s="28">
        <f t="shared" si="7"/>
        <v>9.987445455</v>
      </c>
      <c r="AB212" s="5">
        <f t="shared" si="8"/>
        <v>121</v>
      </c>
      <c r="AC212" s="28">
        <f t="shared" si="9"/>
        <v>9.461422392</v>
      </c>
      <c r="AD212" s="5">
        <f t="shared" si="10"/>
        <v>125</v>
      </c>
    </row>
    <row r="213" ht="15.75" customHeight="1">
      <c r="A213" s="5" t="s">
        <v>822</v>
      </c>
      <c r="B213" s="5" t="s">
        <v>437</v>
      </c>
      <c r="C213" s="5" t="s">
        <v>440</v>
      </c>
      <c r="D213" s="5">
        <v>130.0</v>
      </c>
      <c r="E213" s="5" t="s">
        <v>122</v>
      </c>
      <c r="F213" s="5" t="s">
        <v>440</v>
      </c>
      <c r="G213" s="5" t="s">
        <v>440</v>
      </c>
      <c r="H213" s="5" t="s">
        <v>440</v>
      </c>
      <c r="I213" s="11">
        <v>330.0</v>
      </c>
      <c r="J213" s="11">
        <v>632.0</v>
      </c>
      <c r="K213" s="11">
        <v>482.0</v>
      </c>
      <c r="L213" s="11">
        <v>987.0</v>
      </c>
      <c r="M213" s="11">
        <v>361.0</v>
      </c>
      <c r="N213" s="11">
        <v>824.0</v>
      </c>
      <c r="O213" s="11">
        <v>471.0</v>
      </c>
      <c r="P213" s="11">
        <v>1124.0</v>
      </c>
      <c r="Q213" s="11">
        <f t="shared" si="1"/>
        <v>962</v>
      </c>
      <c r="R213" s="11">
        <f t="shared" si="2"/>
        <v>1469</v>
      </c>
      <c r="S213" s="11">
        <f t="shared" si="3"/>
        <v>1185</v>
      </c>
      <c r="T213" s="11">
        <f t="shared" si="4"/>
        <v>1595</v>
      </c>
      <c r="U213" s="10">
        <f>IF(Q213&gt;0,(I213/Q213-District!$B$4)*100,"")</f>
        <v>-19.10869932</v>
      </c>
      <c r="V213" s="10">
        <f>IF(R213&gt;0,(K213/R213-District!$B$5)*100,"")</f>
        <v>-16.93853524</v>
      </c>
      <c r="W213" s="10">
        <f>IF(S213&gt;0,(M213/S213-District!$B$6)*100,"")</f>
        <v>-20.51888568</v>
      </c>
      <c r="X213" s="10">
        <f>IF(T213&gt;0,(O213/T213-District!$B$7)*100,"")</f>
        <v>-19.96664158</v>
      </c>
      <c r="Y213" s="28">
        <f t="shared" si="5"/>
        <v>19.10869785</v>
      </c>
      <c r="Z213" s="5">
        <f t="shared" si="6"/>
        <v>217</v>
      </c>
      <c r="AA213" s="28">
        <f t="shared" si="7"/>
        <v>20.5188845</v>
      </c>
      <c r="AB213" s="5">
        <f t="shared" si="8"/>
        <v>217</v>
      </c>
      <c r="AC213" s="28">
        <f t="shared" si="9"/>
        <v>20.51888409</v>
      </c>
      <c r="AD213" s="5">
        <f t="shared" si="10"/>
        <v>246</v>
      </c>
    </row>
    <row r="214" ht="15.75" customHeight="1">
      <c r="A214" s="5" t="s">
        <v>823</v>
      </c>
      <c r="B214" s="5" t="s">
        <v>437</v>
      </c>
      <c r="C214" s="5" t="s">
        <v>442</v>
      </c>
      <c r="D214" s="5">
        <v>220.0</v>
      </c>
      <c r="E214" s="5" t="s">
        <v>122</v>
      </c>
      <c r="F214" s="5" t="s">
        <v>442</v>
      </c>
      <c r="G214" s="5" t="s">
        <v>442</v>
      </c>
      <c r="H214" s="5" t="s">
        <v>442</v>
      </c>
      <c r="I214" s="11">
        <v>1009.0</v>
      </c>
      <c r="J214" s="11">
        <v>1471.0</v>
      </c>
      <c r="K214" s="11">
        <v>1425.0</v>
      </c>
      <c r="L214" s="11">
        <v>2491.0</v>
      </c>
      <c r="M214" s="11">
        <v>1021.0</v>
      </c>
      <c r="N214" s="11">
        <v>1984.0</v>
      </c>
      <c r="O214" s="11">
        <v>1414.0</v>
      </c>
      <c r="P214" s="11">
        <v>2894.0</v>
      </c>
      <c r="Q214" s="11">
        <f t="shared" si="1"/>
        <v>2480</v>
      </c>
      <c r="R214" s="11">
        <f t="shared" si="2"/>
        <v>3916</v>
      </c>
      <c r="S214" s="11">
        <f t="shared" si="3"/>
        <v>3005</v>
      </c>
      <c r="T214" s="11">
        <f t="shared" si="4"/>
        <v>4308</v>
      </c>
      <c r="U214" s="10">
        <f>IF(Q214&gt;0,(I214/Q214-District!$B$4)*100,"")</f>
        <v>-12.72674975</v>
      </c>
      <c r="V214" s="10">
        <f>IF(R214&gt;0,(K214/R214-District!$B$5)*100,"")</f>
        <v>-13.36079896</v>
      </c>
      <c r="W214" s="10">
        <f>IF(S214&gt;0,(M214/S214-District!$B$6)*100,"")</f>
        <v>-17.00631521</v>
      </c>
      <c r="X214" s="10">
        <f>IF(T214&gt;0,(O214/T214-District!$B$7)*100,"")</f>
        <v>-16.67376662</v>
      </c>
      <c r="Y214" s="28">
        <f t="shared" si="5"/>
        <v>13.36079505</v>
      </c>
      <c r="Z214" s="5">
        <f t="shared" si="6"/>
        <v>163</v>
      </c>
      <c r="AA214" s="28">
        <f t="shared" si="7"/>
        <v>17.00631221</v>
      </c>
      <c r="AB214" s="5">
        <f t="shared" si="8"/>
        <v>188</v>
      </c>
      <c r="AC214" s="28">
        <f t="shared" si="9"/>
        <v>17.00631091</v>
      </c>
      <c r="AD214" s="5">
        <f t="shared" si="10"/>
        <v>216</v>
      </c>
    </row>
    <row r="215" ht="15.75" customHeight="1">
      <c r="A215" s="5" t="s">
        <v>824</v>
      </c>
      <c r="B215" s="5" t="s">
        <v>437</v>
      </c>
      <c r="C215" s="5" t="s">
        <v>825</v>
      </c>
      <c r="D215" s="5">
        <v>235.0</v>
      </c>
      <c r="E215" s="5" t="s">
        <v>122</v>
      </c>
      <c r="F215" s="5" t="s">
        <v>444</v>
      </c>
      <c r="G215" s="5" t="s">
        <v>444</v>
      </c>
      <c r="H215" s="5" t="s">
        <v>444</v>
      </c>
      <c r="I215" s="11"/>
      <c r="J215" s="11"/>
      <c r="K215" s="11"/>
      <c r="L215" s="11"/>
      <c r="M215" s="11">
        <v>380.0</v>
      </c>
      <c r="N215" s="11">
        <v>732.0</v>
      </c>
      <c r="O215" s="11">
        <v>521.0</v>
      </c>
      <c r="P215" s="11">
        <v>997.0</v>
      </c>
      <c r="Q215" s="11">
        <f t="shared" si="1"/>
        <v>0</v>
      </c>
      <c r="R215" s="11">
        <f t="shared" si="2"/>
        <v>0</v>
      </c>
      <c r="S215" s="11">
        <f t="shared" si="3"/>
        <v>1112</v>
      </c>
      <c r="T215" s="11">
        <f t="shared" si="4"/>
        <v>1518</v>
      </c>
      <c r="U215" s="10" t="str">
        <f>IF(Q215&gt;0,(I215/Q215-District!$B$4)*100,"")</f>
        <v/>
      </c>
      <c r="V215" s="10" t="str">
        <f>IF(R215&gt;0,(K215/R215-District!$B$5)*100,"")</f>
        <v/>
      </c>
      <c r="W215" s="10">
        <f>IF(S215&gt;0,(M215/S215-District!$B$6)*100,"")</f>
        <v>-16.81035883</v>
      </c>
      <c r="X215" s="10">
        <f>IF(T215&gt;0,(O215/T215-District!$B$7)*100,"")</f>
        <v>-15.17494652</v>
      </c>
      <c r="Y215" s="28" t="str">
        <f t="shared" si="5"/>
        <v/>
      </c>
      <c r="Z215" s="5" t="str">
        <f t="shared" si="6"/>
        <v/>
      </c>
      <c r="AA215" s="28" t="str">
        <f t="shared" si="7"/>
        <v/>
      </c>
      <c r="AB215" s="5" t="str">
        <f t="shared" si="8"/>
        <v/>
      </c>
      <c r="AC215" s="28">
        <f t="shared" si="9"/>
        <v>16.81035732</v>
      </c>
      <c r="AD215" s="5">
        <f t="shared" si="10"/>
        <v>212</v>
      </c>
    </row>
    <row r="216" ht="15.75" customHeight="1">
      <c r="A216" s="5" t="s">
        <v>826</v>
      </c>
      <c r="B216" s="5" t="s">
        <v>445</v>
      </c>
      <c r="C216" s="5" t="s">
        <v>446</v>
      </c>
      <c r="D216" s="5">
        <v>10.0</v>
      </c>
      <c r="E216" s="5" t="s">
        <v>122</v>
      </c>
      <c r="F216" s="5" t="s">
        <v>447</v>
      </c>
      <c r="G216" s="5" t="s">
        <v>447</v>
      </c>
      <c r="H216" s="5" t="s">
        <v>447</v>
      </c>
      <c r="I216" s="11">
        <v>908.0</v>
      </c>
      <c r="J216" s="11">
        <v>1196.0</v>
      </c>
      <c r="K216" s="11">
        <v>632.0</v>
      </c>
      <c r="L216" s="11">
        <v>1007.0</v>
      </c>
      <c r="M216" s="11">
        <v>526.0</v>
      </c>
      <c r="N216" s="11">
        <v>747.0</v>
      </c>
      <c r="O216" s="11">
        <v>687.0</v>
      </c>
      <c r="P216" s="11">
        <v>1009.0</v>
      </c>
      <c r="Q216" s="11">
        <f t="shared" si="1"/>
        <v>2104</v>
      </c>
      <c r="R216" s="11">
        <f t="shared" si="2"/>
        <v>1639</v>
      </c>
      <c r="S216" s="11">
        <f t="shared" si="3"/>
        <v>1273</v>
      </c>
      <c r="T216" s="11">
        <f t="shared" si="4"/>
        <v>1696</v>
      </c>
      <c r="U216" s="10">
        <f>IF(Q216&gt;0,(I216/Q216-District!$B$4)*100,"")</f>
        <v>-10.25634009</v>
      </c>
      <c r="V216" s="10">
        <f>IF(R216&gt;0,(K216/R216-District!$B$5)*100,"")</f>
        <v>-11.18987397</v>
      </c>
      <c r="W216" s="10">
        <f>IF(S216&gt;0,(M216/S216-District!$B$6)*100,"")</f>
        <v>-9.663303501</v>
      </c>
      <c r="X216" s="10">
        <f>IF(T216&gt;0,(O216/T216-District!$B$7)*100,"")</f>
        <v>-8.989346671</v>
      </c>
      <c r="Y216" s="28">
        <f t="shared" si="5"/>
        <v>11.18987233</v>
      </c>
      <c r="Z216" s="5">
        <f t="shared" si="6"/>
        <v>138</v>
      </c>
      <c r="AA216" s="28">
        <f t="shared" si="7"/>
        <v>11.18987269</v>
      </c>
      <c r="AB216" s="5">
        <f t="shared" si="8"/>
        <v>134</v>
      </c>
      <c r="AC216" s="28">
        <f t="shared" si="9"/>
        <v>9.663301805</v>
      </c>
      <c r="AD216" s="5">
        <f t="shared" si="10"/>
        <v>128</v>
      </c>
    </row>
    <row r="217" ht="15.75" customHeight="1">
      <c r="A217" s="5" t="s">
        <v>827</v>
      </c>
      <c r="B217" s="5" t="s">
        <v>445</v>
      </c>
      <c r="C217" s="5" t="s">
        <v>446</v>
      </c>
      <c r="D217" s="5">
        <v>15.0</v>
      </c>
      <c r="E217" s="5" t="s">
        <v>122</v>
      </c>
      <c r="F217" s="5" t="s">
        <v>448</v>
      </c>
      <c r="G217" s="5" t="s">
        <v>448</v>
      </c>
      <c r="H217" s="5" t="s">
        <v>448</v>
      </c>
      <c r="I217" s="11"/>
      <c r="J217" s="11"/>
      <c r="K217" s="11">
        <v>800.0</v>
      </c>
      <c r="L217" s="11">
        <v>875.0</v>
      </c>
      <c r="M217" s="11">
        <v>648.0</v>
      </c>
      <c r="N217" s="11">
        <v>679.0</v>
      </c>
      <c r="O217" s="11">
        <v>824.0</v>
      </c>
      <c r="P217" s="11">
        <v>1009.0</v>
      </c>
      <c r="Q217" s="11">
        <f t="shared" si="1"/>
        <v>0</v>
      </c>
      <c r="R217" s="11">
        <f t="shared" si="2"/>
        <v>1675</v>
      </c>
      <c r="S217" s="11">
        <f t="shared" si="3"/>
        <v>1327</v>
      </c>
      <c r="T217" s="11">
        <f t="shared" si="4"/>
        <v>1833</v>
      </c>
      <c r="U217" s="10" t="str">
        <f>IF(Q217&gt;0,(I217/Q217-District!$B$4)*100,"")</f>
        <v/>
      </c>
      <c r="V217" s="10">
        <f>IF(R217&gt;0,(K217/R217-District!$B$5)*100,"")</f>
        <v>-1.988777558</v>
      </c>
      <c r="W217" s="10">
        <f>IF(S217&gt;0,(M217/S217-District!$B$6)*100,"")</f>
        <v>-2.151068934</v>
      </c>
      <c r="X217" s="10">
        <f>IF(T217&gt;0,(O217/T217-District!$B$7)*100,"")</f>
        <v>-4.54279421</v>
      </c>
      <c r="Y217" s="28" t="str">
        <f t="shared" si="5"/>
        <v/>
      </c>
      <c r="Z217" s="5" t="str">
        <f t="shared" si="6"/>
        <v/>
      </c>
      <c r="AA217" s="28">
        <f t="shared" si="7"/>
        <v>2.151067607</v>
      </c>
      <c r="AB217" s="5">
        <f t="shared" si="8"/>
        <v>28</v>
      </c>
      <c r="AC217" s="28">
        <f t="shared" si="9"/>
        <v>4.542792377</v>
      </c>
      <c r="AD217" s="5">
        <f t="shared" si="10"/>
        <v>73</v>
      </c>
    </row>
    <row r="218" ht="15.75" customHeight="1">
      <c r="A218" s="5" t="s">
        <v>828</v>
      </c>
      <c r="B218" s="5" t="s">
        <v>445</v>
      </c>
      <c r="C218" s="5" t="s">
        <v>449</v>
      </c>
      <c r="D218" s="5">
        <v>20.0</v>
      </c>
      <c r="E218" s="5" t="s">
        <v>829</v>
      </c>
      <c r="F218" s="5" t="s">
        <v>450</v>
      </c>
      <c r="G218" s="5" t="s">
        <v>450</v>
      </c>
      <c r="H218" s="5" t="s">
        <v>450</v>
      </c>
      <c r="I218" s="11">
        <v>182.0</v>
      </c>
      <c r="J218" s="11">
        <v>192.0</v>
      </c>
      <c r="K218" s="11">
        <v>265.0</v>
      </c>
      <c r="L218" s="11">
        <v>334.0</v>
      </c>
      <c r="M218" s="11">
        <v>182.0</v>
      </c>
      <c r="N218" s="11">
        <v>220.0</v>
      </c>
      <c r="O218" s="11">
        <v>237.0</v>
      </c>
      <c r="P218" s="11">
        <v>342.0</v>
      </c>
      <c r="Q218" s="11">
        <f t="shared" si="1"/>
        <v>374</v>
      </c>
      <c r="R218" s="11">
        <f t="shared" si="2"/>
        <v>599</v>
      </c>
      <c r="S218" s="11">
        <f t="shared" si="3"/>
        <v>402</v>
      </c>
      <c r="T218" s="11">
        <f t="shared" si="4"/>
        <v>579</v>
      </c>
      <c r="U218" s="10">
        <f>IF(Q218&gt;0,(I218/Q218-District!$B$4)*100,"")</f>
        <v>-4.749132021</v>
      </c>
      <c r="V218" s="10">
        <f>IF(R218&gt;0,(K218/R218-District!$B$5)*100,"")</f>
        <v>-5.50957092</v>
      </c>
      <c r="W218" s="10">
        <f>IF(S218&gt;0,(M218/S218-District!$B$6)*100,"")</f>
        <v>-5.709388864</v>
      </c>
      <c r="X218" s="10">
        <f>IF(T218&gt;0,(O218/T218-District!$B$7)*100,"")</f>
        <v>-8.563779656</v>
      </c>
      <c r="Y218" s="28" t="str">
        <f t="shared" si="5"/>
        <v/>
      </c>
      <c r="Z218" s="5" t="str">
        <f t="shared" si="6"/>
        <v/>
      </c>
      <c r="AA218" s="28" t="str">
        <f t="shared" si="7"/>
        <v/>
      </c>
      <c r="AB218" s="5" t="str">
        <f t="shared" si="8"/>
        <v/>
      </c>
      <c r="AC218" s="28" t="str">
        <f t="shared" si="9"/>
        <v/>
      </c>
      <c r="AD218" s="5" t="str">
        <f t="shared" si="10"/>
        <v/>
      </c>
    </row>
    <row r="219" ht="15.75" customHeight="1">
      <c r="A219" s="5" t="s">
        <v>830</v>
      </c>
      <c r="B219" s="5" t="s">
        <v>445</v>
      </c>
      <c r="C219" s="5" t="s">
        <v>449</v>
      </c>
      <c r="D219" s="5">
        <v>30.0</v>
      </c>
      <c r="E219" s="5" t="s">
        <v>829</v>
      </c>
      <c r="F219" s="5" t="s">
        <v>451</v>
      </c>
      <c r="G219" s="5" t="s">
        <v>451</v>
      </c>
      <c r="H219" s="5" t="s">
        <v>451</v>
      </c>
      <c r="I219" s="11">
        <v>177.0</v>
      </c>
      <c r="J219" s="11">
        <v>154.0</v>
      </c>
      <c r="K219" s="11">
        <v>220.0</v>
      </c>
      <c r="L219" s="11">
        <v>305.0</v>
      </c>
      <c r="M219" s="11">
        <v>181.0</v>
      </c>
      <c r="N219" s="11">
        <v>208.0</v>
      </c>
      <c r="O219" s="11">
        <v>238.0</v>
      </c>
      <c r="P219" s="11">
        <v>312.0</v>
      </c>
      <c r="Q219" s="11">
        <f t="shared" si="1"/>
        <v>331</v>
      </c>
      <c r="R219" s="11">
        <f t="shared" si="2"/>
        <v>525</v>
      </c>
      <c r="S219" s="11">
        <f t="shared" si="3"/>
        <v>389</v>
      </c>
      <c r="T219" s="11">
        <f t="shared" si="4"/>
        <v>550</v>
      </c>
      <c r="U219" s="10">
        <f>IF(Q219&gt;0,(I219/Q219-District!$B$4)*100,"")</f>
        <v>0.06208661624</v>
      </c>
      <c r="V219" s="10">
        <f>IF(R219&gt;0,(K219/R219-District!$B$5)*100,"")</f>
        <v>-7.845209683</v>
      </c>
      <c r="W219" s="10">
        <f>IF(S219&gt;0,(M219/S219-District!$B$6)*100,"")</f>
        <v>-4.453457723</v>
      </c>
      <c r="X219" s="10">
        <f>IF(T219&gt;0,(O219/T219-District!$B$7)*100,"")</f>
        <v>-6.22369487</v>
      </c>
      <c r="Y219" s="28" t="str">
        <f t="shared" si="5"/>
        <v/>
      </c>
      <c r="Z219" s="5" t="str">
        <f t="shared" si="6"/>
        <v/>
      </c>
      <c r="AA219" s="28" t="str">
        <f t="shared" si="7"/>
        <v/>
      </c>
      <c r="AB219" s="5" t="str">
        <f t="shared" si="8"/>
        <v/>
      </c>
      <c r="AC219" s="28" t="str">
        <f t="shared" si="9"/>
        <v/>
      </c>
      <c r="AD219" s="5" t="str">
        <f t="shared" si="10"/>
        <v/>
      </c>
    </row>
    <row r="220" ht="15.75" customHeight="1">
      <c r="A220" s="5" t="s">
        <v>831</v>
      </c>
      <c r="B220" s="5" t="s">
        <v>445</v>
      </c>
      <c r="C220" s="5" t="s">
        <v>449</v>
      </c>
      <c r="D220" s="5">
        <v>40.0</v>
      </c>
      <c r="E220" s="5" t="s">
        <v>829</v>
      </c>
      <c r="F220" s="5" t="s">
        <v>452</v>
      </c>
      <c r="G220" s="5" t="s">
        <v>452</v>
      </c>
      <c r="H220" s="5" t="s">
        <v>452</v>
      </c>
      <c r="I220" s="11">
        <v>178.0</v>
      </c>
      <c r="J220" s="11">
        <v>217.0</v>
      </c>
      <c r="K220" s="11">
        <v>252.0</v>
      </c>
      <c r="L220" s="11">
        <v>361.0</v>
      </c>
      <c r="M220" s="11">
        <v>208.0</v>
      </c>
      <c r="N220" s="11">
        <v>253.0</v>
      </c>
      <c r="O220" s="11">
        <v>257.0</v>
      </c>
      <c r="P220" s="11">
        <v>361.0</v>
      </c>
      <c r="Q220" s="11">
        <f t="shared" si="1"/>
        <v>395</v>
      </c>
      <c r="R220" s="11">
        <f t="shared" si="2"/>
        <v>613</v>
      </c>
      <c r="S220" s="11">
        <f t="shared" si="3"/>
        <v>461</v>
      </c>
      <c r="T220" s="11">
        <f t="shared" si="4"/>
        <v>618</v>
      </c>
      <c r="U220" s="10">
        <f>IF(Q220&gt;0,(I220/Q220-District!$B$4)*100,"")</f>
        <v>-8.348942486</v>
      </c>
      <c r="V220" s="10">
        <f>IF(R220&gt;0,(K220/R220-District!$B$5)*100,"")</f>
        <v>-8.640673056</v>
      </c>
      <c r="W220" s="10">
        <f>IF(S220&gt;0,(M220/S220-District!$B$6)*100,"")</f>
        <v>-5.863714848</v>
      </c>
      <c r="X220" s="10">
        <f>IF(T220&gt;0,(O220/T220-District!$B$7)*100,"")</f>
        <v>-7.910661625</v>
      </c>
      <c r="Y220" s="28" t="str">
        <f t="shared" si="5"/>
        <v/>
      </c>
      <c r="Z220" s="5" t="str">
        <f t="shared" si="6"/>
        <v/>
      </c>
      <c r="AA220" s="28" t="str">
        <f t="shared" si="7"/>
        <v/>
      </c>
      <c r="AB220" s="5" t="str">
        <f t="shared" si="8"/>
        <v/>
      </c>
      <c r="AC220" s="28" t="str">
        <f t="shared" si="9"/>
        <v/>
      </c>
      <c r="AD220" s="5" t="str">
        <f t="shared" si="10"/>
        <v/>
      </c>
    </row>
    <row r="221" ht="15.75" customHeight="1">
      <c r="A221" s="5" t="s">
        <v>832</v>
      </c>
      <c r="B221" s="5" t="s">
        <v>445</v>
      </c>
      <c r="C221" s="5" t="s">
        <v>449</v>
      </c>
      <c r="D221" s="5">
        <v>50.0</v>
      </c>
      <c r="E221" s="5" t="s">
        <v>829</v>
      </c>
      <c r="F221" s="5" t="s">
        <v>453</v>
      </c>
      <c r="G221" s="5" t="s">
        <v>453</v>
      </c>
      <c r="H221" s="5" t="s">
        <v>453</v>
      </c>
      <c r="I221" s="11">
        <v>164.0</v>
      </c>
      <c r="J221" s="11">
        <v>217.0</v>
      </c>
      <c r="K221" s="11">
        <v>228.0</v>
      </c>
      <c r="L221" s="11">
        <v>342.0</v>
      </c>
      <c r="M221" s="11">
        <v>158.0</v>
      </c>
      <c r="N221" s="11">
        <v>247.0</v>
      </c>
      <c r="O221" s="11">
        <v>227.0</v>
      </c>
      <c r="P221" s="11">
        <v>349.0</v>
      </c>
      <c r="Q221" s="11">
        <f t="shared" si="1"/>
        <v>381</v>
      </c>
      <c r="R221" s="11">
        <f t="shared" si="2"/>
        <v>570</v>
      </c>
      <c r="S221" s="11">
        <f t="shared" si="3"/>
        <v>405</v>
      </c>
      <c r="T221" s="11">
        <f t="shared" si="4"/>
        <v>576</v>
      </c>
      <c r="U221" s="10">
        <f>IF(Q221&gt;0,(I221/Q221-District!$B$4)*100,"")</f>
        <v>-10.3676142</v>
      </c>
      <c r="V221" s="10">
        <f>IF(R221&gt;0,(K221/R221-District!$B$5)*100,"")</f>
        <v>-9.749971588</v>
      </c>
      <c r="W221" s="10">
        <f>IF(S221&gt;0,(M221/S221-District!$B$6)*100,"")</f>
        <v>-11.97067503</v>
      </c>
      <c r="X221" s="10">
        <f>IF(T221&gt;0,(O221/T221-District!$B$7)*100,"")</f>
        <v>-10.08669992</v>
      </c>
      <c r="Y221" s="28" t="str">
        <f t="shared" si="5"/>
        <v/>
      </c>
      <c r="Z221" s="5" t="str">
        <f t="shared" si="6"/>
        <v/>
      </c>
      <c r="AA221" s="28" t="str">
        <f t="shared" si="7"/>
        <v/>
      </c>
      <c r="AB221" s="5" t="str">
        <f t="shared" si="8"/>
        <v/>
      </c>
      <c r="AC221" s="28" t="str">
        <f t="shared" si="9"/>
        <v/>
      </c>
      <c r="AD221" s="5" t="str">
        <f t="shared" si="10"/>
        <v/>
      </c>
    </row>
    <row r="222" ht="15.75" customHeight="1">
      <c r="A222" s="5" t="s">
        <v>833</v>
      </c>
      <c r="B222" s="5" t="s">
        <v>445</v>
      </c>
      <c r="C222" s="5" t="s">
        <v>454</v>
      </c>
      <c r="D222" s="5">
        <v>60.0</v>
      </c>
      <c r="E222" s="5" t="s">
        <v>122</v>
      </c>
      <c r="F222" s="5" t="s">
        <v>455</v>
      </c>
      <c r="G222" s="5" t="s">
        <v>455</v>
      </c>
      <c r="H222" s="5" t="s">
        <v>455</v>
      </c>
      <c r="I222" s="11">
        <v>368.0</v>
      </c>
      <c r="J222" s="11">
        <v>408.0</v>
      </c>
      <c r="K222" s="11">
        <v>579.0</v>
      </c>
      <c r="L222" s="11">
        <v>695.0</v>
      </c>
      <c r="M222" s="11">
        <v>441.0</v>
      </c>
      <c r="N222" s="11">
        <v>513.0</v>
      </c>
      <c r="O222" s="11">
        <v>623.0</v>
      </c>
      <c r="P222" s="11">
        <v>726.0</v>
      </c>
      <c r="Q222" s="11">
        <f t="shared" si="1"/>
        <v>776</v>
      </c>
      <c r="R222" s="11">
        <f t="shared" si="2"/>
        <v>1274</v>
      </c>
      <c r="S222" s="11">
        <f t="shared" si="3"/>
        <v>954</v>
      </c>
      <c r="T222" s="11">
        <f t="shared" si="4"/>
        <v>1349</v>
      </c>
      <c r="U222" s="10">
        <f>IF(Q222&gt;0,(I222/Q222-District!$B$4)*100,"")</f>
        <v>-5.989553213</v>
      </c>
      <c r="V222" s="10">
        <f>IF(R222&gt;0,(K222/R222-District!$B$5)*100,"")</f>
        <v>-4.302561855</v>
      </c>
      <c r="W222" s="10">
        <f>IF(S222&gt;0,(M222/S222-District!$B$6)*100,"")</f>
        <v>-4.75660561</v>
      </c>
      <c r="X222" s="10">
        <f>IF(T222&gt;0,(O222/T222-District!$B$7)*100,"")</f>
        <v>-3.314064841</v>
      </c>
      <c r="Y222" s="28">
        <f t="shared" si="5"/>
        <v>5.989551939</v>
      </c>
      <c r="Z222" s="5">
        <f t="shared" si="6"/>
        <v>82</v>
      </c>
      <c r="AA222" s="28">
        <f t="shared" si="7"/>
        <v>4.756604656</v>
      </c>
      <c r="AB222" s="5">
        <f t="shared" si="8"/>
        <v>74</v>
      </c>
      <c r="AC222" s="28">
        <f t="shared" si="9"/>
        <v>4.756604261</v>
      </c>
      <c r="AD222" s="5">
        <f t="shared" si="10"/>
        <v>78</v>
      </c>
    </row>
    <row r="223" ht="15.75" customHeight="1">
      <c r="A223" s="5" t="s">
        <v>834</v>
      </c>
      <c r="B223" s="5" t="s">
        <v>445</v>
      </c>
      <c r="C223" s="5" t="s">
        <v>303</v>
      </c>
      <c r="D223" s="5">
        <v>65.0</v>
      </c>
      <c r="E223" s="5" t="s">
        <v>122</v>
      </c>
      <c r="F223" s="5" t="s">
        <v>471</v>
      </c>
      <c r="G223" s="5" t="s">
        <v>471</v>
      </c>
      <c r="H223" s="5" t="s">
        <v>471</v>
      </c>
      <c r="I223" s="11">
        <v>366.0</v>
      </c>
      <c r="J223" s="11">
        <v>80.0</v>
      </c>
      <c r="K223" s="11">
        <v>503.0</v>
      </c>
      <c r="L223" s="11">
        <v>158.0</v>
      </c>
      <c r="M223" s="11">
        <v>353.0</v>
      </c>
      <c r="N223" s="11">
        <v>92.0</v>
      </c>
      <c r="O223" s="11">
        <v>450.0</v>
      </c>
      <c r="P223" s="11">
        <v>179.0</v>
      </c>
      <c r="Q223" s="11">
        <f t="shared" si="1"/>
        <v>446</v>
      </c>
      <c r="R223" s="11">
        <f t="shared" si="2"/>
        <v>661</v>
      </c>
      <c r="S223" s="11">
        <f t="shared" si="3"/>
        <v>445</v>
      </c>
      <c r="T223" s="11">
        <f t="shared" si="4"/>
        <v>629</v>
      </c>
      <c r="U223" s="10">
        <f>IF(Q223&gt;0,(I223/Q223-District!$B$4)*100,"")</f>
        <v>28.65054664</v>
      </c>
      <c r="V223" s="10">
        <f>IF(R223&gt;0,(K223/R223-District!$B$5)*100,"")</f>
        <v>26.34685141</v>
      </c>
      <c r="W223" s="10">
        <f>IF(S223&gt;0,(M223/S223-District!$B$6)*100,"")</f>
        <v>28.34282199</v>
      </c>
      <c r="X223" s="10">
        <f>IF(T223&gt;0,(O223/T223-District!$B$7)*100,"")</f>
        <v>22.04570822</v>
      </c>
      <c r="Y223" s="28">
        <f t="shared" si="5"/>
        <v>28.65054598</v>
      </c>
      <c r="Z223" s="5">
        <f t="shared" si="6"/>
        <v>273</v>
      </c>
      <c r="AA223" s="28">
        <f t="shared" si="7"/>
        <v>28.34282155</v>
      </c>
      <c r="AB223" s="5">
        <f t="shared" si="8"/>
        <v>245</v>
      </c>
      <c r="AC223" s="28">
        <f t="shared" si="9"/>
        <v>28.34282136</v>
      </c>
      <c r="AD223" s="5">
        <f t="shared" si="10"/>
        <v>285</v>
      </c>
    </row>
    <row r="224" ht="15.75" customHeight="1">
      <c r="A224" s="5" t="s">
        <v>835</v>
      </c>
      <c r="B224" s="5" t="s">
        <v>445</v>
      </c>
      <c r="C224" s="5" t="s">
        <v>303</v>
      </c>
      <c r="D224" s="5">
        <v>70.0</v>
      </c>
      <c r="E224" s="5" t="s">
        <v>122</v>
      </c>
      <c r="F224" s="5" t="s">
        <v>473</v>
      </c>
      <c r="G224" s="5" t="s">
        <v>473</v>
      </c>
      <c r="H224" s="5" t="s">
        <v>473</v>
      </c>
      <c r="I224" s="11">
        <v>323.0</v>
      </c>
      <c r="J224" s="11">
        <v>74.0</v>
      </c>
      <c r="K224" s="11">
        <v>511.0</v>
      </c>
      <c r="L224" s="11">
        <v>155.0</v>
      </c>
      <c r="M224" s="11">
        <v>266.0</v>
      </c>
      <c r="N224" s="11">
        <v>88.0</v>
      </c>
      <c r="O224" s="11">
        <v>442.0</v>
      </c>
      <c r="P224" s="11">
        <v>161.0</v>
      </c>
      <c r="Q224" s="11">
        <f t="shared" si="1"/>
        <v>397</v>
      </c>
      <c r="R224" s="11">
        <f t="shared" si="2"/>
        <v>666</v>
      </c>
      <c r="S224" s="11">
        <f t="shared" si="3"/>
        <v>354</v>
      </c>
      <c r="T224" s="11">
        <f t="shared" si="4"/>
        <v>603</v>
      </c>
      <c r="U224" s="10">
        <f>IF(Q224&gt;0,(I224/Q224-District!$B$4)*100,"")</f>
        <v>27.94796789</v>
      </c>
      <c r="V224" s="10">
        <f>IF(R224&gt;0,(K224/R224-District!$B$5)*100,"")</f>
        <v>26.97675514</v>
      </c>
      <c r="W224" s="10">
        <f>IF(S224&gt;0,(M224/S224-District!$B$6)*100,"")</f>
        <v>24.15822223</v>
      </c>
      <c r="X224" s="10">
        <f>IF(T224&gt;0,(O224/T224-District!$B$7)*100,"")</f>
        <v>23.80374369</v>
      </c>
      <c r="Y224" s="28">
        <f t="shared" si="5"/>
        <v>27.94796722</v>
      </c>
      <c r="Z224" s="5">
        <f t="shared" si="6"/>
        <v>271</v>
      </c>
      <c r="AA224" s="28">
        <f t="shared" si="7"/>
        <v>26.97675479</v>
      </c>
      <c r="AB224" s="5">
        <f t="shared" si="8"/>
        <v>242</v>
      </c>
      <c r="AC224" s="28">
        <f t="shared" si="9"/>
        <v>24.15822163</v>
      </c>
      <c r="AD224" s="5">
        <f t="shared" si="10"/>
        <v>269</v>
      </c>
    </row>
    <row r="225" ht="15.75" customHeight="1">
      <c r="A225" s="5" t="s">
        <v>836</v>
      </c>
      <c r="B225" s="5" t="s">
        <v>445</v>
      </c>
      <c r="C225" s="5" t="s">
        <v>303</v>
      </c>
      <c r="D225" s="5">
        <v>83.0</v>
      </c>
      <c r="E225" s="5" t="s">
        <v>122</v>
      </c>
      <c r="F225" s="5" t="s">
        <v>474</v>
      </c>
      <c r="G225" s="5" t="s">
        <v>474</v>
      </c>
      <c r="H225" s="5" t="s">
        <v>474</v>
      </c>
      <c r="I225" s="11">
        <v>307.0</v>
      </c>
      <c r="J225" s="11">
        <v>59.0</v>
      </c>
      <c r="K225" s="11">
        <v>606.0</v>
      </c>
      <c r="L225" s="11">
        <v>162.0</v>
      </c>
      <c r="M225" s="11">
        <v>353.0</v>
      </c>
      <c r="N225" s="11">
        <v>88.0</v>
      </c>
      <c r="O225" s="11">
        <v>599.0</v>
      </c>
      <c r="P225" s="11">
        <v>203.0</v>
      </c>
      <c r="Q225" s="11">
        <f t="shared" si="1"/>
        <v>366</v>
      </c>
      <c r="R225" s="11">
        <f t="shared" si="2"/>
        <v>768</v>
      </c>
      <c r="S225" s="11">
        <f t="shared" si="3"/>
        <v>441</v>
      </c>
      <c r="T225" s="11">
        <f t="shared" si="4"/>
        <v>802</v>
      </c>
      <c r="U225" s="10">
        <f>IF(Q225&gt;0,(I225/Q225-District!$B$4)*100,"")</f>
        <v>30.4675478</v>
      </c>
      <c r="V225" s="10">
        <f>IF(R225&gt;0,(K225/R225-District!$B$5)*100,"")</f>
        <v>29.15627841</v>
      </c>
      <c r="W225" s="10">
        <f>IF(S225&gt;0,(M225/S225-District!$B$6)*100,"")</f>
        <v>29.06233077</v>
      </c>
      <c r="X225" s="10">
        <f>IF(T225&gt;0,(O225/T225-District!$B$7)*100,"")</f>
        <v>25.19185716</v>
      </c>
      <c r="Y225" s="28">
        <f t="shared" si="5"/>
        <v>30.46754703</v>
      </c>
      <c r="Z225" s="5">
        <f t="shared" si="6"/>
        <v>279</v>
      </c>
      <c r="AA225" s="28">
        <f t="shared" si="7"/>
        <v>29.15627797</v>
      </c>
      <c r="AB225" s="5">
        <f t="shared" si="8"/>
        <v>250</v>
      </c>
      <c r="AC225" s="28">
        <f t="shared" si="9"/>
        <v>29.06232997</v>
      </c>
      <c r="AD225" s="5">
        <f t="shared" si="10"/>
        <v>289</v>
      </c>
    </row>
    <row r="226" ht="15.75" customHeight="1">
      <c r="A226" s="5" t="s">
        <v>837</v>
      </c>
      <c r="B226" s="5" t="s">
        <v>445</v>
      </c>
      <c r="C226" s="5" t="s">
        <v>303</v>
      </c>
      <c r="D226" s="5">
        <v>90.0</v>
      </c>
      <c r="E226" s="5" t="s">
        <v>122</v>
      </c>
      <c r="F226" s="5" t="s">
        <v>475</v>
      </c>
      <c r="G226" s="5" t="s">
        <v>475</v>
      </c>
      <c r="H226" s="5" t="s">
        <v>475</v>
      </c>
      <c r="I226" s="11">
        <v>724.0</v>
      </c>
      <c r="J226" s="11">
        <v>115.0</v>
      </c>
      <c r="K226" s="11">
        <v>759.0</v>
      </c>
      <c r="L226" s="11">
        <v>158.0</v>
      </c>
      <c r="M226" s="11">
        <v>691.0</v>
      </c>
      <c r="N226" s="11">
        <v>98.0</v>
      </c>
      <c r="O226" s="11">
        <v>1506.0</v>
      </c>
      <c r="P226" s="11">
        <v>338.0</v>
      </c>
      <c r="Q226" s="11">
        <f t="shared" si="1"/>
        <v>839</v>
      </c>
      <c r="R226" s="11">
        <f t="shared" si="2"/>
        <v>917</v>
      </c>
      <c r="S226" s="11">
        <f t="shared" si="3"/>
        <v>789</v>
      </c>
      <c r="T226" s="11">
        <f t="shared" si="4"/>
        <v>1844</v>
      </c>
      <c r="U226" s="10">
        <f>IF(Q226&gt;0,(I226/Q226-District!$B$4)*100,"")</f>
        <v>32.88097257</v>
      </c>
      <c r="V226" s="10">
        <f>IF(R226&gt;0,(K226/R226-District!$B$5)*100,"")</f>
        <v>33.01993027</v>
      </c>
      <c r="W226" s="10">
        <f>IF(S226&gt;0,(M226/S226-District!$B$6)*100,"")</f>
        <v>36.59619349</v>
      </c>
      <c r="X226" s="10">
        <f>IF(T226&gt;0,(O226/T226-District!$B$7)*100,"")</f>
        <v>32.17385985</v>
      </c>
      <c r="Y226" s="28">
        <f t="shared" si="5"/>
        <v>33.01992935</v>
      </c>
      <c r="Z226" s="5">
        <f t="shared" si="6"/>
        <v>286</v>
      </c>
      <c r="AA226" s="28">
        <f t="shared" si="7"/>
        <v>36.5961927</v>
      </c>
      <c r="AB226" s="5">
        <f t="shared" si="8"/>
        <v>254</v>
      </c>
      <c r="AC226" s="28">
        <f t="shared" si="9"/>
        <v>36.59619165</v>
      </c>
      <c r="AD226" s="5">
        <f t="shared" si="10"/>
        <v>293</v>
      </c>
    </row>
    <row r="227" ht="15.75" customHeight="1">
      <c r="A227" s="5" t="s">
        <v>838</v>
      </c>
      <c r="B227" s="5" t="s">
        <v>445</v>
      </c>
      <c r="C227" s="5" t="s">
        <v>303</v>
      </c>
      <c r="D227" s="5">
        <v>115.0</v>
      </c>
      <c r="E227" s="5" t="s">
        <v>122</v>
      </c>
      <c r="F227" s="5" t="s">
        <v>476</v>
      </c>
      <c r="G227" s="5" t="s">
        <v>476</v>
      </c>
      <c r="H227" s="5" t="s">
        <v>476</v>
      </c>
      <c r="I227" s="11">
        <v>350.0</v>
      </c>
      <c r="J227" s="11">
        <v>68.0</v>
      </c>
      <c r="K227" s="11">
        <v>656.0</v>
      </c>
      <c r="L227" s="11">
        <v>191.0</v>
      </c>
      <c r="M227" s="11">
        <v>370.0</v>
      </c>
      <c r="N227" s="11">
        <v>96.0</v>
      </c>
      <c r="O227" s="11">
        <v>645.0</v>
      </c>
      <c r="P227" s="11">
        <v>243.0</v>
      </c>
      <c r="Q227" s="11">
        <f t="shared" si="1"/>
        <v>418</v>
      </c>
      <c r="R227" s="11">
        <f t="shared" si="2"/>
        <v>847</v>
      </c>
      <c r="S227" s="11">
        <f t="shared" si="3"/>
        <v>466</v>
      </c>
      <c r="T227" s="11">
        <f t="shared" si="4"/>
        <v>888</v>
      </c>
      <c r="U227" s="10">
        <f>IF(Q227&gt;0,(I227/Q227-District!$B$4)*100,"")</f>
        <v>30.31982379</v>
      </c>
      <c r="V227" s="10">
        <f>IF(R227&gt;0,(K227/R227-District!$B$5)*100,"")</f>
        <v>27.69985132</v>
      </c>
      <c r="W227" s="10">
        <f>IF(S227&gt;0,(M227/S227-District!$B$6)*100,"")</f>
        <v>28.41612093</v>
      </c>
      <c r="X227" s="10">
        <f>IF(T227&gt;0,(O227/T227-District!$B$7)*100,"")</f>
        <v>23.13871299</v>
      </c>
      <c r="Y227" s="28">
        <f t="shared" si="5"/>
        <v>30.31982294</v>
      </c>
      <c r="Z227" s="5">
        <f t="shared" si="6"/>
        <v>277</v>
      </c>
      <c r="AA227" s="28">
        <f t="shared" si="7"/>
        <v>28.41612046</v>
      </c>
      <c r="AB227" s="5">
        <f t="shared" si="8"/>
        <v>246</v>
      </c>
      <c r="AC227" s="28">
        <f t="shared" si="9"/>
        <v>28.41612004</v>
      </c>
      <c r="AD227" s="5">
        <f t="shared" si="10"/>
        <v>286</v>
      </c>
    </row>
    <row r="228" ht="15.75" customHeight="1">
      <c r="A228" s="5" t="s">
        <v>839</v>
      </c>
      <c r="B228" s="5" t="s">
        <v>445</v>
      </c>
      <c r="C228" s="5" t="s">
        <v>303</v>
      </c>
      <c r="D228" s="5">
        <v>130.0</v>
      </c>
      <c r="E228" s="5" t="s">
        <v>122</v>
      </c>
      <c r="F228" s="5" t="s">
        <v>477</v>
      </c>
      <c r="G228" s="5" t="s">
        <v>477</v>
      </c>
      <c r="H228" s="5" t="s">
        <v>477</v>
      </c>
      <c r="I228" s="11">
        <v>496.0</v>
      </c>
      <c r="J228" s="11">
        <v>78.0</v>
      </c>
      <c r="K228" s="11">
        <v>717.0</v>
      </c>
      <c r="L228" s="11">
        <v>241.0</v>
      </c>
      <c r="M228" s="11">
        <v>378.0</v>
      </c>
      <c r="N228" s="11">
        <v>119.0</v>
      </c>
      <c r="O228" s="11">
        <v>628.0</v>
      </c>
      <c r="P228" s="11">
        <v>267.0</v>
      </c>
      <c r="Q228" s="11">
        <f t="shared" si="1"/>
        <v>574</v>
      </c>
      <c r="R228" s="11">
        <f t="shared" si="2"/>
        <v>958</v>
      </c>
      <c r="S228" s="11">
        <f t="shared" si="3"/>
        <v>497</v>
      </c>
      <c r="T228" s="11">
        <f t="shared" si="4"/>
        <v>895</v>
      </c>
      <c r="U228" s="10">
        <f>IF(Q228&gt;0,(I228/Q228-District!$B$4)*100,"")</f>
        <v>32.9989162</v>
      </c>
      <c r="V228" s="10">
        <f>IF(R228&gt;0,(K228/R228-District!$B$5)*100,"")</f>
        <v>25.09345221</v>
      </c>
      <c r="W228" s="10">
        <f>IF(S228&gt;0,(M228/S228-District!$B$6)*100,"")</f>
        <v>25.07331732</v>
      </c>
      <c r="X228" s="10">
        <f>IF(T228&gt;0,(O228/T228-District!$B$7)*100,"")</f>
        <v>20.67117562</v>
      </c>
      <c r="Y228" s="28">
        <f t="shared" si="5"/>
        <v>32.99891524</v>
      </c>
      <c r="Z228" s="5">
        <f t="shared" si="6"/>
        <v>285</v>
      </c>
      <c r="AA228" s="28">
        <f t="shared" si="7"/>
        <v>25.09345171</v>
      </c>
      <c r="AB228" s="5">
        <f t="shared" si="8"/>
        <v>238</v>
      </c>
      <c r="AC228" s="28">
        <f t="shared" si="9"/>
        <v>25.07331643</v>
      </c>
      <c r="AD228" s="5">
        <f t="shared" si="10"/>
        <v>274</v>
      </c>
    </row>
    <row r="229" ht="15.75" customHeight="1">
      <c r="A229" s="5" t="s">
        <v>840</v>
      </c>
      <c r="B229" s="5" t="s">
        <v>445</v>
      </c>
      <c r="C229" s="5" t="s">
        <v>303</v>
      </c>
      <c r="D229" s="5">
        <v>140.0</v>
      </c>
      <c r="E229" s="5" t="s">
        <v>122</v>
      </c>
      <c r="F229" s="5" t="s">
        <v>478</v>
      </c>
      <c r="G229" s="5" t="s">
        <v>478</v>
      </c>
      <c r="H229" s="5" t="s">
        <v>478</v>
      </c>
      <c r="I229" s="11">
        <v>381.0</v>
      </c>
      <c r="J229" s="11">
        <v>133.0</v>
      </c>
      <c r="K229" s="11">
        <v>455.0</v>
      </c>
      <c r="L229" s="11">
        <v>177.0</v>
      </c>
      <c r="M229" s="11">
        <v>412.0</v>
      </c>
      <c r="N229" s="11">
        <v>152.0</v>
      </c>
      <c r="O229" s="11">
        <v>473.0</v>
      </c>
      <c r="P229" s="11">
        <v>153.0</v>
      </c>
      <c r="Q229" s="11">
        <f t="shared" si="1"/>
        <v>514</v>
      </c>
      <c r="R229" s="11">
        <f t="shared" si="2"/>
        <v>632</v>
      </c>
      <c r="S229" s="11">
        <f t="shared" si="3"/>
        <v>564</v>
      </c>
      <c r="T229" s="11">
        <f t="shared" si="4"/>
        <v>626</v>
      </c>
      <c r="U229" s="10">
        <f>IF(Q229&gt;0,(I229/Q229-District!$B$4)*100,"")</f>
        <v>20.71227999</v>
      </c>
      <c r="V229" s="10">
        <f>IF(R229&gt;0,(K229/R229-District!$B$5)*100,"")</f>
        <v>22.2436993</v>
      </c>
      <c r="W229" s="10">
        <f>IF(S229&gt;0,(M229/S229-District!$B$6)*100,"")</f>
        <v>22.06662469</v>
      </c>
      <c r="X229" s="10">
        <f>IF(T229&gt;0,(O229/T229-District!$B$7)*100,"")</f>
        <v>26.06268329</v>
      </c>
      <c r="Y229" s="28">
        <f t="shared" si="5"/>
        <v>22.24369867</v>
      </c>
      <c r="Z229" s="5">
        <f t="shared" si="6"/>
        <v>247</v>
      </c>
      <c r="AA229" s="28">
        <f t="shared" si="7"/>
        <v>22.24369873</v>
      </c>
      <c r="AB229" s="5">
        <f t="shared" si="8"/>
        <v>227</v>
      </c>
      <c r="AC229" s="28">
        <f t="shared" si="9"/>
        <v>26.06268266</v>
      </c>
      <c r="AD229" s="5">
        <f t="shared" si="10"/>
        <v>279</v>
      </c>
    </row>
    <row r="230" ht="15.75" customHeight="1">
      <c r="A230" s="5" t="s">
        <v>841</v>
      </c>
      <c r="B230" s="5" t="s">
        <v>445</v>
      </c>
      <c r="C230" s="5" t="s">
        <v>303</v>
      </c>
      <c r="D230" s="5">
        <v>150.0</v>
      </c>
      <c r="E230" s="5" t="s">
        <v>122</v>
      </c>
      <c r="F230" s="5" t="s">
        <v>479</v>
      </c>
      <c r="G230" s="5" t="s">
        <v>479</v>
      </c>
      <c r="H230" s="5" t="s">
        <v>479</v>
      </c>
      <c r="I230" s="11">
        <v>518.0</v>
      </c>
      <c r="J230" s="11">
        <v>156.0</v>
      </c>
      <c r="K230" s="11">
        <v>762.0</v>
      </c>
      <c r="L230" s="11">
        <v>295.0</v>
      </c>
      <c r="M230" s="11">
        <v>546.0</v>
      </c>
      <c r="N230" s="11">
        <v>190.0</v>
      </c>
      <c r="O230" s="11">
        <v>745.0</v>
      </c>
      <c r="P230" s="11">
        <v>301.0</v>
      </c>
      <c r="Q230" s="11">
        <f t="shared" si="1"/>
        <v>674</v>
      </c>
      <c r="R230" s="11">
        <f t="shared" si="2"/>
        <v>1057</v>
      </c>
      <c r="S230" s="11">
        <f t="shared" si="3"/>
        <v>736</v>
      </c>
      <c r="T230" s="11">
        <f t="shared" si="4"/>
        <v>1046</v>
      </c>
      <c r="U230" s="10">
        <f>IF(Q230&gt;0,(I230/Q230-District!$B$4)*100,"")</f>
        <v>23.44236578</v>
      </c>
      <c r="V230" s="10">
        <f>IF(R230&gt;0,(K230/R230-District!$B$5)*100,"")</f>
        <v>22.3408515</v>
      </c>
      <c r="W230" s="10">
        <f>IF(S230&gt;0,(M230/S230-District!$B$6)*100,"")</f>
        <v>23.2017619</v>
      </c>
      <c r="X230" s="10">
        <f>IF(T230&gt;0,(O230/T230-District!$B$7)*100,"")</f>
        <v>21.72728723</v>
      </c>
      <c r="Y230" s="28">
        <f t="shared" si="5"/>
        <v>23.44236472</v>
      </c>
      <c r="Z230" s="5">
        <f t="shared" si="6"/>
        <v>254</v>
      </c>
      <c r="AA230" s="28">
        <f t="shared" si="7"/>
        <v>23.20176117</v>
      </c>
      <c r="AB230" s="5">
        <f t="shared" si="8"/>
        <v>230</v>
      </c>
      <c r="AC230" s="28">
        <f t="shared" si="9"/>
        <v>23.20176086</v>
      </c>
      <c r="AD230" s="5">
        <f t="shared" si="10"/>
        <v>262</v>
      </c>
    </row>
    <row r="231" ht="15.75" customHeight="1">
      <c r="A231" s="5" t="s">
        <v>842</v>
      </c>
      <c r="B231" s="5" t="s">
        <v>445</v>
      </c>
      <c r="C231" s="5" t="s">
        <v>303</v>
      </c>
      <c r="D231" s="5">
        <v>160.0</v>
      </c>
      <c r="E231" s="5" t="s">
        <v>122</v>
      </c>
      <c r="F231" s="5" t="s">
        <v>480</v>
      </c>
      <c r="G231" s="5" t="s">
        <v>480</v>
      </c>
      <c r="H231" s="5" t="s">
        <v>480</v>
      </c>
      <c r="I231" s="11">
        <v>515.0</v>
      </c>
      <c r="J231" s="11">
        <v>155.0</v>
      </c>
      <c r="K231" s="11">
        <v>764.0</v>
      </c>
      <c r="L231" s="11">
        <v>289.0</v>
      </c>
      <c r="M231" s="11">
        <v>483.0</v>
      </c>
      <c r="N231" s="11">
        <v>192.0</v>
      </c>
      <c r="O231" s="11">
        <v>682.0</v>
      </c>
      <c r="P231" s="11">
        <v>313.0</v>
      </c>
      <c r="Q231" s="11">
        <f t="shared" si="1"/>
        <v>670</v>
      </c>
      <c r="R231" s="11">
        <f t="shared" si="2"/>
        <v>1053</v>
      </c>
      <c r="S231" s="11">
        <f t="shared" si="3"/>
        <v>675</v>
      </c>
      <c r="T231" s="11">
        <f t="shared" si="4"/>
        <v>995</v>
      </c>
      <c r="U231" s="10">
        <f>IF(Q231&gt;0,(I231/Q231-District!$B$4)*100,"")</f>
        <v>23.45343802</v>
      </c>
      <c r="V231" s="10">
        <f>IF(R231&gt;0,(K231/R231-District!$B$5)*100,"")</f>
        <v>22.8046343</v>
      </c>
      <c r="W231" s="10">
        <f>IF(S231&gt;0,(M231/S231-District!$B$6)*100,"")</f>
        <v>20.57253485</v>
      </c>
      <c r="X231" s="10">
        <f>IF(T231&gt;0,(O231/T231-District!$B$7)*100,"")</f>
        <v>19.04629143</v>
      </c>
      <c r="Y231" s="28">
        <f t="shared" si="5"/>
        <v>23.45343696</v>
      </c>
      <c r="Z231" s="5">
        <f t="shared" si="6"/>
        <v>256</v>
      </c>
      <c r="AA231" s="28">
        <f t="shared" si="7"/>
        <v>22.80463363</v>
      </c>
      <c r="AB231" s="5">
        <f t="shared" si="8"/>
        <v>229</v>
      </c>
      <c r="AC231" s="28">
        <f t="shared" si="9"/>
        <v>20.57253386</v>
      </c>
      <c r="AD231" s="5">
        <f t="shared" si="10"/>
        <v>247</v>
      </c>
    </row>
    <row r="232" ht="15.75" customHeight="1">
      <c r="A232" s="5" t="s">
        <v>843</v>
      </c>
      <c r="B232" s="5" t="s">
        <v>445</v>
      </c>
      <c r="C232" s="5" t="s">
        <v>303</v>
      </c>
      <c r="D232" s="5">
        <v>170.0</v>
      </c>
      <c r="E232" s="5" t="s">
        <v>122</v>
      </c>
      <c r="F232" s="5"/>
      <c r="G232" s="5"/>
      <c r="H232" s="5"/>
      <c r="I232" s="11">
        <v>252.0</v>
      </c>
      <c r="J232" s="11">
        <v>82.0</v>
      </c>
      <c r="K232" s="11">
        <v>344.0</v>
      </c>
      <c r="L232" s="11">
        <v>157.0</v>
      </c>
      <c r="M232" s="11">
        <v>240.0</v>
      </c>
      <c r="N232" s="11">
        <v>102.0</v>
      </c>
      <c r="O232" s="11">
        <v>325.0</v>
      </c>
      <c r="P232" s="11">
        <v>176.0</v>
      </c>
      <c r="Q232" s="11">
        <f t="shared" si="1"/>
        <v>334</v>
      </c>
      <c r="R232" s="11">
        <f t="shared" si="2"/>
        <v>501</v>
      </c>
      <c r="S232" s="11">
        <f t="shared" si="3"/>
        <v>342</v>
      </c>
      <c r="T232" s="11">
        <f t="shared" si="4"/>
        <v>501</v>
      </c>
      <c r="U232" s="10">
        <f>IF(Q232&gt;0,(I232/Q232-District!$B$4)*100,"")</f>
        <v>22.03686817</v>
      </c>
      <c r="V232" s="10">
        <f>IF(R232&gt;0,(K232/R232-District!$B$5)*100,"")</f>
        <v>18.91270306</v>
      </c>
      <c r="W232" s="10">
        <f>IF(S232&gt;0,(M232/S232-District!$B$6)*100,"")</f>
        <v>19.19241789</v>
      </c>
      <c r="X232" s="10">
        <f>IF(T232&gt;0,(O232/T232-District!$B$7)*100,"")</f>
        <v>15.37383734</v>
      </c>
      <c r="Y232" s="28" t="str">
        <f t="shared" si="5"/>
        <v/>
      </c>
      <c r="Z232" s="5" t="str">
        <f t="shared" si="6"/>
        <v/>
      </c>
      <c r="AA232" s="28" t="str">
        <f t="shared" si="7"/>
        <v/>
      </c>
      <c r="AB232" s="5" t="str">
        <f t="shared" si="8"/>
        <v/>
      </c>
      <c r="AC232" s="28" t="str">
        <f t="shared" si="9"/>
        <v/>
      </c>
      <c r="AD232" s="5" t="str">
        <f t="shared" si="10"/>
        <v/>
      </c>
    </row>
    <row r="233" ht="15.75" customHeight="1">
      <c r="A233" s="5" t="s">
        <v>844</v>
      </c>
      <c r="B233" s="5" t="s">
        <v>445</v>
      </c>
      <c r="C233" s="5" t="s">
        <v>303</v>
      </c>
      <c r="D233" s="5">
        <v>180.0</v>
      </c>
      <c r="E233" s="5" t="s">
        <v>122</v>
      </c>
      <c r="F233" s="5"/>
      <c r="G233" s="5"/>
      <c r="H233" s="5"/>
      <c r="I233" s="11">
        <v>293.0</v>
      </c>
      <c r="J233" s="11">
        <v>98.0</v>
      </c>
      <c r="K233" s="11">
        <v>394.0</v>
      </c>
      <c r="L233" s="11">
        <v>169.0</v>
      </c>
      <c r="M233" s="11">
        <v>307.0</v>
      </c>
      <c r="N233" s="11">
        <v>114.0</v>
      </c>
      <c r="O233" s="11">
        <v>393.0</v>
      </c>
      <c r="P233" s="11">
        <v>171.0</v>
      </c>
      <c r="Q233" s="11">
        <f t="shared" si="1"/>
        <v>391</v>
      </c>
      <c r="R233" s="11">
        <f t="shared" si="2"/>
        <v>563</v>
      </c>
      <c r="S233" s="11">
        <f t="shared" si="3"/>
        <v>421</v>
      </c>
      <c r="T233" s="11">
        <f t="shared" si="4"/>
        <v>564</v>
      </c>
      <c r="U233" s="10">
        <f>IF(Q233&gt;0,(I233/Q233-District!$B$4)*100,"")</f>
        <v>21.52382776</v>
      </c>
      <c r="V233" s="10">
        <f>IF(R233&gt;0,(K233/R233-District!$B$5)*100,"")</f>
        <v>20.23226642</v>
      </c>
      <c r="W233" s="10">
        <f>IF(S233&gt;0,(M233/S233-District!$B$6)*100,"")</f>
        <v>21.9385945</v>
      </c>
      <c r="X233" s="10">
        <f>IF(T233&gt;0,(O233/T233-District!$B$7)*100,"")</f>
        <v>20.18442892</v>
      </c>
      <c r="Y233" s="28" t="str">
        <f t="shared" si="5"/>
        <v/>
      </c>
      <c r="Z233" s="5" t="str">
        <f t="shared" si="6"/>
        <v/>
      </c>
      <c r="AA233" s="28" t="str">
        <f t="shared" si="7"/>
        <v/>
      </c>
      <c r="AB233" s="5" t="str">
        <f t="shared" si="8"/>
        <v/>
      </c>
      <c r="AC233" s="28" t="str">
        <f t="shared" si="9"/>
        <v/>
      </c>
      <c r="AD233" s="5" t="str">
        <f t="shared" si="10"/>
        <v/>
      </c>
    </row>
    <row r="234" ht="15.75" customHeight="1">
      <c r="A234" s="5" t="s">
        <v>845</v>
      </c>
      <c r="B234" s="5" t="s">
        <v>445</v>
      </c>
      <c r="C234" s="5" t="s">
        <v>303</v>
      </c>
      <c r="D234" s="5">
        <v>190.0</v>
      </c>
      <c r="E234" s="5" t="s">
        <v>122</v>
      </c>
      <c r="F234" s="5" t="s">
        <v>481</v>
      </c>
      <c r="G234" s="5" t="s">
        <v>481</v>
      </c>
      <c r="H234" s="5" t="s">
        <v>481</v>
      </c>
      <c r="I234" s="11">
        <v>464.0</v>
      </c>
      <c r="J234" s="11">
        <v>207.0</v>
      </c>
      <c r="K234" s="11">
        <v>687.0</v>
      </c>
      <c r="L234" s="11">
        <v>362.0</v>
      </c>
      <c r="M234" s="11">
        <v>563.0</v>
      </c>
      <c r="N234" s="11">
        <v>231.0</v>
      </c>
      <c r="O234" s="11">
        <v>711.0</v>
      </c>
      <c r="P234" s="11">
        <v>341.0</v>
      </c>
      <c r="Q234" s="11">
        <f t="shared" si="1"/>
        <v>671</v>
      </c>
      <c r="R234" s="11">
        <f t="shared" si="2"/>
        <v>1049</v>
      </c>
      <c r="S234" s="11">
        <f t="shared" si="3"/>
        <v>794</v>
      </c>
      <c r="T234" s="11">
        <f t="shared" si="4"/>
        <v>1052</v>
      </c>
      <c r="U234" s="10">
        <f>IF(Q234&gt;0,(I234/Q234-District!$B$4)*100,"")</f>
        <v>15.73828798</v>
      </c>
      <c r="V234" s="10">
        <f>IF(R234&gt;0,(K234/R234-District!$B$5)*100,"")</f>
        <v>15.74097217</v>
      </c>
      <c r="W234" s="10">
        <f>IF(S234&gt;0,(M234/S234-District!$B$6)*100,"")</f>
        <v>19.9237803</v>
      </c>
      <c r="X234" s="10">
        <f>IF(T234&gt;0,(O234/T234-District!$B$7)*100,"")</f>
        <v>18.08912919</v>
      </c>
      <c r="Y234" s="28">
        <f t="shared" si="5"/>
        <v>15.74097112</v>
      </c>
      <c r="Z234" s="5">
        <f t="shared" si="6"/>
        <v>189</v>
      </c>
      <c r="AA234" s="28">
        <f t="shared" si="7"/>
        <v>19.92377951</v>
      </c>
      <c r="AB234" s="5">
        <f t="shared" si="8"/>
        <v>213</v>
      </c>
      <c r="AC234" s="28">
        <f t="shared" si="9"/>
        <v>19.92377925</v>
      </c>
      <c r="AD234" s="5">
        <f t="shared" si="10"/>
        <v>239</v>
      </c>
    </row>
    <row r="235" ht="15.75" customHeight="1">
      <c r="A235" s="5" t="s">
        <v>846</v>
      </c>
      <c r="B235" s="5" t="s">
        <v>445</v>
      </c>
      <c r="C235" s="5" t="s">
        <v>303</v>
      </c>
      <c r="D235" s="5">
        <v>200.0</v>
      </c>
      <c r="E235" s="5" t="s">
        <v>122</v>
      </c>
      <c r="F235" s="5" t="s">
        <v>456</v>
      </c>
      <c r="G235" s="5" t="s">
        <v>456</v>
      </c>
      <c r="H235" s="5" t="s">
        <v>456</v>
      </c>
      <c r="I235" s="11">
        <v>541.0</v>
      </c>
      <c r="J235" s="11">
        <v>330.0</v>
      </c>
      <c r="K235" s="11">
        <v>684.0</v>
      </c>
      <c r="L235" s="11">
        <v>450.0</v>
      </c>
      <c r="M235" s="11">
        <v>605.0</v>
      </c>
      <c r="N235" s="11">
        <v>353.0</v>
      </c>
      <c r="O235" s="11">
        <v>775.0</v>
      </c>
      <c r="P235" s="11">
        <v>447.0</v>
      </c>
      <c r="Q235" s="11">
        <f t="shared" si="1"/>
        <v>871</v>
      </c>
      <c r="R235" s="11">
        <f t="shared" si="2"/>
        <v>1134</v>
      </c>
      <c r="S235" s="11">
        <f t="shared" si="3"/>
        <v>958</v>
      </c>
      <c r="T235" s="11">
        <f t="shared" si="4"/>
        <v>1222</v>
      </c>
      <c r="U235" s="10">
        <f>IF(Q235&gt;0,(I235/Q235-District!$B$4)*100,"")</f>
        <v>8.700280726</v>
      </c>
      <c r="V235" s="10">
        <f>IF(R235&gt;0,(K235/R235-District!$B$5)*100,"")</f>
        <v>10.56748873</v>
      </c>
      <c r="W235" s="10">
        <f>IF(S235&gt;0,(M235/S235-District!$B$6)*100,"")</f>
        <v>12.16938013</v>
      </c>
      <c r="X235" s="10">
        <f>IF(T235&gt;0,(O235/T235-District!$B$7)*100,"")</f>
        <v>13.92419979</v>
      </c>
      <c r="Y235" s="28">
        <f t="shared" si="5"/>
        <v>10.5674876</v>
      </c>
      <c r="Z235" s="5">
        <f t="shared" si="6"/>
        <v>131</v>
      </c>
      <c r="AA235" s="28">
        <f t="shared" si="7"/>
        <v>12.16937917</v>
      </c>
      <c r="AB235" s="5">
        <f t="shared" si="8"/>
        <v>140</v>
      </c>
      <c r="AC235" s="28">
        <f t="shared" si="9"/>
        <v>13.92419857</v>
      </c>
      <c r="AD235" s="5">
        <f t="shared" si="10"/>
        <v>182</v>
      </c>
    </row>
    <row r="236" ht="15.75" customHeight="1">
      <c r="A236" s="5" t="s">
        <v>847</v>
      </c>
      <c r="B236" s="5" t="s">
        <v>445</v>
      </c>
      <c r="C236" s="5" t="s">
        <v>303</v>
      </c>
      <c r="D236" s="5">
        <v>210.0</v>
      </c>
      <c r="E236" s="5" t="s">
        <v>122</v>
      </c>
      <c r="F236" s="5" t="s">
        <v>457</v>
      </c>
      <c r="G236" s="5" t="s">
        <v>457</v>
      </c>
      <c r="H236" s="5" t="s">
        <v>457</v>
      </c>
      <c r="I236" s="11">
        <v>705.0</v>
      </c>
      <c r="J236" s="11">
        <v>516.0</v>
      </c>
      <c r="K236" s="11">
        <v>954.0</v>
      </c>
      <c r="L236" s="11">
        <v>665.0</v>
      </c>
      <c r="M236" s="11">
        <v>841.0</v>
      </c>
      <c r="N236" s="11">
        <v>547.0</v>
      </c>
      <c r="O236" s="11">
        <v>982.0</v>
      </c>
      <c r="P236" s="11">
        <v>684.0</v>
      </c>
      <c r="Q236" s="11">
        <f t="shared" si="1"/>
        <v>1221</v>
      </c>
      <c r="R236" s="11">
        <f t="shared" si="2"/>
        <v>1619</v>
      </c>
      <c r="S236" s="11">
        <f t="shared" si="3"/>
        <v>1388</v>
      </c>
      <c r="T236" s="11">
        <f t="shared" si="4"/>
        <v>1666</v>
      </c>
      <c r="U236" s="10">
        <f>IF(Q236&gt;0,(I236/Q236-District!$B$4)*100,"")</f>
        <v>4.327324114</v>
      </c>
      <c r="V236" s="10">
        <f>IF(R236&gt;0,(K236/R236-District!$B$5)*100,"")</f>
        <v>9.17529092</v>
      </c>
      <c r="W236" s="10">
        <f>IF(S236&gt;0,(M236/S236-District!$B$6)*100,"")</f>
        <v>9.607757393</v>
      </c>
      <c r="X236" s="10">
        <f>IF(T236&gt;0,(O236/T236-District!$B$7)*100,"")</f>
        <v>9.447155288</v>
      </c>
      <c r="Y236" s="28">
        <f t="shared" si="5"/>
        <v>9.175289301</v>
      </c>
      <c r="Z236" s="5">
        <f t="shared" si="6"/>
        <v>117</v>
      </c>
      <c r="AA236" s="28">
        <f t="shared" si="7"/>
        <v>9.607756005</v>
      </c>
      <c r="AB236" s="5">
        <f t="shared" si="8"/>
        <v>117</v>
      </c>
      <c r="AC236" s="28">
        <f t="shared" si="9"/>
        <v>9.607755727</v>
      </c>
      <c r="AD236" s="5">
        <f t="shared" si="10"/>
        <v>126</v>
      </c>
    </row>
    <row r="237" ht="15.75" customHeight="1">
      <c r="A237" s="5" t="s">
        <v>848</v>
      </c>
      <c r="B237" s="5" t="s">
        <v>445</v>
      </c>
      <c r="C237" s="5" t="s">
        <v>303</v>
      </c>
      <c r="D237" s="5">
        <v>220.0</v>
      </c>
      <c r="E237" s="5" t="s">
        <v>122</v>
      </c>
      <c r="F237" s="5" t="s">
        <v>458</v>
      </c>
      <c r="G237" s="5" t="s">
        <v>458</v>
      </c>
      <c r="H237" s="5" t="s">
        <v>458</v>
      </c>
      <c r="I237" s="11">
        <v>586.0</v>
      </c>
      <c r="J237" s="11">
        <v>305.0</v>
      </c>
      <c r="K237" s="11">
        <v>739.0</v>
      </c>
      <c r="L237" s="11">
        <v>437.0</v>
      </c>
      <c r="M237" s="11">
        <v>630.0</v>
      </c>
      <c r="N237" s="11">
        <v>301.0</v>
      </c>
      <c r="O237" s="11">
        <v>750.0</v>
      </c>
      <c r="P237" s="11">
        <v>421.0</v>
      </c>
      <c r="Q237" s="11">
        <f t="shared" si="1"/>
        <v>891</v>
      </c>
      <c r="R237" s="11">
        <f t="shared" si="2"/>
        <v>1176</v>
      </c>
      <c r="S237" s="11">
        <f t="shared" si="3"/>
        <v>931</v>
      </c>
      <c r="T237" s="11">
        <f t="shared" si="4"/>
        <v>1171</v>
      </c>
      <c r="U237" s="10">
        <f>IF(Q237&gt;0,(I237/Q237-District!$B$4)*100,"")</f>
        <v>12.35656548</v>
      </c>
      <c r="V237" s="10">
        <f>IF(R237&gt;0,(K237/R237-District!$B$5)*100,"")</f>
        <v>13.09016447</v>
      </c>
      <c r="W237" s="10">
        <f>IF(S237&gt;0,(M237/S237-District!$B$6)*100,"")</f>
        <v>16.68615223</v>
      </c>
      <c r="X237" s="10">
        <f>IF(T237&gt;0,(O237/T237-District!$B$7)*100,"")</f>
        <v>14.55140023</v>
      </c>
      <c r="Y237" s="28">
        <f t="shared" si="5"/>
        <v>13.09016329</v>
      </c>
      <c r="Z237" s="5">
        <f t="shared" si="6"/>
        <v>159</v>
      </c>
      <c r="AA237" s="28">
        <f t="shared" si="7"/>
        <v>16.6861513</v>
      </c>
      <c r="AB237" s="5">
        <f t="shared" si="8"/>
        <v>185</v>
      </c>
      <c r="AC237" s="28">
        <f t="shared" si="9"/>
        <v>16.68615106</v>
      </c>
      <c r="AD237" s="5">
        <f t="shared" si="10"/>
        <v>211</v>
      </c>
    </row>
    <row r="238" ht="15.75" customHeight="1">
      <c r="A238" s="5" t="s">
        <v>849</v>
      </c>
      <c r="B238" s="5" t="s">
        <v>445</v>
      </c>
      <c r="C238" s="5" t="s">
        <v>303</v>
      </c>
      <c r="D238" s="5">
        <v>230.0</v>
      </c>
      <c r="E238" s="5" t="s">
        <v>122</v>
      </c>
      <c r="F238" s="5" t="s">
        <v>461</v>
      </c>
      <c r="G238" s="5" t="s">
        <v>461</v>
      </c>
      <c r="H238" s="5" t="s">
        <v>461</v>
      </c>
      <c r="I238" s="11">
        <v>437.0</v>
      </c>
      <c r="J238" s="11">
        <v>203.0</v>
      </c>
      <c r="K238" s="11">
        <v>612.0</v>
      </c>
      <c r="L238" s="11">
        <v>338.0</v>
      </c>
      <c r="M238" s="11">
        <v>463.0</v>
      </c>
      <c r="N238" s="11">
        <v>238.0</v>
      </c>
      <c r="O238" s="11">
        <v>592.0</v>
      </c>
      <c r="P238" s="11">
        <v>337.0</v>
      </c>
      <c r="Q238" s="11">
        <f t="shared" si="1"/>
        <v>640</v>
      </c>
      <c r="R238" s="11">
        <f t="shared" si="2"/>
        <v>950</v>
      </c>
      <c r="S238" s="11">
        <f t="shared" si="3"/>
        <v>701</v>
      </c>
      <c r="T238" s="11">
        <f t="shared" si="4"/>
        <v>929</v>
      </c>
      <c r="U238" s="10">
        <f>IF(Q238&gt;0,(I238/Q238-District!$B$4)*100,"")</f>
        <v>14.86901637</v>
      </c>
      <c r="V238" s="10">
        <f>IF(R238&gt;0,(K238/R238-District!$B$5)*100,"")</f>
        <v>14.67108104</v>
      </c>
      <c r="W238" s="10">
        <f>IF(S238&gt;0,(M238/S238-District!$B$6)*100,"")</f>
        <v>15.06548144</v>
      </c>
      <c r="X238" s="10">
        <f>IF(T238&gt;0,(O238/T238-District!$B$7)*100,"")</f>
        <v>14.22801273</v>
      </c>
      <c r="Y238" s="28">
        <f t="shared" si="5"/>
        <v>14.86901542</v>
      </c>
      <c r="Z238" s="5">
        <f t="shared" si="6"/>
        <v>174</v>
      </c>
      <c r="AA238" s="28">
        <f t="shared" si="7"/>
        <v>15.06548073</v>
      </c>
      <c r="AB238" s="5">
        <f t="shared" si="8"/>
        <v>169</v>
      </c>
      <c r="AC238" s="28">
        <f t="shared" si="9"/>
        <v>15.06548051</v>
      </c>
      <c r="AD238" s="5">
        <f t="shared" si="10"/>
        <v>193</v>
      </c>
    </row>
    <row r="239" ht="15.75" customHeight="1">
      <c r="A239" s="5" t="s">
        <v>850</v>
      </c>
      <c r="B239" s="5" t="s">
        <v>445</v>
      </c>
      <c r="C239" s="5" t="s">
        <v>303</v>
      </c>
      <c r="D239" s="5">
        <v>240.0</v>
      </c>
      <c r="E239" s="5" t="s">
        <v>122</v>
      </c>
      <c r="F239" s="5" t="s">
        <v>462</v>
      </c>
      <c r="G239" s="5" t="s">
        <v>462</v>
      </c>
      <c r="H239" s="5" t="s">
        <v>462</v>
      </c>
      <c r="I239" s="11">
        <v>564.0</v>
      </c>
      <c r="J239" s="11">
        <v>322.0</v>
      </c>
      <c r="K239" s="11">
        <v>768.0</v>
      </c>
      <c r="L239" s="11">
        <v>541.0</v>
      </c>
      <c r="M239" s="11">
        <v>594.0</v>
      </c>
      <c r="N239" s="11">
        <v>383.0</v>
      </c>
      <c r="O239" s="11">
        <v>740.0</v>
      </c>
      <c r="P239" s="11">
        <v>506.0</v>
      </c>
      <c r="Q239" s="11">
        <f t="shared" si="1"/>
        <v>886</v>
      </c>
      <c r="R239" s="11">
        <f t="shared" si="2"/>
        <v>1309</v>
      </c>
      <c r="S239" s="11">
        <f t="shared" si="3"/>
        <v>977</v>
      </c>
      <c r="T239" s="11">
        <f t="shared" si="4"/>
        <v>1246</v>
      </c>
      <c r="U239" s="10">
        <f>IF(Q239&gt;0,(I239/Q239-District!$B$4)*100,"")</f>
        <v>10.24465125</v>
      </c>
      <c r="V239" s="10">
        <f>IF(R239&gt;0,(K239/R239-District!$B$5)*100,"")</f>
        <v>8.920769436</v>
      </c>
      <c r="W239" s="10">
        <f>IF(S239&gt;0,(M239/S239-District!$B$6)*100,"")</f>
        <v>9.815341629</v>
      </c>
      <c r="X239" s="10">
        <f>IF(T239&gt;0,(O239/T239-District!$B$7)*100,"")</f>
        <v>9.893626012</v>
      </c>
      <c r="Y239" s="28">
        <f t="shared" si="5"/>
        <v>10.24464994</v>
      </c>
      <c r="Z239" s="5">
        <f t="shared" si="6"/>
        <v>127</v>
      </c>
      <c r="AA239" s="28">
        <f t="shared" si="7"/>
        <v>9.815340652</v>
      </c>
      <c r="AB239" s="5">
        <f t="shared" si="8"/>
        <v>119</v>
      </c>
      <c r="AC239" s="28">
        <f t="shared" si="9"/>
        <v>9.893624766</v>
      </c>
      <c r="AD239" s="5">
        <f t="shared" si="10"/>
        <v>129</v>
      </c>
    </row>
    <row r="240" ht="15.75" customHeight="1">
      <c r="A240" s="5" t="s">
        <v>851</v>
      </c>
      <c r="B240" s="5" t="s">
        <v>445</v>
      </c>
      <c r="C240" s="5" t="s">
        <v>303</v>
      </c>
      <c r="D240" s="5">
        <v>250.0</v>
      </c>
      <c r="E240" s="5" t="s">
        <v>122</v>
      </c>
      <c r="F240" s="5" t="s">
        <v>463</v>
      </c>
      <c r="G240" s="5" t="s">
        <v>463</v>
      </c>
      <c r="H240" s="5" t="s">
        <v>463</v>
      </c>
      <c r="I240" s="11">
        <v>675.0</v>
      </c>
      <c r="J240" s="11">
        <v>378.0</v>
      </c>
      <c r="K240" s="11">
        <v>1118.0</v>
      </c>
      <c r="L240" s="11">
        <v>584.0</v>
      </c>
      <c r="M240" s="11">
        <v>777.0</v>
      </c>
      <c r="N240" s="11">
        <v>422.0</v>
      </c>
      <c r="O240" s="11">
        <v>1037.0</v>
      </c>
      <c r="P240" s="11">
        <v>623.0</v>
      </c>
      <c r="Q240" s="11">
        <f t="shared" si="1"/>
        <v>1053</v>
      </c>
      <c r="R240" s="11">
        <f t="shared" si="2"/>
        <v>1702</v>
      </c>
      <c r="S240" s="11">
        <f t="shared" si="3"/>
        <v>1199</v>
      </c>
      <c r="T240" s="11">
        <f t="shared" si="4"/>
        <v>1660</v>
      </c>
      <c r="U240" s="10">
        <f>IF(Q240&gt;0,(I240/Q240-District!$B$4)*100,"")</f>
        <v>10.69033048</v>
      </c>
      <c r="V240" s="10">
        <f>IF(R240&gt;0,(K240/R240-District!$B$5)*100,"")</f>
        <v>15.93745497</v>
      </c>
      <c r="W240" s="10">
        <f>IF(S240&gt;0,(M240/S240-District!$B$6)*100,"")</f>
        <v>13.82098263</v>
      </c>
      <c r="X240" s="10">
        <f>IF(T240&gt;0,(O240/T240-District!$B$7)*100,"")</f>
        <v>12.97345738</v>
      </c>
      <c r="Y240" s="28">
        <f t="shared" si="5"/>
        <v>15.93745327</v>
      </c>
      <c r="Z240" s="5">
        <f t="shared" si="6"/>
        <v>193</v>
      </c>
      <c r="AA240" s="28">
        <f t="shared" si="7"/>
        <v>15.93745377</v>
      </c>
      <c r="AB240" s="5">
        <f t="shared" si="8"/>
        <v>175</v>
      </c>
      <c r="AC240" s="28">
        <f t="shared" si="9"/>
        <v>13.82098097</v>
      </c>
      <c r="AD240" s="5">
        <f t="shared" si="10"/>
        <v>179</v>
      </c>
    </row>
    <row r="241" ht="15.75" customHeight="1">
      <c r="A241" s="5" t="s">
        <v>852</v>
      </c>
      <c r="B241" s="5" t="s">
        <v>445</v>
      </c>
      <c r="C241" s="5" t="s">
        <v>303</v>
      </c>
      <c r="D241" s="5">
        <v>255.0</v>
      </c>
      <c r="E241" s="5" t="s">
        <v>122</v>
      </c>
      <c r="F241" s="5" t="s">
        <v>464</v>
      </c>
      <c r="G241" s="5" t="s">
        <v>464</v>
      </c>
      <c r="H241" s="5" t="s">
        <v>464</v>
      </c>
      <c r="I241" s="11">
        <v>530.0</v>
      </c>
      <c r="J241" s="11">
        <v>384.0</v>
      </c>
      <c r="K241" s="11">
        <v>673.0</v>
      </c>
      <c r="L241" s="11">
        <v>519.0</v>
      </c>
      <c r="M241" s="11">
        <v>611.0</v>
      </c>
      <c r="N241" s="11">
        <v>412.0</v>
      </c>
      <c r="O241" s="11">
        <v>681.0</v>
      </c>
      <c r="P241" s="11">
        <v>513.0</v>
      </c>
      <c r="Q241" s="11">
        <f t="shared" si="1"/>
        <v>914</v>
      </c>
      <c r="R241" s="11">
        <f t="shared" si="2"/>
        <v>1192</v>
      </c>
      <c r="S241" s="11">
        <f t="shared" si="3"/>
        <v>1023</v>
      </c>
      <c r="T241" s="11">
        <f t="shared" si="4"/>
        <v>1194</v>
      </c>
      <c r="U241" s="10">
        <f>IF(Q241&gt;0,(I241/Q241-District!$B$4)*100,"")</f>
        <v>4.574637272</v>
      </c>
      <c r="V241" s="10">
        <f>IF(R241&gt;0,(K241/R241-District!$B$5)*100,"")</f>
        <v>6.709759956</v>
      </c>
      <c r="W241" s="10">
        <f>IF(S241&gt;0,(M241/S241-District!$B$6)*100,"")</f>
        <v>8.743274506</v>
      </c>
      <c r="X241" s="10">
        <f>IF(T241&gt;0,(O241/T241-District!$B$7)*100,"")</f>
        <v>7.538753737</v>
      </c>
      <c r="Y241" s="28">
        <f t="shared" si="5"/>
        <v>6.709758764</v>
      </c>
      <c r="Z241" s="5">
        <f t="shared" si="6"/>
        <v>96</v>
      </c>
      <c r="AA241" s="28">
        <f t="shared" si="7"/>
        <v>8.743273483</v>
      </c>
      <c r="AB241" s="5">
        <f t="shared" si="8"/>
        <v>110</v>
      </c>
      <c r="AC241" s="28">
        <f t="shared" si="9"/>
        <v>8.743273312</v>
      </c>
      <c r="AD241" s="5">
        <f t="shared" si="10"/>
        <v>120</v>
      </c>
    </row>
    <row r="242" ht="15.75" customHeight="1">
      <c r="A242" s="5" t="s">
        <v>853</v>
      </c>
      <c r="B242" s="5" t="s">
        <v>445</v>
      </c>
      <c r="C242" s="5" t="s">
        <v>303</v>
      </c>
      <c r="D242" s="5">
        <v>260.0</v>
      </c>
      <c r="E242" s="5" t="s">
        <v>122</v>
      </c>
      <c r="F242" s="5" t="s">
        <v>465</v>
      </c>
      <c r="G242" s="5" t="s">
        <v>465</v>
      </c>
      <c r="H242" s="5" t="s">
        <v>465</v>
      </c>
      <c r="I242" s="11">
        <v>411.0</v>
      </c>
      <c r="J242" s="11">
        <v>217.0</v>
      </c>
      <c r="K242" s="11">
        <v>542.0</v>
      </c>
      <c r="L242" s="11">
        <v>327.0</v>
      </c>
      <c r="M242" s="11">
        <v>458.0</v>
      </c>
      <c r="N242" s="11">
        <v>241.0</v>
      </c>
      <c r="O242" s="11">
        <v>529.0</v>
      </c>
      <c r="P242" s="11">
        <v>293.0</v>
      </c>
      <c r="Q242" s="11">
        <f t="shared" si="1"/>
        <v>628</v>
      </c>
      <c r="R242" s="11">
        <f t="shared" si="2"/>
        <v>869</v>
      </c>
      <c r="S242" s="11">
        <f t="shared" si="3"/>
        <v>699</v>
      </c>
      <c r="T242" s="11">
        <f t="shared" si="4"/>
        <v>822</v>
      </c>
      <c r="U242" s="10">
        <f>IF(Q242&gt;0,(I242/Q242-District!$B$4)*100,"")</f>
        <v>12.03362625</v>
      </c>
      <c r="V242" s="10">
        <f>IF(R242&gt;0,(K242/R242-District!$B$5)*100,"")</f>
        <v>12.62056926</v>
      </c>
      <c r="W242" s="10">
        <f>IF(S242&gt;0,(M242/S242-District!$B$6)*100,"")</f>
        <v>14.53915383</v>
      </c>
      <c r="X242" s="10">
        <f>IF(T242&gt;0,(O242/T242-District!$B$7)*100,"")</f>
        <v>14.858809</v>
      </c>
      <c r="Y242" s="28">
        <f t="shared" si="5"/>
        <v>12.62056839</v>
      </c>
      <c r="Z242" s="5">
        <f t="shared" si="6"/>
        <v>147</v>
      </c>
      <c r="AA242" s="28">
        <f t="shared" si="7"/>
        <v>14.53915313</v>
      </c>
      <c r="AB242" s="5">
        <f t="shared" si="8"/>
        <v>167</v>
      </c>
      <c r="AC242" s="28">
        <f t="shared" si="9"/>
        <v>14.85880818</v>
      </c>
      <c r="AD242" s="5">
        <f t="shared" si="10"/>
        <v>192</v>
      </c>
    </row>
    <row r="243" ht="15.75" customHeight="1">
      <c r="A243" s="5" t="s">
        <v>854</v>
      </c>
      <c r="B243" s="5" t="s">
        <v>445</v>
      </c>
      <c r="C243" s="5" t="s">
        <v>303</v>
      </c>
      <c r="D243" s="5">
        <v>270.0</v>
      </c>
      <c r="E243" s="5" t="s">
        <v>122</v>
      </c>
      <c r="F243" s="5" t="s">
        <v>466</v>
      </c>
      <c r="G243" s="5" t="s">
        <v>466</v>
      </c>
      <c r="H243" s="5" t="s">
        <v>466</v>
      </c>
      <c r="I243" s="11">
        <v>508.0</v>
      </c>
      <c r="J243" s="11">
        <v>228.0</v>
      </c>
      <c r="K243" s="11">
        <v>630.0</v>
      </c>
      <c r="L243" s="11">
        <v>381.0</v>
      </c>
      <c r="M243" s="11">
        <v>545.0</v>
      </c>
      <c r="N243" s="11">
        <v>242.0</v>
      </c>
      <c r="O243" s="11">
        <v>767.0</v>
      </c>
      <c r="P243" s="11">
        <v>384.0</v>
      </c>
      <c r="Q243" s="11">
        <f t="shared" si="1"/>
        <v>736</v>
      </c>
      <c r="R243" s="11">
        <f t="shared" si="2"/>
        <v>1011</v>
      </c>
      <c r="S243" s="11">
        <f t="shared" si="3"/>
        <v>787</v>
      </c>
      <c r="T243" s="11">
        <f t="shared" si="4"/>
        <v>1151</v>
      </c>
      <c r="U243" s="10">
        <f>IF(Q243&gt;0,(I243/Q243-District!$B$4)*100,"")</f>
        <v>15.6095055</v>
      </c>
      <c r="V243" s="10">
        <f>IF(R243&gt;0,(K243/R243-District!$B$5)*100,"")</f>
        <v>12.56456847</v>
      </c>
      <c r="W243" s="10">
        <f>IF(S243&gt;0,(M243/S243-District!$B$6)*100,"")</f>
        <v>18.26729696</v>
      </c>
      <c r="X243" s="10">
        <f>IF(T243&gt;0,(O243/T243-District!$B$7)*100,"")</f>
        <v>17.1412842</v>
      </c>
      <c r="Y243" s="28">
        <f t="shared" si="5"/>
        <v>15.60950449</v>
      </c>
      <c r="Z243" s="5">
        <f t="shared" si="6"/>
        <v>185</v>
      </c>
      <c r="AA243" s="28">
        <f t="shared" si="7"/>
        <v>18.26729617</v>
      </c>
      <c r="AB243" s="5">
        <f t="shared" si="8"/>
        <v>198</v>
      </c>
      <c r="AC243" s="28">
        <f t="shared" si="9"/>
        <v>18.26729581</v>
      </c>
      <c r="AD243" s="5">
        <f t="shared" si="10"/>
        <v>225</v>
      </c>
    </row>
    <row r="244" ht="15.75" customHeight="1">
      <c r="A244" s="5" t="s">
        <v>855</v>
      </c>
      <c r="B244" s="5" t="s">
        <v>445</v>
      </c>
      <c r="C244" s="5" t="s">
        <v>303</v>
      </c>
      <c r="D244" s="5">
        <v>280.0</v>
      </c>
      <c r="E244" s="5" t="s">
        <v>122</v>
      </c>
      <c r="F244" s="5" t="s">
        <v>467</v>
      </c>
      <c r="G244" s="5" t="s">
        <v>467</v>
      </c>
      <c r="H244" s="5" t="s">
        <v>467</v>
      </c>
      <c r="I244" s="11">
        <v>676.0</v>
      </c>
      <c r="J244" s="11">
        <v>328.0</v>
      </c>
      <c r="K244" s="11">
        <v>911.0</v>
      </c>
      <c r="L244" s="11">
        <v>550.0</v>
      </c>
      <c r="M244" s="11">
        <v>710.0</v>
      </c>
      <c r="N244" s="11">
        <v>403.0</v>
      </c>
      <c r="O244" s="11">
        <v>906.0</v>
      </c>
      <c r="P244" s="11">
        <v>586.0</v>
      </c>
      <c r="Q244" s="11">
        <f t="shared" si="1"/>
        <v>1004</v>
      </c>
      <c r="R244" s="11">
        <f t="shared" si="2"/>
        <v>1461</v>
      </c>
      <c r="S244" s="11">
        <f t="shared" si="3"/>
        <v>1113</v>
      </c>
      <c r="T244" s="11">
        <f t="shared" si="4"/>
        <v>1492</v>
      </c>
      <c r="U244" s="10">
        <f>IF(Q244&gt;0,(I244/Q244-District!$B$4)*100,"")</f>
        <v>13.91844367</v>
      </c>
      <c r="V244" s="10">
        <f>IF(R244&gt;0,(K244/R244-District!$B$5)*100,"")</f>
        <v>12.60458009</v>
      </c>
      <c r="W244" s="10">
        <f>IF(S244&gt;0,(M244/S244-District!$B$6)*100,"")</f>
        <v>12.80853365</v>
      </c>
      <c r="X244" s="10">
        <f>IF(T244&gt;0,(O244/T244-District!$B$7)*100,"")</f>
        <v>11.22743845</v>
      </c>
      <c r="Y244" s="28">
        <f t="shared" si="5"/>
        <v>13.9184422</v>
      </c>
      <c r="Z244" s="5">
        <f t="shared" si="6"/>
        <v>170</v>
      </c>
      <c r="AA244" s="28">
        <f t="shared" si="7"/>
        <v>12.80853254</v>
      </c>
      <c r="AB244" s="5">
        <f t="shared" si="8"/>
        <v>149</v>
      </c>
      <c r="AC244" s="28">
        <f t="shared" si="9"/>
        <v>12.80853216</v>
      </c>
      <c r="AD244" s="5">
        <f t="shared" si="10"/>
        <v>168</v>
      </c>
    </row>
    <row r="245" ht="15.75" customHeight="1">
      <c r="A245" s="5" t="s">
        <v>856</v>
      </c>
      <c r="B245" s="5" t="s">
        <v>445</v>
      </c>
      <c r="C245" s="5" t="s">
        <v>303</v>
      </c>
      <c r="D245" s="5">
        <v>290.0</v>
      </c>
      <c r="E245" s="5" t="s">
        <v>122</v>
      </c>
      <c r="F245" s="5" t="s">
        <v>468</v>
      </c>
      <c r="G245" s="5" t="s">
        <v>468</v>
      </c>
      <c r="H245" s="5" t="s">
        <v>468</v>
      </c>
      <c r="I245" s="11">
        <v>739.0</v>
      </c>
      <c r="J245" s="11">
        <v>151.0</v>
      </c>
      <c r="K245" s="11">
        <v>933.0</v>
      </c>
      <c r="L245" s="11">
        <v>339.0</v>
      </c>
      <c r="M245" s="11">
        <v>510.0</v>
      </c>
      <c r="N245" s="11">
        <v>227.0</v>
      </c>
      <c r="O245" s="11">
        <v>954.0</v>
      </c>
      <c r="P245" s="11">
        <v>416.0</v>
      </c>
      <c r="Q245" s="11">
        <f t="shared" si="1"/>
        <v>890</v>
      </c>
      <c r="R245" s="11">
        <f t="shared" si="2"/>
        <v>1272</v>
      </c>
      <c r="S245" s="11">
        <f t="shared" si="3"/>
        <v>737</v>
      </c>
      <c r="T245" s="11">
        <f t="shared" si="4"/>
        <v>1370</v>
      </c>
      <c r="U245" s="10">
        <f>IF(Q245&gt;0,(I245/Q245-District!$B$4)*100,"")</f>
        <v>29.62147424</v>
      </c>
      <c r="V245" s="10">
        <f>IF(R245&gt;0,(K245/R245-District!$B$5)*100,"")</f>
        <v>23.59908502</v>
      </c>
      <c r="W245" s="10">
        <f>IF(S245&gt;0,(M245/S245-District!$B$6)*100,"")</f>
        <v>18.21643655</v>
      </c>
      <c r="X245" s="10">
        <f>IF(T245&gt;0,(O245/T245-District!$B$7)*100,"")</f>
        <v>20.13861435</v>
      </c>
      <c r="Y245" s="28">
        <f t="shared" si="5"/>
        <v>29.62147297</v>
      </c>
      <c r="Z245" s="5">
        <f t="shared" si="6"/>
        <v>275</v>
      </c>
      <c r="AA245" s="28">
        <f t="shared" si="7"/>
        <v>23.59908428</v>
      </c>
      <c r="AB245" s="5">
        <f t="shared" si="8"/>
        <v>231</v>
      </c>
      <c r="AC245" s="28">
        <f t="shared" si="9"/>
        <v>20.13861298</v>
      </c>
      <c r="AD245" s="5">
        <f t="shared" si="10"/>
        <v>241</v>
      </c>
    </row>
    <row r="246" ht="15.75" customHeight="1">
      <c r="A246" s="5" t="s">
        <v>857</v>
      </c>
      <c r="B246" s="5" t="s">
        <v>445</v>
      </c>
      <c r="C246" s="5" t="s">
        <v>303</v>
      </c>
      <c r="D246" s="5">
        <v>300.0</v>
      </c>
      <c r="E246" s="5" t="s">
        <v>122</v>
      </c>
      <c r="F246" s="5" t="s">
        <v>469</v>
      </c>
      <c r="G246" s="5" t="s">
        <v>469</v>
      </c>
      <c r="H246" s="5" t="s">
        <v>469</v>
      </c>
      <c r="I246" s="11">
        <v>539.0</v>
      </c>
      <c r="J246" s="11">
        <v>240.0</v>
      </c>
      <c r="K246" s="11">
        <v>744.0</v>
      </c>
      <c r="L246" s="11">
        <v>459.0</v>
      </c>
      <c r="M246" s="11">
        <v>540.0</v>
      </c>
      <c r="N246" s="11">
        <v>307.0</v>
      </c>
      <c r="O246" s="11">
        <v>821.0</v>
      </c>
      <c r="P246" s="11">
        <v>474.0</v>
      </c>
      <c r="Q246" s="11">
        <f t="shared" si="1"/>
        <v>779</v>
      </c>
      <c r="R246" s="11">
        <f t="shared" si="2"/>
        <v>1203</v>
      </c>
      <c r="S246" s="11">
        <f t="shared" si="3"/>
        <v>847</v>
      </c>
      <c r="T246" s="11">
        <f t="shared" si="4"/>
        <v>1295</v>
      </c>
      <c r="U246" s="10">
        <f>IF(Q246&gt;0,(I246/Q246-District!$B$4)*100,"")</f>
        <v>15.77903723</v>
      </c>
      <c r="V246" s="10">
        <f>IF(R246&gt;0,(K246/R246-District!$B$5)*100,"")</f>
        <v>12.09541495</v>
      </c>
      <c r="W246" s="10">
        <f>IF(S246&gt;0,(M246/S246-District!$B$6)*100,"")</f>
        <v>12.77140669</v>
      </c>
      <c r="X246" s="10">
        <f>IF(T246&gt;0,(O246/T246-District!$B$7)*100,"")</f>
        <v>13.90126126</v>
      </c>
      <c r="Y246" s="28">
        <f t="shared" si="5"/>
        <v>15.77903603</v>
      </c>
      <c r="Z246" s="5">
        <f t="shared" si="6"/>
        <v>191</v>
      </c>
      <c r="AA246" s="28">
        <f t="shared" si="7"/>
        <v>12.77140584</v>
      </c>
      <c r="AB246" s="5">
        <f t="shared" si="8"/>
        <v>147</v>
      </c>
      <c r="AC246" s="28">
        <f t="shared" si="9"/>
        <v>13.90125996</v>
      </c>
      <c r="AD246" s="5">
        <f t="shared" si="10"/>
        <v>181</v>
      </c>
    </row>
    <row r="247" ht="15.75" customHeight="1">
      <c r="A247" s="5" t="s">
        <v>858</v>
      </c>
      <c r="B247" s="5" t="s">
        <v>445</v>
      </c>
      <c r="C247" s="5" t="s">
        <v>303</v>
      </c>
      <c r="D247" s="5">
        <v>310.0</v>
      </c>
      <c r="E247" s="5" t="s">
        <v>122</v>
      </c>
      <c r="F247" s="5" t="s">
        <v>470</v>
      </c>
      <c r="G247" s="5" t="s">
        <v>470</v>
      </c>
      <c r="H247" s="5" t="s">
        <v>470</v>
      </c>
      <c r="I247" s="11">
        <v>221.0</v>
      </c>
      <c r="J247" s="11">
        <v>24.0</v>
      </c>
      <c r="K247" s="11">
        <v>316.0</v>
      </c>
      <c r="L247" s="11">
        <v>72.0</v>
      </c>
      <c r="M247" s="11">
        <v>156.0</v>
      </c>
      <c r="N247" s="11">
        <v>54.0</v>
      </c>
      <c r="O247" s="11">
        <v>283.0</v>
      </c>
      <c r="P247" s="11">
        <v>110.0</v>
      </c>
      <c r="Q247" s="11">
        <f t="shared" si="1"/>
        <v>245</v>
      </c>
      <c r="R247" s="11">
        <f t="shared" si="2"/>
        <v>388</v>
      </c>
      <c r="S247" s="11">
        <f t="shared" si="3"/>
        <v>210</v>
      </c>
      <c r="T247" s="11">
        <f t="shared" si="4"/>
        <v>393</v>
      </c>
      <c r="U247" s="10">
        <f>IF(Q247&gt;0,(I247/Q247-District!$B$4)*100,"")</f>
        <v>36.79184801</v>
      </c>
      <c r="V247" s="10">
        <f>IF(R247&gt;0,(K247/R247-District!$B$5)*100,"")</f>
        <v>31.69332738</v>
      </c>
      <c r="W247" s="10">
        <f>IF(S247&gt;0,(M247/S247-District!$B$6)*100,"")</f>
        <v>23.30269358</v>
      </c>
      <c r="X247" s="10">
        <f>IF(T247&gt;0,(O247/T247-District!$B$7)*100,"")</f>
        <v>22.51375597</v>
      </c>
      <c r="Y247" s="28" t="str">
        <f t="shared" si="5"/>
        <v/>
      </c>
      <c r="Z247" s="5" t="str">
        <f t="shared" si="6"/>
        <v/>
      </c>
      <c r="AA247" s="28" t="str">
        <f t="shared" si="7"/>
        <v/>
      </c>
      <c r="AB247" s="5" t="str">
        <f t="shared" si="8"/>
        <v/>
      </c>
      <c r="AC247" s="28" t="str">
        <f t="shared" si="9"/>
        <v/>
      </c>
      <c r="AD247" s="5" t="str">
        <f t="shared" si="10"/>
        <v/>
      </c>
    </row>
    <row r="248" ht="15.75" customHeight="1">
      <c r="A248" s="5" t="s">
        <v>859</v>
      </c>
      <c r="B248" s="5" t="s">
        <v>445</v>
      </c>
      <c r="C248" s="5" t="s">
        <v>303</v>
      </c>
      <c r="D248" s="5">
        <v>320.0</v>
      </c>
      <c r="E248" s="5" t="s">
        <v>122</v>
      </c>
      <c r="F248" s="5" t="s">
        <v>484</v>
      </c>
      <c r="G248" s="5" t="s">
        <v>484</v>
      </c>
      <c r="H248" s="5" t="s">
        <v>484</v>
      </c>
      <c r="I248" s="11">
        <v>320.0</v>
      </c>
      <c r="J248" s="11">
        <v>310.0</v>
      </c>
      <c r="K248" s="11">
        <v>447.0</v>
      </c>
      <c r="L248" s="11">
        <v>433.0</v>
      </c>
      <c r="M248" s="11">
        <v>374.0</v>
      </c>
      <c r="N248" s="11">
        <v>338.0</v>
      </c>
      <c r="O248" s="11">
        <v>466.0</v>
      </c>
      <c r="P248" s="11">
        <v>405.0</v>
      </c>
      <c r="Q248" s="11">
        <f t="shared" si="1"/>
        <v>630</v>
      </c>
      <c r="R248" s="11">
        <f t="shared" si="2"/>
        <v>880</v>
      </c>
      <c r="S248" s="11">
        <f t="shared" si="3"/>
        <v>712</v>
      </c>
      <c r="T248" s="11">
        <f t="shared" si="4"/>
        <v>871</v>
      </c>
      <c r="U248" s="10">
        <f>IF(Q248&gt;0,(I248/Q248-District!$B$4)*100,"")</f>
        <v>-2.618582832</v>
      </c>
      <c r="V248" s="10">
        <f>IF(R248&gt;0,(K248/R248-District!$B$5)*100,"")</f>
        <v>1.045482958</v>
      </c>
      <c r="W248" s="10">
        <f>IF(S248&gt;0,(M248/S248-District!$B$6)*100,"")</f>
        <v>1.545069183</v>
      </c>
      <c r="X248" s="10">
        <f>IF(T248&gt;0,(O248/T248-District!$B$7)*100,"")</f>
        <v>4.005300016</v>
      </c>
      <c r="Y248" s="28">
        <f t="shared" si="5"/>
        <v>2.618581952</v>
      </c>
      <c r="Z248" s="5">
        <f t="shared" si="6"/>
        <v>29</v>
      </c>
      <c r="AA248" s="28">
        <f t="shared" si="7"/>
        <v>1.545068471</v>
      </c>
      <c r="AB248" s="5">
        <f t="shared" si="8"/>
        <v>15</v>
      </c>
      <c r="AC248" s="28">
        <f t="shared" si="9"/>
        <v>4.005299145</v>
      </c>
      <c r="AD248" s="5">
        <f t="shared" si="10"/>
        <v>69</v>
      </c>
    </row>
    <row r="249" ht="15.75" customHeight="1">
      <c r="A249" s="5" t="s">
        <v>860</v>
      </c>
      <c r="B249" s="5" t="s">
        <v>445</v>
      </c>
      <c r="C249" s="5" t="s">
        <v>303</v>
      </c>
      <c r="D249" s="5">
        <v>330.0</v>
      </c>
      <c r="E249" s="5" t="s">
        <v>122</v>
      </c>
      <c r="F249" s="5" t="s">
        <v>485</v>
      </c>
      <c r="G249" s="5" t="s">
        <v>485</v>
      </c>
      <c r="H249" s="5" t="s">
        <v>485</v>
      </c>
      <c r="I249" s="11">
        <v>419.0</v>
      </c>
      <c r="J249" s="11">
        <v>393.0</v>
      </c>
      <c r="K249" s="11">
        <v>551.0</v>
      </c>
      <c r="L249" s="11">
        <v>533.0</v>
      </c>
      <c r="M249" s="11">
        <v>485.0</v>
      </c>
      <c r="N249" s="11">
        <v>421.0</v>
      </c>
      <c r="O249" s="11">
        <v>552.0</v>
      </c>
      <c r="P249" s="11">
        <v>506.0</v>
      </c>
      <c r="Q249" s="11">
        <f t="shared" si="1"/>
        <v>812</v>
      </c>
      <c r="R249" s="11">
        <f t="shared" si="2"/>
        <v>1084</v>
      </c>
      <c r="S249" s="11">
        <f t="shared" si="3"/>
        <v>906</v>
      </c>
      <c r="T249" s="11">
        <f t="shared" si="4"/>
        <v>1058</v>
      </c>
      <c r="U249" s="10">
        <f>IF(Q249&gt;0,(I249/Q249-District!$B$4)*100,"")</f>
        <v>-1.811248404</v>
      </c>
      <c r="V249" s="10">
        <f>IF(R249&gt;0,(K249/R249-District!$B$5)*100,"")</f>
        <v>1.080286715</v>
      </c>
      <c r="W249" s="10">
        <f>IF(S249&gt;0,(M249/S249-District!$B$6)*100,"")</f>
        <v>2.548988125</v>
      </c>
      <c r="X249" s="10">
        <f>IF(T249&gt;0,(O249/T249-District!$B$7)*100,"")</f>
        <v>2.677490901</v>
      </c>
      <c r="Y249" s="28">
        <f t="shared" si="5"/>
        <v>1.81124732</v>
      </c>
      <c r="Z249" s="5">
        <f t="shared" si="6"/>
        <v>14</v>
      </c>
      <c r="AA249" s="28">
        <f t="shared" si="7"/>
        <v>2.548987219</v>
      </c>
      <c r="AB249" s="5">
        <f t="shared" si="8"/>
        <v>39</v>
      </c>
      <c r="AC249" s="28">
        <f t="shared" si="9"/>
        <v>2.677489843</v>
      </c>
      <c r="AD249" s="5">
        <f t="shared" si="10"/>
        <v>46</v>
      </c>
    </row>
    <row r="250" ht="15.75" customHeight="1">
      <c r="A250" s="5" t="s">
        <v>861</v>
      </c>
      <c r="B250" s="5" t="s">
        <v>445</v>
      </c>
      <c r="C250" s="5" t="s">
        <v>303</v>
      </c>
      <c r="D250" s="5">
        <v>336.0</v>
      </c>
      <c r="E250" s="5" t="s">
        <v>122</v>
      </c>
      <c r="F250" s="5" t="s">
        <v>488</v>
      </c>
      <c r="G250" s="5" t="s">
        <v>488</v>
      </c>
      <c r="H250" s="5" t="s">
        <v>488</v>
      </c>
      <c r="I250" s="11">
        <v>387.0</v>
      </c>
      <c r="J250" s="11">
        <v>273.0</v>
      </c>
      <c r="K250" s="11">
        <v>583.0</v>
      </c>
      <c r="L250" s="11">
        <v>432.0</v>
      </c>
      <c r="M250" s="11">
        <v>523.0</v>
      </c>
      <c r="N250" s="11">
        <v>389.0</v>
      </c>
      <c r="O250" s="11">
        <v>722.0</v>
      </c>
      <c r="P250" s="11">
        <v>596.0</v>
      </c>
      <c r="Q250" s="11">
        <f t="shared" si="1"/>
        <v>660</v>
      </c>
      <c r="R250" s="11">
        <f t="shared" si="2"/>
        <v>1015</v>
      </c>
      <c r="S250" s="11">
        <f t="shared" si="3"/>
        <v>912</v>
      </c>
      <c r="T250" s="11">
        <f t="shared" si="4"/>
        <v>1318</v>
      </c>
      <c r="U250" s="10">
        <f>IF(Q250&gt;0,(I250/Q250-District!$B$4)*100,"")</f>
        <v>5.224130011</v>
      </c>
      <c r="V250" s="10">
        <f>IF(R250&gt;0,(K250/R250-District!$B$5)*100,"")</f>
        <v>7.688452058</v>
      </c>
      <c r="W250" s="10">
        <f>IF(S250&gt;0,(M250/S250-District!$B$6)*100,"")</f>
        <v>6.363470524</v>
      </c>
      <c r="X250" s="10">
        <f>IF(T250&gt;0,(O250/T250-District!$B$7)*100,"")</f>
        <v>5.283547508</v>
      </c>
      <c r="Y250" s="28">
        <f t="shared" si="5"/>
        <v>7.688451043</v>
      </c>
      <c r="Z250" s="5">
        <f t="shared" si="6"/>
        <v>105</v>
      </c>
      <c r="AA250" s="28">
        <f t="shared" si="7"/>
        <v>7.688451146</v>
      </c>
      <c r="AB250" s="5">
        <f t="shared" si="8"/>
        <v>100</v>
      </c>
      <c r="AC250" s="28">
        <f t="shared" si="9"/>
        <v>6.363469206</v>
      </c>
      <c r="AD250" s="5">
        <f t="shared" si="10"/>
        <v>96</v>
      </c>
    </row>
    <row r="251" ht="15.75" customHeight="1">
      <c r="A251" s="5" t="s">
        <v>862</v>
      </c>
      <c r="B251" s="5" t="s">
        <v>445</v>
      </c>
      <c r="C251" s="5" t="s">
        <v>303</v>
      </c>
      <c r="D251" s="5">
        <v>338.0</v>
      </c>
      <c r="E251" s="5" t="s">
        <v>122</v>
      </c>
      <c r="F251" s="5" t="s">
        <v>489</v>
      </c>
      <c r="G251" s="5" t="s">
        <v>489</v>
      </c>
      <c r="H251" s="5" t="s">
        <v>489</v>
      </c>
      <c r="I251" s="11">
        <v>208.0</v>
      </c>
      <c r="J251" s="11">
        <v>213.0</v>
      </c>
      <c r="K251" s="11">
        <v>287.0</v>
      </c>
      <c r="L251" s="11">
        <v>332.0</v>
      </c>
      <c r="M251" s="11">
        <v>232.0</v>
      </c>
      <c r="N251" s="11">
        <v>250.0</v>
      </c>
      <c r="O251" s="11">
        <v>339.0</v>
      </c>
      <c r="P251" s="11">
        <v>338.0</v>
      </c>
      <c r="Q251" s="11">
        <f t="shared" si="1"/>
        <v>421</v>
      </c>
      <c r="R251" s="11">
        <f t="shared" si="2"/>
        <v>619</v>
      </c>
      <c r="S251" s="11">
        <f t="shared" si="3"/>
        <v>482</v>
      </c>
      <c r="T251" s="11">
        <f t="shared" si="4"/>
        <v>677</v>
      </c>
      <c r="U251" s="10">
        <f>IF(Q251&gt;0,(I251/Q251-District!$B$4)*100,"")</f>
        <v>-4.006057853</v>
      </c>
      <c r="V251" s="10">
        <f>IF(R251&gt;0,(K251/R251-District!$B$5)*100,"")</f>
        <v>-3.38486658</v>
      </c>
      <c r="W251" s="10">
        <f>IF(S251&gt;0,(M251/S251-District!$B$6)*100,"")</f>
        <v>-2.850240622</v>
      </c>
      <c r="X251" s="10">
        <f>IF(T251&gt;0,(O251/T251-District!$B$7)*100,"")</f>
        <v>0.5774331012</v>
      </c>
      <c r="Y251" s="28">
        <f t="shared" si="5"/>
        <v>4.006057234</v>
      </c>
      <c r="Z251" s="5">
        <f t="shared" si="6"/>
        <v>56</v>
      </c>
      <c r="AA251" s="28">
        <f t="shared" si="7"/>
        <v>3.384866098</v>
      </c>
      <c r="AB251" s="5">
        <f t="shared" si="8"/>
        <v>52</v>
      </c>
      <c r="AC251" s="28">
        <f t="shared" si="9"/>
        <v>2.850239945</v>
      </c>
      <c r="AD251" s="5">
        <f t="shared" si="10"/>
        <v>50</v>
      </c>
    </row>
    <row r="252" ht="15.75" customHeight="1">
      <c r="A252" s="5" t="s">
        <v>863</v>
      </c>
      <c r="B252" s="5" t="s">
        <v>445</v>
      </c>
      <c r="C252" s="5" t="s">
        <v>303</v>
      </c>
      <c r="D252" s="5">
        <v>340.0</v>
      </c>
      <c r="E252" s="5" t="s">
        <v>122</v>
      </c>
      <c r="F252" s="5" t="s">
        <v>490</v>
      </c>
      <c r="G252" s="5" t="s">
        <v>490</v>
      </c>
      <c r="H252" s="5" t="s">
        <v>490</v>
      </c>
      <c r="I252" s="11">
        <v>393.0</v>
      </c>
      <c r="J252" s="11">
        <v>281.0</v>
      </c>
      <c r="K252" s="11">
        <v>576.0</v>
      </c>
      <c r="L252" s="11">
        <v>467.0</v>
      </c>
      <c r="M252" s="11">
        <v>435.0</v>
      </c>
      <c r="N252" s="11">
        <v>317.0</v>
      </c>
      <c r="O252" s="11">
        <v>579.0</v>
      </c>
      <c r="P252" s="11">
        <v>482.0</v>
      </c>
      <c r="Q252" s="11">
        <f t="shared" si="1"/>
        <v>674</v>
      </c>
      <c r="R252" s="11">
        <f t="shared" si="2"/>
        <v>1043</v>
      </c>
      <c r="S252" s="11">
        <f t="shared" si="3"/>
        <v>752</v>
      </c>
      <c r="T252" s="11">
        <f t="shared" si="4"/>
        <v>1061</v>
      </c>
      <c r="U252" s="10">
        <f>IF(Q252&gt;0,(I252/Q252-District!$B$4)*100,"")</f>
        <v>4.896371716</v>
      </c>
      <c r="V252" s="10">
        <f>IF(R252&gt;0,(K252/R252-District!$B$5)*100,"")</f>
        <v>5.475340013</v>
      </c>
      <c r="W252" s="10">
        <f>IF(S252&gt;0,(M252/S252-District!$B$6)*100,"")</f>
        <v>6.862723976</v>
      </c>
      <c r="X252" s="10">
        <f>IF(T252&gt;0,(O252/T252-District!$B$7)*100,"")</f>
        <v>5.074737141</v>
      </c>
      <c r="Y252" s="28">
        <f t="shared" si="5"/>
        <v>5.47533897</v>
      </c>
      <c r="Z252" s="5">
        <f t="shared" si="6"/>
        <v>76</v>
      </c>
      <c r="AA252" s="28">
        <f t="shared" si="7"/>
        <v>6.862723224</v>
      </c>
      <c r="AB252" s="5">
        <f t="shared" si="8"/>
        <v>92</v>
      </c>
      <c r="AC252" s="28">
        <f t="shared" si="9"/>
        <v>6.862722915</v>
      </c>
      <c r="AD252" s="5">
        <f t="shared" si="10"/>
        <v>100</v>
      </c>
    </row>
    <row r="253" ht="15.75" customHeight="1">
      <c r="A253" s="5" t="s">
        <v>864</v>
      </c>
      <c r="B253" s="5" t="s">
        <v>445</v>
      </c>
      <c r="C253" s="5" t="s">
        <v>303</v>
      </c>
      <c r="D253" s="5">
        <v>346.0</v>
      </c>
      <c r="E253" s="5" t="s">
        <v>122</v>
      </c>
      <c r="F253" s="5" t="s">
        <v>491</v>
      </c>
      <c r="G253" s="5" t="s">
        <v>491</v>
      </c>
      <c r="H253" s="5" t="s">
        <v>491</v>
      </c>
      <c r="I253" s="11">
        <v>420.0</v>
      </c>
      <c r="J253" s="11">
        <v>286.0</v>
      </c>
      <c r="K253" s="11">
        <v>559.0</v>
      </c>
      <c r="L253" s="11">
        <v>489.0</v>
      </c>
      <c r="M253" s="11">
        <v>437.0</v>
      </c>
      <c r="N253" s="11">
        <v>364.0</v>
      </c>
      <c r="O253" s="11">
        <v>562.0</v>
      </c>
      <c r="P253" s="11">
        <v>525.0</v>
      </c>
      <c r="Q253" s="11">
        <f t="shared" si="1"/>
        <v>706</v>
      </c>
      <c r="R253" s="11">
        <f t="shared" si="2"/>
        <v>1048</v>
      </c>
      <c r="S253" s="11">
        <f t="shared" si="3"/>
        <v>801</v>
      </c>
      <c r="T253" s="11">
        <f t="shared" si="4"/>
        <v>1087</v>
      </c>
      <c r="U253" s="10">
        <f>IF(Q253&gt;0,(I253/Q253-District!$B$4)*100,"")</f>
        <v>6.07785136</v>
      </c>
      <c r="V253" s="10">
        <f>IF(R253&gt;0,(K253/R253-District!$B$5)*100,"")</f>
        <v>3.589723069</v>
      </c>
      <c r="W253" s="10">
        <f>IF(S253&gt;0,(M253/S253-District!$B$6)*100,"")</f>
        <v>3.57378329</v>
      </c>
      <c r="X253" s="10">
        <f>IF(T253&gt;0,(O253/T253-District!$B$7)*100,"")</f>
        <v>2.20550978</v>
      </c>
      <c r="Y253" s="28">
        <f t="shared" si="5"/>
        <v>6.077850312</v>
      </c>
      <c r="Z253" s="5">
        <f t="shared" si="6"/>
        <v>84</v>
      </c>
      <c r="AA253" s="28">
        <f t="shared" si="7"/>
        <v>3.589722268</v>
      </c>
      <c r="AB253" s="5">
        <f t="shared" si="8"/>
        <v>56</v>
      </c>
      <c r="AC253" s="28">
        <f t="shared" si="9"/>
        <v>3.573782203</v>
      </c>
      <c r="AD253" s="5">
        <f t="shared" si="10"/>
        <v>63</v>
      </c>
    </row>
    <row r="254" ht="15.75" customHeight="1">
      <c r="A254" s="5" t="s">
        <v>865</v>
      </c>
      <c r="B254" s="5" t="s">
        <v>445</v>
      </c>
      <c r="C254" s="5" t="s">
        <v>303</v>
      </c>
      <c r="D254" s="5">
        <v>348.0</v>
      </c>
      <c r="E254" s="5" t="s">
        <v>122</v>
      </c>
      <c r="F254" s="5" t="s">
        <v>492</v>
      </c>
      <c r="G254" s="5" t="s">
        <v>492</v>
      </c>
      <c r="H254" s="5" t="s">
        <v>492</v>
      </c>
      <c r="I254" s="11">
        <v>226.0</v>
      </c>
      <c r="J254" s="11">
        <v>189.0</v>
      </c>
      <c r="K254" s="11">
        <v>320.0</v>
      </c>
      <c r="L254" s="11">
        <v>311.0</v>
      </c>
      <c r="M254" s="11">
        <v>279.0</v>
      </c>
      <c r="N254" s="11">
        <v>214.0</v>
      </c>
      <c r="O254" s="11">
        <v>337.0</v>
      </c>
      <c r="P254" s="11">
        <v>296.0</v>
      </c>
      <c r="Q254" s="11">
        <f t="shared" si="1"/>
        <v>415</v>
      </c>
      <c r="R254" s="11">
        <f t="shared" si="2"/>
        <v>631</v>
      </c>
      <c r="S254" s="11">
        <f t="shared" si="3"/>
        <v>493</v>
      </c>
      <c r="T254" s="11">
        <f t="shared" si="4"/>
        <v>633</v>
      </c>
      <c r="U254" s="10">
        <f>IF(Q254&gt;0,(I254/Q254-District!$B$4)*100,"")</f>
        <v>1.0455977</v>
      </c>
      <c r="V254" s="10">
        <f>IF(R254&gt;0,(K254/R254-District!$B$5)*100,"")</f>
        <v>0.9631821366</v>
      </c>
      <c r="W254" s="10">
        <f>IF(S254&gt;0,(M254/S254-District!$B$6)*100,"")</f>
        <v>5.609271385</v>
      </c>
      <c r="X254" s="10">
        <f>IF(T254&gt;0,(O254/T254-District!$B$7)*100,"")</f>
        <v>3.742124461</v>
      </c>
      <c r="Y254" s="28">
        <f t="shared" si="5"/>
        <v>1.045597069</v>
      </c>
      <c r="Z254" s="5">
        <f t="shared" si="6"/>
        <v>5</v>
      </c>
      <c r="AA254" s="28">
        <f t="shared" si="7"/>
        <v>5.609270892</v>
      </c>
      <c r="AB254" s="5">
        <f t="shared" si="8"/>
        <v>81</v>
      </c>
      <c r="AC254" s="28">
        <f t="shared" si="9"/>
        <v>5.609270752</v>
      </c>
      <c r="AD254" s="5">
        <f t="shared" si="10"/>
        <v>90</v>
      </c>
    </row>
    <row r="255" ht="15.75" customHeight="1">
      <c r="A255" s="5" t="s">
        <v>866</v>
      </c>
      <c r="B255" s="5" t="s">
        <v>445</v>
      </c>
      <c r="C255" s="5" t="s">
        <v>303</v>
      </c>
      <c r="D255" s="5">
        <v>349.0</v>
      </c>
      <c r="E255" s="5" t="s">
        <v>122</v>
      </c>
      <c r="F255" s="5" t="s">
        <v>493</v>
      </c>
      <c r="G255" s="5" t="s">
        <v>493</v>
      </c>
      <c r="H255" s="5" t="s">
        <v>493</v>
      </c>
      <c r="I255" s="11">
        <v>320.0</v>
      </c>
      <c r="J255" s="11">
        <v>220.0</v>
      </c>
      <c r="K255" s="11">
        <v>453.0</v>
      </c>
      <c r="L255" s="11">
        <v>327.0</v>
      </c>
      <c r="M255" s="11">
        <v>374.0</v>
      </c>
      <c r="N255" s="11">
        <v>251.0</v>
      </c>
      <c r="O255" s="11">
        <v>517.0</v>
      </c>
      <c r="P255" s="11">
        <v>388.0</v>
      </c>
      <c r="Q255" s="11">
        <f t="shared" si="1"/>
        <v>540</v>
      </c>
      <c r="R255" s="11">
        <f t="shared" si="2"/>
        <v>780</v>
      </c>
      <c r="S255" s="11">
        <f t="shared" si="3"/>
        <v>625</v>
      </c>
      <c r="T255" s="11">
        <f t="shared" si="4"/>
        <v>905</v>
      </c>
      <c r="U255" s="10">
        <f>IF(Q255&gt;0,(I255/Q255-District!$B$4)*100,"")</f>
        <v>5.847025634</v>
      </c>
      <c r="V255" s="10">
        <f>IF(R255&gt;0,(K255/R255-District!$B$5)*100,"")</f>
        <v>8.326951489</v>
      </c>
      <c r="W255" s="10">
        <f>IF(S255&gt;0,(M255/S255-District!$B$6)*100,"")</f>
        <v>8.856979295</v>
      </c>
      <c r="X255" s="10">
        <f>IF(T255&gt;0,(O255/T255-District!$B$7)*100,"")</f>
        <v>7.630649681</v>
      </c>
      <c r="Y255" s="28">
        <f t="shared" si="5"/>
        <v>8.326950709</v>
      </c>
      <c r="Z255" s="5">
        <f t="shared" si="6"/>
        <v>109</v>
      </c>
      <c r="AA255" s="28">
        <f t="shared" si="7"/>
        <v>8.85697867</v>
      </c>
      <c r="AB255" s="5">
        <f t="shared" si="8"/>
        <v>111</v>
      </c>
      <c r="AC255" s="28">
        <f t="shared" si="9"/>
        <v>8.85697839</v>
      </c>
      <c r="AD255" s="5">
        <f t="shared" si="10"/>
        <v>122</v>
      </c>
    </row>
    <row r="256" ht="15.75" customHeight="1">
      <c r="A256" s="5" t="s">
        <v>867</v>
      </c>
      <c r="B256" s="5" t="s">
        <v>445</v>
      </c>
      <c r="C256" s="5" t="s">
        <v>303</v>
      </c>
      <c r="D256" s="5">
        <v>350.0</v>
      </c>
      <c r="E256" s="5" t="s">
        <v>122</v>
      </c>
      <c r="F256" s="5" t="s">
        <v>494</v>
      </c>
      <c r="G256" s="5" t="s">
        <v>494</v>
      </c>
      <c r="H256" s="5" t="s">
        <v>494</v>
      </c>
      <c r="I256" s="11">
        <v>226.0</v>
      </c>
      <c r="J256" s="11">
        <v>148.0</v>
      </c>
      <c r="K256" s="11">
        <v>319.0</v>
      </c>
      <c r="L256" s="11">
        <v>225.0</v>
      </c>
      <c r="M256" s="11">
        <v>245.0</v>
      </c>
      <c r="N256" s="11">
        <v>160.0</v>
      </c>
      <c r="O256" s="11">
        <v>329.0</v>
      </c>
      <c r="P256" s="11">
        <v>217.0</v>
      </c>
      <c r="Q256" s="11">
        <f t="shared" si="1"/>
        <v>374</v>
      </c>
      <c r="R256" s="11">
        <f t="shared" si="2"/>
        <v>544</v>
      </c>
      <c r="S256" s="11">
        <f t="shared" si="3"/>
        <v>405</v>
      </c>
      <c r="T256" s="11">
        <f t="shared" si="4"/>
        <v>546</v>
      </c>
      <c r="U256" s="10">
        <f>IF(Q256&gt;0,(I256/Q256-District!$B$4)*100,"")</f>
        <v>7.015573861</v>
      </c>
      <c r="V256" s="10">
        <f>IF(R256&gt;0,(K256/R256-District!$B$5)*100,"")</f>
        <v>8.889734295</v>
      </c>
      <c r="W256" s="10">
        <f>IF(S256&gt;0,(M256/S256-District!$B$6)*100,"")</f>
        <v>9.510806456</v>
      </c>
      <c r="X256" s="10">
        <f>IF(T256&gt;0,(O256/T256-District!$B$7)*100,"")</f>
        <v>10.75998811</v>
      </c>
      <c r="Y256" s="28">
        <f t="shared" si="5"/>
        <v>8.889733751</v>
      </c>
      <c r="Z256" s="5">
        <f t="shared" si="6"/>
        <v>113</v>
      </c>
      <c r="AA256" s="28">
        <f t="shared" si="7"/>
        <v>9.510806051</v>
      </c>
      <c r="AB256" s="5">
        <f t="shared" si="8"/>
        <v>116</v>
      </c>
      <c r="AC256" s="28">
        <f t="shared" si="9"/>
        <v>10.75998757</v>
      </c>
      <c r="AD256" s="5">
        <f t="shared" si="10"/>
        <v>144</v>
      </c>
    </row>
    <row r="257" ht="15.75" customHeight="1">
      <c r="A257" s="5" t="s">
        <v>868</v>
      </c>
      <c r="B257" s="5" t="s">
        <v>445</v>
      </c>
      <c r="C257" s="5" t="s">
        <v>303</v>
      </c>
      <c r="D257" s="5">
        <v>360.0</v>
      </c>
      <c r="E257" s="5" t="s">
        <v>122</v>
      </c>
      <c r="F257" s="5" t="s">
        <v>495</v>
      </c>
      <c r="G257" s="5" t="s">
        <v>495</v>
      </c>
      <c r="H257" s="5" t="s">
        <v>495</v>
      </c>
      <c r="I257" s="11">
        <v>242.0</v>
      </c>
      <c r="J257" s="11">
        <v>231.0</v>
      </c>
      <c r="K257" s="11">
        <v>340.0</v>
      </c>
      <c r="L257" s="11">
        <v>357.0</v>
      </c>
      <c r="M257" s="11">
        <v>276.0</v>
      </c>
      <c r="N257" s="11">
        <v>276.0</v>
      </c>
      <c r="O257" s="11">
        <v>352.0</v>
      </c>
      <c r="P257" s="11">
        <v>326.0</v>
      </c>
      <c r="Q257" s="11">
        <f t="shared" si="1"/>
        <v>473</v>
      </c>
      <c r="R257" s="11">
        <f t="shared" si="2"/>
        <v>697</v>
      </c>
      <c r="S257" s="11">
        <f t="shared" si="3"/>
        <v>552</v>
      </c>
      <c r="T257" s="11">
        <f t="shared" si="4"/>
        <v>678</v>
      </c>
      <c r="U257" s="10">
        <f>IF(Q257&gt;0,(I257/Q257-District!$B$4)*100,"")</f>
        <v>-2.249442928</v>
      </c>
      <c r="V257" s="10">
        <f>IF(R257&gt;0,(K257/R257-District!$B$5)*100,"")</f>
        <v>-0.9694837828</v>
      </c>
      <c r="W257" s="10">
        <f>IF(S257&gt;0,(M257/S257-District!$B$6)*100,"")</f>
        <v>-0.9830207046</v>
      </c>
      <c r="X257" s="10">
        <f>IF(T257&gt;0,(O257/T257-District!$B$7)*100,"")</f>
        <v>2.420981987</v>
      </c>
      <c r="Y257" s="28">
        <f t="shared" si="5"/>
        <v>2.249442231</v>
      </c>
      <c r="Z257" s="5">
        <f t="shared" si="6"/>
        <v>20</v>
      </c>
      <c r="AA257" s="28">
        <f t="shared" si="7"/>
        <v>0.9830201526</v>
      </c>
      <c r="AB257" s="5">
        <f t="shared" si="8"/>
        <v>5</v>
      </c>
      <c r="AC257" s="28">
        <f t="shared" si="9"/>
        <v>2.420981309</v>
      </c>
      <c r="AD257" s="5">
        <f t="shared" si="10"/>
        <v>41</v>
      </c>
    </row>
    <row r="258" ht="15.75" customHeight="1">
      <c r="A258" s="5" t="s">
        <v>869</v>
      </c>
      <c r="B258" s="5" t="s">
        <v>445</v>
      </c>
      <c r="C258" s="5" t="s">
        <v>303</v>
      </c>
      <c r="D258" s="5">
        <v>363.0</v>
      </c>
      <c r="E258" s="5" t="s">
        <v>122</v>
      </c>
      <c r="F258" s="5" t="s">
        <v>496</v>
      </c>
      <c r="G258" s="5" t="s">
        <v>496</v>
      </c>
      <c r="H258" s="5" t="s">
        <v>496</v>
      </c>
      <c r="I258" s="11">
        <v>314.0</v>
      </c>
      <c r="J258" s="11">
        <v>246.0</v>
      </c>
      <c r="K258" s="11">
        <v>448.0</v>
      </c>
      <c r="L258" s="11">
        <v>378.0</v>
      </c>
      <c r="M258" s="11">
        <v>353.0</v>
      </c>
      <c r="N258" s="11">
        <v>293.0</v>
      </c>
      <c r="O258" s="11">
        <v>420.0</v>
      </c>
      <c r="P258" s="11">
        <v>378.0</v>
      </c>
      <c r="Q258" s="11">
        <f t="shared" si="1"/>
        <v>560</v>
      </c>
      <c r="R258" s="11">
        <f t="shared" si="2"/>
        <v>826</v>
      </c>
      <c r="S258" s="11">
        <f t="shared" si="3"/>
        <v>646</v>
      </c>
      <c r="T258" s="11">
        <f t="shared" si="4"/>
        <v>798</v>
      </c>
      <c r="U258" s="10">
        <f>IF(Q258&gt;0,(I258/Q258-District!$B$4)*100,"")</f>
        <v>2.659194946</v>
      </c>
      <c r="V258" s="10">
        <f>IF(R258&gt;0,(K258/R258-District!$B$5)*100,"")</f>
        <v>4.487316548</v>
      </c>
      <c r="W258" s="10">
        <f>IF(S258&gt;0,(M258/S258-District!$B$6)*100,"")</f>
        <v>3.660942144</v>
      </c>
      <c r="X258" s="10">
        <f>IF(T258&gt;0,(O258/T258-District!$B$7)*100,"")</f>
        <v>3.135156805</v>
      </c>
      <c r="Y258" s="28">
        <f t="shared" si="5"/>
        <v>4.487315722</v>
      </c>
      <c r="Z258" s="5">
        <f t="shared" si="6"/>
        <v>65</v>
      </c>
      <c r="AA258" s="28">
        <f t="shared" si="7"/>
        <v>4.487315902</v>
      </c>
      <c r="AB258" s="5">
        <f t="shared" si="8"/>
        <v>70</v>
      </c>
      <c r="AC258" s="28">
        <f t="shared" si="9"/>
        <v>3.660941346</v>
      </c>
      <c r="AD258" s="5">
        <f t="shared" si="10"/>
        <v>65</v>
      </c>
    </row>
    <row r="259" ht="15.75" customHeight="1">
      <c r="A259" s="5" t="s">
        <v>870</v>
      </c>
      <c r="B259" s="5" t="s">
        <v>445</v>
      </c>
      <c r="C259" s="5" t="s">
        <v>303</v>
      </c>
      <c r="D259" s="5">
        <v>366.0</v>
      </c>
      <c r="E259" s="5" t="s">
        <v>122</v>
      </c>
      <c r="F259" s="5" t="s">
        <v>498</v>
      </c>
      <c r="G259" s="5" t="s">
        <v>498</v>
      </c>
      <c r="H259" s="5" t="s">
        <v>498</v>
      </c>
      <c r="I259" s="11">
        <v>335.0</v>
      </c>
      <c r="J259" s="11">
        <v>224.0</v>
      </c>
      <c r="K259" s="11">
        <v>440.0</v>
      </c>
      <c r="L259" s="11">
        <v>346.0</v>
      </c>
      <c r="M259" s="11">
        <v>400.0</v>
      </c>
      <c r="N259" s="11">
        <v>303.0</v>
      </c>
      <c r="O259" s="11">
        <v>522.0</v>
      </c>
      <c r="P259" s="11">
        <v>400.0</v>
      </c>
      <c r="Q259" s="11">
        <f t="shared" si="1"/>
        <v>559</v>
      </c>
      <c r="R259" s="11">
        <f t="shared" si="2"/>
        <v>786</v>
      </c>
      <c r="S259" s="11">
        <f t="shared" si="3"/>
        <v>703</v>
      </c>
      <c r="T259" s="11">
        <f t="shared" si="4"/>
        <v>922</v>
      </c>
      <c r="U259" s="10">
        <f>IF(Q259&gt;0,(I259/Q259-District!$B$4)*100,"")</f>
        <v>6.516210024</v>
      </c>
      <c r="V259" s="10">
        <f>IF(R259&gt;0,(K259/R259-District!$B$5)*100,"")</f>
        <v>6.229672178</v>
      </c>
      <c r="W259" s="10">
        <f>IF(S259&gt;0,(M259/S259-District!$B$6)*100,"")</f>
        <v>5.915983563</v>
      </c>
      <c r="X259" s="10">
        <f>IF(T259&gt;0,(O259/T259-District!$B$7)*100,"")</f>
        <v>7.119629918</v>
      </c>
      <c r="Y259" s="28">
        <f t="shared" si="5"/>
        <v>6.516209238</v>
      </c>
      <c r="Z259" s="5">
        <f t="shared" si="6"/>
        <v>94</v>
      </c>
      <c r="AA259" s="28">
        <f t="shared" si="7"/>
        <v>6.229671475</v>
      </c>
      <c r="AB259" s="5">
        <f t="shared" si="8"/>
        <v>87</v>
      </c>
      <c r="AC259" s="28">
        <f t="shared" si="9"/>
        <v>7.119628996</v>
      </c>
      <c r="AD259" s="5">
        <f t="shared" si="10"/>
        <v>103</v>
      </c>
    </row>
    <row r="260" ht="15.75" customHeight="1">
      <c r="A260" s="5" t="s">
        <v>871</v>
      </c>
      <c r="B260" s="5" t="s">
        <v>445</v>
      </c>
      <c r="C260" s="5" t="s">
        <v>303</v>
      </c>
      <c r="D260" s="5">
        <v>368.0</v>
      </c>
      <c r="E260" s="5" t="s">
        <v>122</v>
      </c>
      <c r="F260" s="5" t="s">
        <v>499</v>
      </c>
      <c r="G260" s="5" t="s">
        <v>499</v>
      </c>
      <c r="H260" s="5" t="s">
        <v>499</v>
      </c>
      <c r="I260" s="11">
        <v>296.0</v>
      </c>
      <c r="J260" s="11">
        <v>291.0</v>
      </c>
      <c r="K260" s="11">
        <v>439.0</v>
      </c>
      <c r="L260" s="11">
        <v>447.0</v>
      </c>
      <c r="M260" s="11">
        <v>356.0</v>
      </c>
      <c r="N260" s="11">
        <v>330.0</v>
      </c>
      <c r="O260" s="11">
        <v>436.0</v>
      </c>
      <c r="P260" s="11">
        <v>423.0</v>
      </c>
      <c r="Q260" s="11">
        <f t="shared" si="1"/>
        <v>587</v>
      </c>
      <c r="R260" s="11">
        <f t="shared" si="2"/>
        <v>886</v>
      </c>
      <c r="S260" s="11">
        <f t="shared" si="3"/>
        <v>686</v>
      </c>
      <c r="T260" s="11">
        <f t="shared" si="4"/>
        <v>859</v>
      </c>
      <c r="U260" s="10">
        <f>IF(Q260&gt;0,(I260/Q260-District!$B$4)*100,"")</f>
        <v>-2.986339247</v>
      </c>
      <c r="V260" s="10">
        <f>IF(R260&gt;0,(K260/R260-District!$B$5)*100,"")</f>
        <v>-0.2014388563</v>
      </c>
      <c r="W260" s="10">
        <f>IF(S260&gt;0,(M260/S260-District!$B$6)*100,"")</f>
        <v>0.9120230272</v>
      </c>
      <c r="X260" s="10">
        <f>IF(T260&gt;0,(O260/T260-District!$B$7)*100,"")</f>
        <v>1.260271687</v>
      </c>
      <c r="Y260" s="28">
        <f t="shared" si="5"/>
        <v>2.986338361</v>
      </c>
      <c r="Z260" s="5">
        <f t="shared" si="6"/>
        <v>41</v>
      </c>
      <c r="AA260" s="28">
        <f t="shared" si="7"/>
        <v>0.9120223412</v>
      </c>
      <c r="AB260" s="5">
        <f t="shared" si="8"/>
        <v>4</v>
      </c>
      <c r="AC260" s="28">
        <f t="shared" si="9"/>
        <v>1.260270828</v>
      </c>
      <c r="AD260" s="5">
        <f t="shared" si="10"/>
        <v>16</v>
      </c>
    </row>
    <row r="261" ht="15.75" customHeight="1">
      <c r="A261" s="5" t="s">
        <v>872</v>
      </c>
      <c r="B261" s="5" t="s">
        <v>445</v>
      </c>
      <c r="C261" s="5" t="s">
        <v>303</v>
      </c>
      <c r="D261" s="5">
        <v>370.0</v>
      </c>
      <c r="E261" s="5" t="s">
        <v>122</v>
      </c>
      <c r="F261" s="5" t="s">
        <v>500</v>
      </c>
      <c r="G261" s="5" t="s">
        <v>500</v>
      </c>
      <c r="H261" s="5" t="s">
        <v>500</v>
      </c>
      <c r="I261" s="11">
        <v>450.0</v>
      </c>
      <c r="J261" s="11">
        <v>362.0</v>
      </c>
      <c r="K261" s="11">
        <v>915.0</v>
      </c>
      <c r="L261" s="11">
        <v>693.0</v>
      </c>
      <c r="M261" s="11">
        <v>719.0</v>
      </c>
      <c r="N261" s="11">
        <v>538.0</v>
      </c>
      <c r="O261" s="11">
        <v>925.0</v>
      </c>
      <c r="P261" s="11">
        <v>710.0</v>
      </c>
      <c r="Q261" s="11">
        <f t="shared" si="1"/>
        <v>812</v>
      </c>
      <c r="R261" s="11">
        <f t="shared" si="2"/>
        <v>1608</v>
      </c>
      <c r="S261" s="11">
        <f t="shared" si="3"/>
        <v>1257</v>
      </c>
      <c r="T261" s="11">
        <f t="shared" si="4"/>
        <v>1635</v>
      </c>
      <c r="U261" s="10">
        <f>IF(Q261&gt;0,(I261/Q261-District!$B$4)*100,"")</f>
        <v>2.006485586</v>
      </c>
      <c r="V261" s="10">
        <f>IF(R261&gt;0,(K261/R261-District!$B$5)*100,"")</f>
        <v>7.153013487</v>
      </c>
      <c r="W261" s="10">
        <f>IF(S261&gt;0,(M261/S261-District!$B$6)*100,"")</f>
        <v>6.216661077</v>
      </c>
      <c r="X261" s="10">
        <f>IF(T261&gt;0,(O261/T261-District!$B$7)*100,"")</f>
        <v>7.078501405</v>
      </c>
      <c r="Y261" s="28">
        <f t="shared" si="5"/>
        <v>7.153011879</v>
      </c>
      <c r="Z261" s="5">
        <f t="shared" si="6"/>
        <v>100</v>
      </c>
      <c r="AA261" s="28">
        <f t="shared" si="7"/>
        <v>7.15301223</v>
      </c>
      <c r="AB261" s="5">
        <f t="shared" si="8"/>
        <v>94</v>
      </c>
      <c r="AC261" s="28">
        <f t="shared" si="9"/>
        <v>7.07849977</v>
      </c>
      <c r="AD261" s="5">
        <f t="shared" si="10"/>
        <v>102</v>
      </c>
    </row>
    <row r="262" ht="15.75" customHeight="1">
      <c r="A262" s="5" t="s">
        <v>873</v>
      </c>
      <c r="B262" s="5" t="s">
        <v>445</v>
      </c>
      <c r="C262" s="5" t="s">
        <v>303</v>
      </c>
      <c r="D262" s="5">
        <v>375.0</v>
      </c>
      <c r="E262" s="5" t="s">
        <v>122</v>
      </c>
      <c r="F262" s="5" t="s">
        <v>501</v>
      </c>
      <c r="G262" s="5" t="s">
        <v>501</v>
      </c>
      <c r="H262" s="5" t="s">
        <v>501</v>
      </c>
      <c r="I262" s="11">
        <v>307.0</v>
      </c>
      <c r="J262" s="11">
        <v>353.0</v>
      </c>
      <c r="K262" s="11">
        <v>488.0</v>
      </c>
      <c r="L262" s="11">
        <v>539.0</v>
      </c>
      <c r="M262" s="11">
        <v>391.0</v>
      </c>
      <c r="N262" s="11">
        <v>384.0</v>
      </c>
      <c r="O262" s="11">
        <v>535.0</v>
      </c>
      <c r="P262" s="11">
        <v>514.0</v>
      </c>
      <c r="Q262" s="11">
        <f t="shared" si="1"/>
        <v>660</v>
      </c>
      <c r="R262" s="11">
        <f t="shared" si="2"/>
        <v>1027</v>
      </c>
      <c r="S262" s="11">
        <f t="shared" si="3"/>
        <v>775</v>
      </c>
      <c r="T262" s="11">
        <f t="shared" si="4"/>
        <v>1049</v>
      </c>
      <c r="U262" s="10">
        <f>IF(Q262&gt;0,(I262/Q262-District!$B$4)*100,"")</f>
        <v>-6.89708211</v>
      </c>
      <c r="V262" s="10">
        <f>IF(R262&gt;0,(K262/R262-District!$B$5)*100,"")</f>
        <v>-2.232931666</v>
      </c>
      <c r="W262" s="10">
        <f>IF(S262&gt;0,(M262/S262-District!$B$6)*100,"")</f>
        <v>-0.5314078013</v>
      </c>
      <c r="X262" s="10">
        <f>IF(T262&gt;0,(O262/T262-District!$B$7)*100,"")</f>
        <v>1.504531146</v>
      </c>
      <c r="Y262" s="28">
        <f t="shared" si="5"/>
        <v>6.897081083</v>
      </c>
      <c r="Z262" s="5">
        <f t="shared" si="6"/>
        <v>99</v>
      </c>
      <c r="AA262" s="28">
        <f t="shared" si="7"/>
        <v>2.232930891</v>
      </c>
      <c r="AB262" s="5">
        <f t="shared" si="8"/>
        <v>31</v>
      </c>
      <c r="AC262" s="28">
        <f t="shared" si="9"/>
        <v>1.504530097</v>
      </c>
      <c r="AD262" s="5">
        <f t="shared" si="10"/>
        <v>20</v>
      </c>
    </row>
    <row r="263" ht="15.75" customHeight="1">
      <c r="A263" s="5" t="s">
        <v>874</v>
      </c>
      <c r="B263" s="5" t="s">
        <v>445</v>
      </c>
      <c r="C263" s="5" t="s">
        <v>303</v>
      </c>
      <c r="D263" s="5">
        <v>377.0</v>
      </c>
      <c r="E263" s="5" t="s">
        <v>122</v>
      </c>
      <c r="F263" s="5" t="s">
        <v>502</v>
      </c>
      <c r="G263" s="5" t="s">
        <v>502</v>
      </c>
      <c r="H263" s="5" t="s">
        <v>502</v>
      </c>
      <c r="I263" s="11">
        <v>359.0</v>
      </c>
      <c r="J263" s="11">
        <v>339.0</v>
      </c>
      <c r="K263" s="11">
        <v>489.0</v>
      </c>
      <c r="L263" s="11">
        <v>419.0</v>
      </c>
      <c r="M263" s="11">
        <v>395.0</v>
      </c>
      <c r="N263" s="11">
        <v>387.0</v>
      </c>
      <c r="O263" s="11">
        <v>499.0</v>
      </c>
      <c r="P263" s="11">
        <v>468.0</v>
      </c>
      <c r="Q263" s="11">
        <f t="shared" si="1"/>
        <v>698</v>
      </c>
      <c r="R263" s="11">
        <f t="shared" si="2"/>
        <v>908</v>
      </c>
      <c r="S263" s="11">
        <f t="shared" si="3"/>
        <v>782</v>
      </c>
      <c r="T263" s="11">
        <f t="shared" si="4"/>
        <v>967</v>
      </c>
      <c r="U263" s="10">
        <f>IF(Q263&gt;0,(I263/Q263-District!$B$4)*100,"")</f>
        <v>-1.979568869</v>
      </c>
      <c r="V263" s="10">
        <f>IF(R263&gt;0,(K263/R263-District!$B$5)*100,"")</f>
        <v>4.104653963</v>
      </c>
      <c r="W263" s="10">
        <f>IF(S263&gt;0,(M263/S263-District!$B$6)*100,"")</f>
        <v>-0.4715117532</v>
      </c>
      <c r="X263" s="10">
        <f>IF(T263&gt;0,(O263/T263-District!$B$7)*100,"")</f>
        <v>2.106473411</v>
      </c>
      <c r="Y263" s="28">
        <f t="shared" si="5"/>
        <v>4.104653055</v>
      </c>
      <c r="Z263" s="5">
        <f t="shared" si="6"/>
        <v>57</v>
      </c>
      <c r="AA263" s="28">
        <f t="shared" si="7"/>
        <v>4.104653181</v>
      </c>
      <c r="AB263" s="5">
        <f t="shared" si="8"/>
        <v>64</v>
      </c>
      <c r="AC263" s="28">
        <f t="shared" si="9"/>
        <v>2.106472444</v>
      </c>
      <c r="AD263" s="5">
        <f t="shared" si="10"/>
        <v>33</v>
      </c>
    </row>
    <row r="264" ht="15.75" customHeight="1">
      <c r="A264" s="5" t="s">
        <v>875</v>
      </c>
      <c r="B264" s="5" t="s">
        <v>445</v>
      </c>
      <c r="C264" s="5" t="s">
        <v>303</v>
      </c>
      <c r="D264" s="5">
        <v>378.0</v>
      </c>
      <c r="E264" s="5" t="s">
        <v>122</v>
      </c>
      <c r="F264" s="5" t="s">
        <v>503</v>
      </c>
      <c r="G264" s="5" t="s">
        <v>503</v>
      </c>
      <c r="H264" s="5" t="s">
        <v>503</v>
      </c>
      <c r="I264" s="11">
        <v>354.0</v>
      </c>
      <c r="J264" s="11">
        <v>314.0</v>
      </c>
      <c r="K264" s="11">
        <v>510.0</v>
      </c>
      <c r="L264" s="11">
        <v>477.0</v>
      </c>
      <c r="M264" s="11">
        <v>407.0</v>
      </c>
      <c r="N264" s="11">
        <v>347.0</v>
      </c>
      <c r="O264" s="11">
        <v>503.0</v>
      </c>
      <c r="P264" s="11">
        <v>468.0</v>
      </c>
      <c r="Q264" s="11">
        <f t="shared" si="1"/>
        <v>668</v>
      </c>
      <c r="R264" s="11">
        <f t="shared" si="2"/>
        <v>987</v>
      </c>
      <c r="S264" s="11">
        <f t="shared" si="3"/>
        <v>754</v>
      </c>
      <c r="T264" s="11">
        <f t="shared" si="4"/>
        <v>971</v>
      </c>
      <c r="U264" s="10">
        <f>IF(Q264&gt;0,(I264/Q264-District!$B$4)*100,"")</f>
        <v>-0.4182216494</v>
      </c>
      <c r="V264" s="10">
        <f>IF(R264&gt;0,(K264/R264-District!$B$5)*100,"")</f>
        <v>1.921760935</v>
      </c>
      <c r="W264" s="10">
        <f>IF(S264&gt;0,(M264/S264-District!$B$6)*100,"")</f>
        <v>2.995759136</v>
      </c>
      <c r="X264" s="10">
        <f>IF(T264&gt;0,(O264/T264-District!$B$7)*100,"")</f>
        <v>2.305843563</v>
      </c>
      <c r="Y264" s="28">
        <f t="shared" si="5"/>
        <v>1.921759948</v>
      </c>
      <c r="Z264" s="5">
        <f t="shared" si="6"/>
        <v>15</v>
      </c>
      <c r="AA264" s="28">
        <f t="shared" si="7"/>
        <v>2.995758382</v>
      </c>
      <c r="AB264" s="5">
        <f t="shared" si="8"/>
        <v>45</v>
      </c>
      <c r="AC264" s="28">
        <f t="shared" si="9"/>
        <v>2.995758165</v>
      </c>
      <c r="AD264" s="5">
        <f t="shared" si="10"/>
        <v>54</v>
      </c>
    </row>
    <row r="265" ht="15.75" customHeight="1">
      <c r="A265" s="5" t="s">
        <v>876</v>
      </c>
      <c r="B265" s="5" t="s">
        <v>445</v>
      </c>
      <c r="C265" s="5" t="s">
        <v>504</v>
      </c>
      <c r="D265" s="5">
        <v>380.0</v>
      </c>
      <c r="E265" s="5" t="s">
        <v>122</v>
      </c>
      <c r="F265" s="5" t="s">
        <v>505</v>
      </c>
      <c r="G265" s="5" t="s">
        <v>505</v>
      </c>
      <c r="H265" s="5" t="s">
        <v>505</v>
      </c>
      <c r="I265" s="11">
        <v>579.0</v>
      </c>
      <c r="J265" s="11">
        <v>946.0</v>
      </c>
      <c r="K265" s="11">
        <v>858.0</v>
      </c>
      <c r="L265" s="11">
        <v>1442.0</v>
      </c>
      <c r="M265" s="11">
        <v>730.0</v>
      </c>
      <c r="N265" s="11">
        <v>1145.0</v>
      </c>
      <c r="O265" s="11">
        <v>939.0</v>
      </c>
      <c r="P265" s="11">
        <v>1452.0</v>
      </c>
      <c r="Q265" s="11">
        <f t="shared" si="1"/>
        <v>1525</v>
      </c>
      <c r="R265" s="11">
        <f t="shared" si="2"/>
        <v>2300</v>
      </c>
      <c r="S265" s="11">
        <f t="shared" si="3"/>
        <v>1875</v>
      </c>
      <c r="T265" s="11">
        <f t="shared" si="4"/>
        <v>2391</v>
      </c>
      <c r="U265" s="10">
        <f>IF(Q265&gt;0,(I265/Q265-District!$B$4)*100,"")</f>
        <v>-15.44502051</v>
      </c>
      <c r="V265" s="10">
        <f>IF(R265&gt;0,(K265/R265-District!$B$5)*100,"")</f>
        <v>-12.44562376</v>
      </c>
      <c r="W265" s="10">
        <f>IF(S265&gt;0,(M265/S265-District!$B$6)*100,"")</f>
        <v>-12.04968737</v>
      </c>
      <c r="X265" s="10">
        <f>IF(T265&gt;0,(O265/T265-District!$B$7)*100,"")</f>
        <v>-10.22415113</v>
      </c>
      <c r="Y265" s="28">
        <f t="shared" si="5"/>
        <v>15.44501821</v>
      </c>
      <c r="Z265" s="5">
        <f t="shared" si="6"/>
        <v>179</v>
      </c>
      <c r="AA265" s="28">
        <f t="shared" si="7"/>
        <v>12.44562189</v>
      </c>
      <c r="AB265" s="5">
        <f t="shared" si="8"/>
        <v>141</v>
      </c>
      <c r="AC265" s="28">
        <f t="shared" si="9"/>
        <v>12.04968498</v>
      </c>
      <c r="AD265" s="5">
        <f t="shared" si="10"/>
        <v>162</v>
      </c>
    </row>
    <row r="266" ht="15.75" customHeight="1">
      <c r="A266" s="5" t="s">
        <v>877</v>
      </c>
      <c r="B266" s="5" t="s">
        <v>445</v>
      </c>
      <c r="C266" s="5" t="s">
        <v>504</v>
      </c>
      <c r="D266" s="5">
        <v>390.0</v>
      </c>
      <c r="E266" s="5" t="s">
        <v>122</v>
      </c>
      <c r="F266" s="5" t="s">
        <v>506</v>
      </c>
      <c r="G266" s="5" t="s">
        <v>506</v>
      </c>
      <c r="H266" s="5" t="s">
        <v>506</v>
      </c>
      <c r="I266" s="11">
        <v>544.0</v>
      </c>
      <c r="J266" s="11">
        <v>694.0</v>
      </c>
      <c r="K266" s="11">
        <v>766.0</v>
      </c>
      <c r="L266" s="11">
        <v>1181.0</v>
      </c>
      <c r="M266" s="11">
        <v>692.0</v>
      </c>
      <c r="N266" s="11">
        <v>909.0</v>
      </c>
      <c r="O266" s="11">
        <v>820.0</v>
      </c>
      <c r="P266" s="11">
        <v>1185.0</v>
      </c>
      <c r="Q266" s="11">
        <f t="shared" si="1"/>
        <v>1238</v>
      </c>
      <c r="R266" s="11">
        <f t="shared" si="2"/>
        <v>1947</v>
      </c>
      <c r="S266" s="11">
        <f t="shared" si="3"/>
        <v>1601</v>
      </c>
      <c r="T266" s="11">
        <f t="shared" si="4"/>
        <v>2005</v>
      </c>
      <c r="U266" s="10">
        <f>IF(Q266&gt;0,(I266/Q266-District!$B$4)*100,"")</f>
        <v>-9.470391945</v>
      </c>
      <c r="V266" s="10">
        <f>IF(R266&gt;0,(K266/R266-District!$B$5)*100,"")</f>
        <v>-10.40739326</v>
      </c>
      <c r="W266" s="10">
        <f>IF(S266&gt;0,(M266/S266-District!$B$6)*100,"")</f>
        <v>-7.760035071</v>
      </c>
      <c r="X266" s="10">
        <f>IF(T266&gt;0,(O266/T266-District!$B$7)*100,"")</f>
        <v>-8.598666532</v>
      </c>
      <c r="Y266" s="28">
        <f t="shared" si="5"/>
        <v>10.40739132</v>
      </c>
      <c r="Z266" s="5">
        <f t="shared" si="6"/>
        <v>130</v>
      </c>
      <c r="AA266" s="28">
        <f t="shared" si="7"/>
        <v>10.40739166</v>
      </c>
      <c r="AB266" s="5">
        <f t="shared" si="8"/>
        <v>126</v>
      </c>
      <c r="AC266" s="28">
        <f t="shared" si="9"/>
        <v>8.598664527</v>
      </c>
      <c r="AD266" s="5">
        <f t="shared" si="10"/>
        <v>118</v>
      </c>
    </row>
    <row r="267" ht="15.75" customHeight="1">
      <c r="A267" s="5" t="s">
        <v>878</v>
      </c>
      <c r="B267" s="5" t="s">
        <v>445</v>
      </c>
      <c r="C267" s="5" t="s">
        <v>504</v>
      </c>
      <c r="D267" s="5">
        <v>400.0</v>
      </c>
      <c r="E267" s="5" t="s">
        <v>122</v>
      </c>
      <c r="F267" s="5" t="s">
        <v>507</v>
      </c>
      <c r="G267" s="5" t="s">
        <v>507</v>
      </c>
      <c r="H267" s="5" t="s">
        <v>507</v>
      </c>
      <c r="I267" s="11">
        <v>247.0</v>
      </c>
      <c r="J267" s="11">
        <v>503.0</v>
      </c>
      <c r="K267" s="11">
        <v>354.0</v>
      </c>
      <c r="L267" s="11">
        <v>762.0</v>
      </c>
      <c r="M267" s="11">
        <v>315.0</v>
      </c>
      <c r="N267" s="11">
        <v>608.0</v>
      </c>
      <c r="O267" s="11">
        <v>410.0</v>
      </c>
      <c r="P267" s="11">
        <v>822.0</v>
      </c>
      <c r="Q267" s="11">
        <f t="shared" si="1"/>
        <v>750</v>
      </c>
      <c r="R267" s="11">
        <f t="shared" si="2"/>
        <v>1116</v>
      </c>
      <c r="S267" s="11">
        <f t="shared" si="3"/>
        <v>923</v>
      </c>
      <c r="T267" s="11">
        <f t="shared" si="4"/>
        <v>1232</v>
      </c>
      <c r="U267" s="10">
        <f>IF(Q267&gt;0,(I267/Q267-District!$B$4)*100,"")</f>
        <v>-20.47890029</v>
      </c>
      <c r="V267" s="10">
        <f>IF(R267&gt;0,(K267/R267-District!$B$5)*100,"")</f>
        <v>-18.02954148</v>
      </c>
      <c r="W267" s="10">
        <f>IF(S267&gt;0,(M267/S267-District!$B$6)*100,"")</f>
        <v>-16.85517672</v>
      </c>
      <c r="X267" s="10">
        <f>IF(T267&gt;0,(O267/T267-District!$B$7)*100,"")</f>
        <v>-16.21720136</v>
      </c>
      <c r="Y267" s="28">
        <f t="shared" si="5"/>
        <v>20.47889918</v>
      </c>
      <c r="Z267" s="5">
        <f t="shared" si="6"/>
        <v>232</v>
      </c>
      <c r="AA267" s="28">
        <f t="shared" si="7"/>
        <v>18.02954056</v>
      </c>
      <c r="AB267" s="5">
        <f t="shared" si="8"/>
        <v>195</v>
      </c>
      <c r="AC267" s="28">
        <f t="shared" si="9"/>
        <v>16.85517549</v>
      </c>
      <c r="AD267" s="5">
        <f t="shared" si="10"/>
        <v>214</v>
      </c>
    </row>
    <row r="268" ht="15.75" customHeight="1">
      <c r="A268" s="5" t="s">
        <v>879</v>
      </c>
      <c r="B268" s="5" t="s">
        <v>445</v>
      </c>
      <c r="C268" s="5" t="s">
        <v>508</v>
      </c>
      <c r="D268" s="5">
        <v>410.0</v>
      </c>
      <c r="E268" s="5" t="s">
        <v>122</v>
      </c>
      <c r="F268" s="5" t="s">
        <v>508</v>
      </c>
      <c r="G268" s="5" t="s">
        <v>508</v>
      </c>
      <c r="H268" s="5" t="s">
        <v>508</v>
      </c>
      <c r="I268" s="11">
        <v>30.0</v>
      </c>
      <c r="J268" s="11">
        <v>36.0</v>
      </c>
      <c r="K268" s="11">
        <v>39.0</v>
      </c>
      <c r="L268" s="11">
        <v>79.0</v>
      </c>
      <c r="M268" s="11">
        <v>31.0</v>
      </c>
      <c r="N268" s="11">
        <v>55.0</v>
      </c>
      <c r="O268" s="11">
        <v>40.0</v>
      </c>
      <c r="P268" s="11">
        <v>83.0</v>
      </c>
      <c r="Q268" s="11">
        <f t="shared" si="1"/>
        <v>66</v>
      </c>
      <c r="R268" s="11">
        <f t="shared" si="2"/>
        <v>118</v>
      </c>
      <c r="S268" s="11">
        <f t="shared" si="3"/>
        <v>86</v>
      </c>
      <c r="T268" s="11">
        <f t="shared" si="4"/>
        <v>123</v>
      </c>
      <c r="U268" s="10">
        <f>IF(Q268&gt;0,(I268/Q268-District!$B$4)*100,"")</f>
        <v>-7.957688171</v>
      </c>
      <c r="V268" s="10">
        <f>IF(R268&gt;0,(K268/R268-District!$B$5)*100,"")</f>
        <v>-16.69912413</v>
      </c>
      <c r="W268" s="10">
        <f>IF(S268&gt;0,(M268/S268-District!$B$6)*100,"")</f>
        <v>-14.93650908</v>
      </c>
      <c r="X268" s="10">
        <f>IF(T268&gt;0,(O268/T268-District!$B$7)*100,"")</f>
        <v>-16.97609694</v>
      </c>
      <c r="Y268" s="28" t="str">
        <f t="shared" si="5"/>
        <v/>
      </c>
      <c r="Z268" s="5" t="str">
        <f t="shared" si="6"/>
        <v/>
      </c>
      <c r="AA268" s="28" t="str">
        <f t="shared" si="7"/>
        <v/>
      </c>
      <c r="AB268" s="5" t="str">
        <f t="shared" si="8"/>
        <v/>
      </c>
      <c r="AC268" s="28" t="str">
        <f t="shared" si="9"/>
        <v/>
      </c>
      <c r="AD268" s="5" t="str">
        <f t="shared" si="10"/>
        <v/>
      </c>
    </row>
    <row r="269" ht="15.75" customHeight="1">
      <c r="A269" s="5" t="s">
        <v>880</v>
      </c>
      <c r="B269" s="5" t="s">
        <v>445</v>
      </c>
      <c r="C269" s="5" t="s">
        <v>509</v>
      </c>
      <c r="D269" s="5">
        <v>420.0</v>
      </c>
      <c r="E269" s="5" t="s">
        <v>122</v>
      </c>
      <c r="F269" s="5" t="s">
        <v>510</v>
      </c>
      <c r="G269" s="5" t="s">
        <v>510</v>
      </c>
      <c r="H269" s="5" t="s">
        <v>510</v>
      </c>
      <c r="I269" s="11">
        <v>375.0</v>
      </c>
      <c r="J269" s="11">
        <v>542.0</v>
      </c>
      <c r="K269" s="11">
        <v>527.0</v>
      </c>
      <c r="L269" s="11">
        <v>867.0</v>
      </c>
      <c r="M269" s="11">
        <v>551.0</v>
      </c>
      <c r="N269" s="11">
        <v>740.0</v>
      </c>
      <c r="O269" s="11">
        <v>774.0</v>
      </c>
      <c r="P269" s="11">
        <v>1032.0</v>
      </c>
      <c r="Q269" s="11">
        <f t="shared" si="1"/>
        <v>917</v>
      </c>
      <c r="R269" s="11">
        <f t="shared" si="2"/>
        <v>1394</v>
      </c>
      <c r="S269" s="11">
        <f t="shared" si="3"/>
        <v>1291</v>
      </c>
      <c r="T269" s="11">
        <f t="shared" si="4"/>
        <v>1806</v>
      </c>
      <c r="U269" s="10">
        <f>IF(Q269&gt;0,(I269/Q269-District!$B$4)*100,"")</f>
        <v>-12.51801334</v>
      </c>
      <c r="V269" s="10">
        <f>IF(R269&gt;0,(K269/R269-District!$B$5)*100,"")</f>
        <v>-11.94509354</v>
      </c>
      <c r="W269" s="10">
        <f>IF(S269&gt;0,(M269/S269-District!$B$6)*100,"")</f>
        <v>-8.302927753</v>
      </c>
      <c r="X269" s="10">
        <f>IF(T269&gt;0,(O269/T269-District!$B$7)*100,"")</f>
        <v>-6.639279285</v>
      </c>
      <c r="Y269" s="28">
        <f t="shared" si="5"/>
        <v>12.51801195</v>
      </c>
      <c r="Z269" s="5">
        <f t="shared" si="6"/>
        <v>146</v>
      </c>
      <c r="AA269" s="28">
        <f t="shared" si="7"/>
        <v>11.94509225</v>
      </c>
      <c r="AB269" s="5">
        <f t="shared" si="8"/>
        <v>138</v>
      </c>
      <c r="AC269" s="28">
        <f t="shared" si="9"/>
        <v>8.302925947</v>
      </c>
      <c r="AD269" s="5">
        <f t="shared" si="10"/>
        <v>116</v>
      </c>
    </row>
    <row r="270" ht="15.75" customHeight="1">
      <c r="A270" s="5" t="s">
        <v>881</v>
      </c>
      <c r="B270" s="5" t="s">
        <v>445</v>
      </c>
      <c r="C270" s="5" t="s">
        <v>509</v>
      </c>
      <c r="D270" s="5">
        <v>430.0</v>
      </c>
      <c r="E270" s="5" t="s">
        <v>122</v>
      </c>
      <c r="F270" s="5" t="s">
        <v>512</v>
      </c>
      <c r="G270" s="5" t="s">
        <v>512</v>
      </c>
      <c r="H270" s="5" t="s">
        <v>512</v>
      </c>
      <c r="I270" s="11">
        <v>465.0</v>
      </c>
      <c r="J270" s="11">
        <v>609.0</v>
      </c>
      <c r="K270" s="11">
        <v>688.0</v>
      </c>
      <c r="L270" s="11">
        <v>917.0</v>
      </c>
      <c r="M270" s="11">
        <v>558.0</v>
      </c>
      <c r="N270" s="11">
        <v>668.0</v>
      </c>
      <c r="O270" s="11">
        <v>710.0</v>
      </c>
      <c r="P270" s="11">
        <v>927.0</v>
      </c>
      <c r="Q270" s="11">
        <f t="shared" si="1"/>
        <v>1074</v>
      </c>
      <c r="R270" s="11">
        <f t="shared" si="2"/>
        <v>1605</v>
      </c>
      <c r="S270" s="11">
        <f t="shared" si="3"/>
        <v>1226</v>
      </c>
      <c r="T270" s="11">
        <f t="shared" si="4"/>
        <v>1637</v>
      </c>
      <c r="U270" s="10">
        <f>IF(Q270&gt;0,(I270/Q270-District!$B$4)*100,"")</f>
        <v>-10.11614424</v>
      </c>
      <c r="V270" s="10">
        <f>IF(R270&gt;0,(K270/R270-District!$B$5)*100,"")</f>
        <v>-6.883927974</v>
      </c>
      <c r="W270" s="10">
        <f>IF(S270&gt;0,(M270/S270-District!$B$6)*100,"")</f>
        <v>-5.469154473</v>
      </c>
      <c r="X270" s="10">
        <f>IF(T270&gt;0,(O270/T270-District!$B$7)*100,"")</f>
        <v>-6.124400151</v>
      </c>
      <c r="Y270" s="28">
        <f t="shared" si="5"/>
        <v>10.11614263</v>
      </c>
      <c r="Z270" s="5">
        <f t="shared" si="6"/>
        <v>126</v>
      </c>
      <c r="AA270" s="28">
        <f t="shared" si="7"/>
        <v>6.883926748</v>
      </c>
      <c r="AB270" s="5">
        <f t="shared" si="8"/>
        <v>93</v>
      </c>
      <c r="AC270" s="28">
        <f t="shared" si="9"/>
        <v>6.124398514</v>
      </c>
      <c r="AD270" s="5">
        <f t="shared" si="10"/>
        <v>94</v>
      </c>
    </row>
    <row r="271" ht="15.75" customHeight="1">
      <c r="A271" s="5" t="s">
        <v>882</v>
      </c>
      <c r="B271" s="5" t="s">
        <v>445</v>
      </c>
      <c r="C271" s="5" t="s">
        <v>513</v>
      </c>
      <c r="D271" s="5">
        <v>440.0</v>
      </c>
      <c r="E271" s="5" t="s">
        <v>122</v>
      </c>
      <c r="F271" s="5" t="s">
        <v>513</v>
      </c>
      <c r="G271" s="5" t="s">
        <v>513</v>
      </c>
      <c r="H271" s="5" t="s">
        <v>513</v>
      </c>
      <c r="I271" s="11">
        <v>130.0</v>
      </c>
      <c r="J271" s="11">
        <v>203.0</v>
      </c>
      <c r="K271" s="11">
        <v>166.0</v>
      </c>
      <c r="L271" s="11">
        <v>332.0</v>
      </c>
      <c r="M271" s="11">
        <v>137.0</v>
      </c>
      <c r="N271" s="11">
        <v>214.0</v>
      </c>
      <c r="O271" s="11">
        <v>217.0</v>
      </c>
      <c r="P271" s="11">
        <v>309.0</v>
      </c>
      <c r="Q271" s="11">
        <f t="shared" si="1"/>
        <v>333</v>
      </c>
      <c r="R271" s="11">
        <f t="shared" si="2"/>
        <v>498</v>
      </c>
      <c r="S271" s="11">
        <f t="shared" si="3"/>
        <v>351</v>
      </c>
      <c r="T271" s="11">
        <f t="shared" si="4"/>
        <v>526</v>
      </c>
      <c r="U271" s="10">
        <f>IF(Q271&gt;0,(I271/Q271-District!$B$4)*100,"")</f>
        <v>-14.37319459</v>
      </c>
      <c r="V271" s="10">
        <f>IF(R271&gt;0,(K271/R271-District!$B$5)*100,"")</f>
        <v>-16.41663825</v>
      </c>
      <c r="W271" s="10">
        <f>IF(S271&gt;0,(M271/S271-District!$B$6)*100,"")</f>
        <v>-11.95168167</v>
      </c>
      <c r="X271" s="10">
        <f>IF(T271&gt;0,(O271/T271-District!$B$7)*100,"")</f>
        <v>-8.241669291</v>
      </c>
      <c r="Y271" s="28">
        <f t="shared" si="5"/>
        <v>16.41663776</v>
      </c>
      <c r="Z271" s="5">
        <f t="shared" si="6"/>
        <v>196</v>
      </c>
      <c r="AA271" s="28">
        <f t="shared" si="7"/>
        <v>16.4166379</v>
      </c>
      <c r="AB271" s="5">
        <f t="shared" si="8"/>
        <v>181</v>
      </c>
      <c r="AC271" s="28">
        <f t="shared" si="9"/>
        <v>11.95168115</v>
      </c>
      <c r="AD271" s="5">
        <f t="shared" si="10"/>
        <v>160</v>
      </c>
    </row>
    <row r="272" ht="15.75" customHeight="1">
      <c r="A272" s="5" t="s">
        <v>883</v>
      </c>
      <c r="B272" s="5" t="s">
        <v>445</v>
      </c>
      <c r="C272" s="5" t="s">
        <v>514</v>
      </c>
      <c r="D272" s="5">
        <v>450.0</v>
      </c>
      <c r="E272" s="5" t="s">
        <v>122</v>
      </c>
      <c r="F272" s="5" t="s">
        <v>517</v>
      </c>
      <c r="G272" s="5" t="s">
        <v>517</v>
      </c>
      <c r="H272" s="5" t="s">
        <v>517</v>
      </c>
      <c r="I272" s="11">
        <v>326.0</v>
      </c>
      <c r="J272" s="11">
        <v>91.0</v>
      </c>
      <c r="K272" s="11">
        <v>456.0</v>
      </c>
      <c r="L272" s="11">
        <v>160.0</v>
      </c>
      <c r="M272" s="11">
        <v>372.0</v>
      </c>
      <c r="N272" s="11">
        <v>118.0</v>
      </c>
      <c r="O272" s="11">
        <v>492.0</v>
      </c>
      <c r="P272" s="11">
        <v>197.0</v>
      </c>
      <c r="Q272" s="11">
        <f t="shared" si="1"/>
        <v>417</v>
      </c>
      <c r="R272" s="11">
        <f t="shared" si="2"/>
        <v>616</v>
      </c>
      <c r="S272" s="11">
        <f t="shared" si="3"/>
        <v>490</v>
      </c>
      <c r="T272" s="11">
        <f t="shared" si="4"/>
        <v>689</v>
      </c>
      <c r="U272" s="10">
        <f>IF(Q272&gt;0,(I272/Q272-District!$B$4)*100,"")</f>
        <v>24.76522441</v>
      </c>
      <c r="V272" s="10">
        <f>IF(R272&gt;0,(K272/R272-District!$B$5)*100,"")</f>
        <v>24.27600244</v>
      </c>
      <c r="W272" s="10">
        <f>IF(S272&gt;0,(M272/S272-District!$B$6)*100,"")</f>
        <v>24.93534664</v>
      </c>
      <c r="X272" s="10">
        <f>IF(T272&gt;0,(O272/T272-District!$B$7)*100,"")</f>
        <v>21.9114153</v>
      </c>
      <c r="Y272" s="28">
        <f t="shared" si="5"/>
        <v>24.76522379</v>
      </c>
      <c r="Z272" s="5">
        <f t="shared" si="6"/>
        <v>263</v>
      </c>
      <c r="AA272" s="28">
        <f t="shared" si="7"/>
        <v>24.93534615</v>
      </c>
      <c r="AB272" s="5">
        <f t="shared" si="8"/>
        <v>237</v>
      </c>
      <c r="AC272" s="28">
        <f t="shared" si="9"/>
        <v>24.93534595</v>
      </c>
      <c r="AD272" s="5">
        <f t="shared" si="10"/>
        <v>272</v>
      </c>
    </row>
    <row r="273" ht="15.75" customHeight="1">
      <c r="A273" s="5" t="s">
        <v>884</v>
      </c>
      <c r="B273" s="5" t="s">
        <v>445</v>
      </c>
      <c r="C273" s="5" t="s">
        <v>514</v>
      </c>
      <c r="D273" s="5">
        <v>460.0</v>
      </c>
      <c r="E273" s="5" t="s">
        <v>122</v>
      </c>
      <c r="F273" s="5" t="s">
        <v>518</v>
      </c>
      <c r="G273" s="5" t="s">
        <v>518</v>
      </c>
      <c r="H273" s="5" t="s">
        <v>518</v>
      </c>
      <c r="I273" s="11">
        <v>609.0</v>
      </c>
      <c r="J273" s="11">
        <v>202.0</v>
      </c>
      <c r="K273" s="11">
        <v>737.0</v>
      </c>
      <c r="L273" s="11">
        <v>293.0</v>
      </c>
      <c r="M273" s="11">
        <v>665.0</v>
      </c>
      <c r="N273" s="11">
        <v>201.0</v>
      </c>
      <c r="O273" s="11">
        <v>743.0</v>
      </c>
      <c r="P273" s="11">
        <v>265.0</v>
      </c>
      <c r="Q273" s="11">
        <f t="shared" si="1"/>
        <v>811</v>
      </c>
      <c r="R273" s="11">
        <f t="shared" si="2"/>
        <v>1030</v>
      </c>
      <c r="S273" s="11">
        <f t="shared" si="3"/>
        <v>866</v>
      </c>
      <c r="T273" s="11">
        <f t="shared" si="4"/>
        <v>1008</v>
      </c>
      <c r="U273" s="10">
        <f>IF(Q273&gt;0,(I273/Q273-District!$B$4)*100,"")</f>
        <v>21.6802448</v>
      </c>
      <c r="V273" s="10">
        <f>IF(R273&gt;0,(K273/R273-District!$B$5)*100,"")</f>
        <v>21.80342647</v>
      </c>
      <c r="W273" s="10">
        <f>IF(S273&gt;0,(M273/S273-District!$B$6)*100,"")</f>
        <v>25.80681763</v>
      </c>
      <c r="X273" s="10">
        <f>IF(T273&gt;0,(O273/T273-District!$B$7)*100,"")</f>
        <v>24.21389532</v>
      </c>
      <c r="Y273" s="28">
        <f t="shared" si="5"/>
        <v>21.80342544</v>
      </c>
      <c r="Z273" s="5">
        <f t="shared" si="6"/>
        <v>243</v>
      </c>
      <c r="AA273" s="28">
        <f t="shared" si="7"/>
        <v>25.80681677</v>
      </c>
      <c r="AB273" s="5">
        <f t="shared" si="8"/>
        <v>240</v>
      </c>
      <c r="AC273" s="28">
        <f t="shared" si="9"/>
        <v>25.80681662</v>
      </c>
      <c r="AD273" s="5">
        <f t="shared" si="10"/>
        <v>278</v>
      </c>
    </row>
    <row r="274" ht="15.75" customHeight="1">
      <c r="A274" s="5" t="s">
        <v>885</v>
      </c>
      <c r="B274" s="5" t="s">
        <v>445</v>
      </c>
      <c r="C274" s="5" t="s">
        <v>514</v>
      </c>
      <c r="D274" s="5">
        <v>470.0</v>
      </c>
      <c r="E274" s="5" t="s">
        <v>122</v>
      </c>
      <c r="F274" s="5" t="s">
        <v>519</v>
      </c>
      <c r="G274" s="5" t="s">
        <v>519</v>
      </c>
      <c r="H274" s="5" t="s">
        <v>519</v>
      </c>
      <c r="I274" s="11">
        <v>473.0</v>
      </c>
      <c r="J274" s="11">
        <v>58.0</v>
      </c>
      <c r="K274" s="11">
        <v>445.0</v>
      </c>
      <c r="L274" s="11">
        <v>114.0</v>
      </c>
      <c r="M274" s="11">
        <v>460.0</v>
      </c>
      <c r="N274" s="11">
        <v>76.0</v>
      </c>
      <c r="O274" s="11">
        <v>1109.0</v>
      </c>
      <c r="P274" s="11">
        <v>290.0</v>
      </c>
      <c r="Q274" s="11">
        <f t="shared" si="1"/>
        <v>531</v>
      </c>
      <c r="R274" s="11">
        <f t="shared" si="2"/>
        <v>559</v>
      </c>
      <c r="S274" s="11">
        <f t="shared" si="3"/>
        <v>536</v>
      </c>
      <c r="T274" s="11">
        <f t="shared" si="4"/>
        <v>1399</v>
      </c>
      <c r="U274" s="10">
        <f>IF(Q274&gt;0,(I274/Q274-District!$B$4)*100,"")</f>
        <v>35.66497918</v>
      </c>
      <c r="V274" s="10">
        <f>IF(R274&gt;0,(K274/R274-District!$B$5)*100,"")</f>
        <v>29.85646848</v>
      </c>
      <c r="W274" s="10">
        <f>IF(S274&gt;0,(M274/S274-District!$B$6)*100,"")</f>
        <v>34.83787482</v>
      </c>
      <c r="X274" s="10">
        <f>IF(T274&gt;0,(O274/T274-District!$B$7)*100,"")</f>
        <v>29.77448565</v>
      </c>
      <c r="Y274" s="28">
        <f t="shared" si="5"/>
        <v>35.66497862</v>
      </c>
      <c r="Z274" s="5">
        <f t="shared" si="6"/>
        <v>291</v>
      </c>
      <c r="AA274" s="28">
        <f t="shared" si="7"/>
        <v>34.83787428</v>
      </c>
      <c r="AB274" s="5">
        <f t="shared" si="8"/>
        <v>253</v>
      </c>
      <c r="AC274" s="28">
        <f t="shared" si="9"/>
        <v>34.83787342</v>
      </c>
      <c r="AD274" s="5">
        <f t="shared" si="10"/>
        <v>292</v>
      </c>
    </row>
    <row r="275" ht="15.75" customHeight="1">
      <c r="A275" s="5" t="s">
        <v>886</v>
      </c>
      <c r="B275" s="5" t="s">
        <v>445</v>
      </c>
      <c r="C275" s="5" t="s">
        <v>514</v>
      </c>
      <c r="D275" s="5">
        <v>480.0</v>
      </c>
      <c r="E275" s="5" t="s">
        <v>122</v>
      </c>
      <c r="F275" s="5" t="s">
        <v>520</v>
      </c>
      <c r="G275" s="5" t="s">
        <v>520</v>
      </c>
      <c r="H275" s="5" t="s">
        <v>520</v>
      </c>
      <c r="I275" s="11">
        <v>410.0</v>
      </c>
      <c r="J275" s="11">
        <v>127.0</v>
      </c>
      <c r="K275" s="11">
        <v>569.0</v>
      </c>
      <c r="L275" s="11">
        <v>249.0</v>
      </c>
      <c r="M275" s="11">
        <v>507.0</v>
      </c>
      <c r="N275" s="11">
        <v>172.0</v>
      </c>
      <c r="O275" s="11">
        <v>566.0</v>
      </c>
      <c r="P275" s="11">
        <v>257.0</v>
      </c>
      <c r="Q275" s="11">
        <f t="shared" si="1"/>
        <v>537</v>
      </c>
      <c r="R275" s="11">
        <f t="shared" si="2"/>
        <v>818</v>
      </c>
      <c r="S275" s="11">
        <f t="shared" si="3"/>
        <v>679</v>
      </c>
      <c r="T275" s="11">
        <f t="shared" si="4"/>
        <v>823</v>
      </c>
      <c r="U275" s="10">
        <f>IF(Q275&gt;0,(I275/Q275-District!$B$4)*100,"")</f>
        <v>22.93785948</v>
      </c>
      <c r="V275" s="10">
        <f>IF(R275&gt;0,(K275/R275-District!$B$5)*100,"")</f>
        <v>19.80993061</v>
      </c>
      <c r="W275" s="10">
        <f>IF(S275&gt;0,(M275/S275-District!$B$6)*100,"")</f>
        <v>23.68560963</v>
      </c>
      <c r="X275" s="10">
        <f>IF(T275&gt;0,(O275/T275-District!$B$7)*100,"")</f>
        <v>19.27636036</v>
      </c>
      <c r="Y275" s="28">
        <f t="shared" si="5"/>
        <v>22.93785867</v>
      </c>
      <c r="Z275" s="5">
        <f t="shared" si="6"/>
        <v>251</v>
      </c>
      <c r="AA275" s="28">
        <f t="shared" si="7"/>
        <v>23.68560896</v>
      </c>
      <c r="AB275" s="5">
        <f t="shared" si="8"/>
        <v>232</v>
      </c>
      <c r="AC275" s="28">
        <f t="shared" si="9"/>
        <v>23.68560881</v>
      </c>
      <c r="AD275" s="5">
        <f t="shared" si="10"/>
        <v>265</v>
      </c>
    </row>
    <row r="276" ht="15.75" customHeight="1">
      <c r="A276" s="5" t="s">
        <v>887</v>
      </c>
      <c r="B276" s="5" t="s">
        <v>445</v>
      </c>
      <c r="C276" s="5" t="s">
        <v>514</v>
      </c>
      <c r="D276" s="5">
        <v>490.0</v>
      </c>
      <c r="E276" s="5" t="s">
        <v>122</v>
      </c>
      <c r="F276" s="5" t="s">
        <v>521</v>
      </c>
      <c r="G276" s="5" t="s">
        <v>521</v>
      </c>
      <c r="H276" s="5" t="s">
        <v>521</v>
      </c>
      <c r="I276" s="11">
        <v>334.0</v>
      </c>
      <c r="J276" s="11">
        <v>128.0</v>
      </c>
      <c r="K276" s="11">
        <v>552.0</v>
      </c>
      <c r="L276" s="11">
        <v>257.0</v>
      </c>
      <c r="M276" s="11">
        <v>364.0</v>
      </c>
      <c r="N276" s="11">
        <v>155.0</v>
      </c>
      <c r="O276" s="11">
        <v>517.0</v>
      </c>
      <c r="P276" s="11">
        <v>265.0</v>
      </c>
      <c r="Q276" s="11">
        <f t="shared" si="1"/>
        <v>462</v>
      </c>
      <c r="R276" s="11">
        <f t="shared" si="2"/>
        <v>809</v>
      </c>
      <c r="S276" s="11">
        <f t="shared" si="3"/>
        <v>519</v>
      </c>
      <c r="T276" s="11">
        <f t="shared" si="4"/>
        <v>782</v>
      </c>
      <c r="U276" s="10">
        <f>IF(Q276&gt;0,(I276/Q276-District!$B$4)*100,"")</f>
        <v>18.88213867</v>
      </c>
      <c r="V276" s="10">
        <f>IF(R276&gt;0,(K276/R276-District!$B$5)*100,"")</f>
        <v>18.48241407</v>
      </c>
      <c r="W276" s="10">
        <f>IF(S276&gt;0,(M276/S276-District!$B$6)*100,"")</f>
        <v>19.15185405</v>
      </c>
      <c r="X276" s="10">
        <f>IF(T276&gt;0,(O276/T276-District!$B$7)*100,"")</f>
        <v>16.61610983</v>
      </c>
      <c r="Y276" s="28">
        <f t="shared" si="5"/>
        <v>18.88213786</v>
      </c>
      <c r="Z276" s="5">
        <f t="shared" si="6"/>
        <v>216</v>
      </c>
      <c r="AA276" s="28">
        <f t="shared" si="7"/>
        <v>19.15185354</v>
      </c>
      <c r="AB276" s="5">
        <f t="shared" si="8"/>
        <v>205</v>
      </c>
      <c r="AC276" s="28">
        <f t="shared" si="9"/>
        <v>19.15185327</v>
      </c>
      <c r="AD276" s="5">
        <f t="shared" si="10"/>
        <v>233</v>
      </c>
    </row>
    <row r="277" ht="15.75" customHeight="1">
      <c r="A277" s="5" t="s">
        <v>888</v>
      </c>
      <c r="B277" s="5" t="s">
        <v>445</v>
      </c>
      <c r="C277" s="5" t="s">
        <v>514</v>
      </c>
      <c r="D277" s="5">
        <v>500.0</v>
      </c>
      <c r="E277" s="5" t="s">
        <v>122</v>
      </c>
      <c r="F277" s="5" t="s">
        <v>522</v>
      </c>
      <c r="G277" s="5" t="s">
        <v>522</v>
      </c>
      <c r="H277" s="5" t="s">
        <v>522</v>
      </c>
      <c r="I277" s="11">
        <v>189.0</v>
      </c>
      <c r="J277" s="11">
        <v>42.0</v>
      </c>
      <c r="K277" s="11">
        <v>246.0</v>
      </c>
      <c r="L277" s="11">
        <v>82.0</v>
      </c>
      <c r="M277" s="11">
        <v>154.0</v>
      </c>
      <c r="N277" s="11">
        <v>58.0</v>
      </c>
      <c r="O277" s="11">
        <v>233.0</v>
      </c>
      <c r="P277" s="11">
        <v>84.0</v>
      </c>
      <c r="Q277" s="11">
        <f t="shared" si="1"/>
        <v>231</v>
      </c>
      <c r="R277" s="11">
        <f t="shared" si="2"/>
        <v>328</v>
      </c>
      <c r="S277" s="11">
        <f t="shared" si="3"/>
        <v>212</v>
      </c>
      <c r="T277" s="11">
        <f t="shared" si="4"/>
        <v>317</v>
      </c>
      <c r="U277" s="10">
        <f>IF(Q277&gt;0,(I277/Q277-District!$B$4)*100,"")</f>
        <v>28.40594819</v>
      </c>
      <c r="V277" s="10">
        <f>IF(R277&gt;0,(K277/R277-District!$B$5)*100,"")</f>
        <v>25.25002841</v>
      </c>
      <c r="W277" s="10">
        <f>IF(S277&gt;0,(M277/S277-District!$B$6)*100,"")</f>
        <v>21.65848873</v>
      </c>
      <c r="X277" s="10">
        <f>IF(T277&gt;0,(O277/T277-District!$B$7)*100,"")</f>
        <v>24.00515514</v>
      </c>
      <c r="Y277" s="28" t="str">
        <f t="shared" si="5"/>
        <v/>
      </c>
      <c r="Z277" s="5" t="str">
        <f t="shared" si="6"/>
        <v/>
      </c>
      <c r="AA277" s="28" t="str">
        <f t="shared" si="7"/>
        <v/>
      </c>
      <c r="AB277" s="5" t="str">
        <f t="shared" si="8"/>
        <v/>
      </c>
      <c r="AC277" s="28" t="str">
        <f t="shared" si="9"/>
        <v/>
      </c>
      <c r="AD277" s="5" t="str">
        <f t="shared" si="10"/>
        <v/>
      </c>
    </row>
    <row r="278" ht="15.75" customHeight="1">
      <c r="A278" s="5" t="s">
        <v>889</v>
      </c>
      <c r="B278" s="5" t="s">
        <v>445</v>
      </c>
      <c r="C278" s="5" t="s">
        <v>514</v>
      </c>
      <c r="D278" s="5">
        <v>510.0</v>
      </c>
      <c r="E278" s="5" t="s">
        <v>122</v>
      </c>
      <c r="F278" s="5" t="s">
        <v>523</v>
      </c>
      <c r="G278" s="5" t="s">
        <v>523</v>
      </c>
      <c r="H278" s="5" t="s">
        <v>523</v>
      </c>
      <c r="I278" s="11">
        <v>236.0</v>
      </c>
      <c r="J278" s="11">
        <v>61.0</v>
      </c>
      <c r="K278" s="11">
        <v>318.0</v>
      </c>
      <c r="L278" s="11">
        <v>137.0</v>
      </c>
      <c r="M278" s="11">
        <v>245.0</v>
      </c>
      <c r="N278" s="11">
        <v>79.0</v>
      </c>
      <c r="O278" s="11">
        <v>391.0</v>
      </c>
      <c r="P278" s="11">
        <v>126.0</v>
      </c>
      <c r="Q278" s="11">
        <f t="shared" si="1"/>
        <v>297</v>
      </c>
      <c r="R278" s="11">
        <f t="shared" si="2"/>
        <v>455</v>
      </c>
      <c r="S278" s="11">
        <f t="shared" si="3"/>
        <v>324</v>
      </c>
      <c r="T278" s="11">
        <f t="shared" si="4"/>
        <v>517</v>
      </c>
      <c r="U278" s="10">
        <f>IF(Q278&gt;0,(I278/Q278-District!$B$4)*100,"")</f>
        <v>26.04904584</v>
      </c>
      <c r="V278" s="10">
        <f>IF(R278&gt;0,(K278/R278-District!$B$5)*100,"")</f>
        <v>20.1401383</v>
      </c>
      <c r="W278" s="10">
        <f>IF(S278&gt;0,(M278/S278-District!$B$6)*100,"")</f>
        <v>24.63426325</v>
      </c>
      <c r="X278" s="10">
        <f>IF(T278&gt;0,(O278/T278-District!$B$7)*100,"")</f>
        <v>26.13220455</v>
      </c>
      <c r="Y278" s="28" t="str">
        <f t="shared" si="5"/>
        <v/>
      </c>
      <c r="Z278" s="5" t="str">
        <f t="shared" si="6"/>
        <v/>
      </c>
      <c r="AA278" s="28">
        <f t="shared" si="7"/>
        <v>24.63426292</v>
      </c>
      <c r="AB278" s="5">
        <f t="shared" si="8"/>
        <v>236</v>
      </c>
      <c r="AC278" s="28">
        <f t="shared" si="9"/>
        <v>26.13220403</v>
      </c>
      <c r="AD278" s="5">
        <f t="shared" si="10"/>
        <v>280</v>
      </c>
    </row>
    <row r="279" ht="15.75" customHeight="1">
      <c r="A279" s="5" t="s">
        <v>890</v>
      </c>
      <c r="B279" s="5" t="s">
        <v>445</v>
      </c>
      <c r="C279" s="5" t="s">
        <v>514</v>
      </c>
      <c r="D279" s="5">
        <v>520.0</v>
      </c>
      <c r="E279" s="5" t="s">
        <v>122</v>
      </c>
      <c r="F279" s="5" t="s">
        <v>526</v>
      </c>
      <c r="G279" s="5" t="s">
        <v>526</v>
      </c>
      <c r="H279" s="5" t="s">
        <v>526</v>
      </c>
      <c r="I279" s="11">
        <v>280.0</v>
      </c>
      <c r="J279" s="11">
        <v>61.0</v>
      </c>
      <c r="K279" s="11">
        <v>415.0</v>
      </c>
      <c r="L279" s="11">
        <v>157.0</v>
      </c>
      <c r="M279" s="11">
        <v>262.0</v>
      </c>
      <c r="N279" s="11">
        <v>82.0</v>
      </c>
      <c r="O279" s="11">
        <v>381.0</v>
      </c>
      <c r="P279" s="11">
        <v>184.0</v>
      </c>
      <c r="Q279" s="11">
        <f t="shared" si="1"/>
        <v>341</v>
      </c>
      <c r="R279" s="11">
        <f t="shared" si="2"/>
        <v>572</v>
      </c>
      <c r="S279" s="11">
        <f t="shared" si="3"/>
        <v>344</v>
      </c>
      <c r="T279" s="11">
        <f t="shared" si="4"/>
        <v>565</v>
      </c>
      <c r="U279" s="10">
        <f>IF(Q279&gt;0,(I279/Q279-District!$B$4)*100,"")</f>
        <v>28.69920332</v>
      </c>
      <c r="V279" s="10">
        <f>IF(R279&gt;0,(K279/R279-District!$B$5)*100,"")</f>
        <v>22.80247596</v>
      </c>
      <c r="W279" s="10">
        <f>IF(S279&gt;0,(M279/S279-District!$B$6)*100,"")</f>
        <v>25.17976999</v>
      </c>
      <c r="X279" s="10">
        <f>IF(T279&gt;0,(O279/T279-District!$B$7)*100,"")</f>
        <v>17.93720618</v>
      </c>
      <c r="Y279" s="28">
        <f t="shared" si="5"/>
        <v>28.69920275</v>
      </c>
      <c r="Z279" s="5">
        <f t="shared" si="6"/>
        <v>274</v>
      </c>
      <c r="AA279" s="28">
        <f t="shared" si="7"/>
        <v>25.17976965</v>
      </c>
      <c r="AB279" s="5">
        <f t="shared" si="8"/>
        <v>239</v>
      </c>
      <c r="AC279" s="28">
        <f t="shared" si="9"/>
        <v>25.17976943</v>
      </c>
      <c r="AD279" s="5">
        <f t="shared" si="10"/>
        <v>275</v>
      </c>
    </row>
    <row r="280" ht="15.75" customHeight="1">
      <c r="A280" s="5" t="s">
        <v>891</v>
      </c>
      <c r="B280" s="5" t="s">
        <v>445</v>
      </c>
      <c r="C280" s="5" t="s">
        <v>514</v>
      </c>
      <c r="D280" s="5">
        <v>530.0</v>
      </c>
      <c r="E280" s="5" t="s">
        <v>122</v>
      </c>
      <c r="F280" s="5"/>
      <c r="G280" s="5"/>
      <c r="H280" s="5"/>
      <c r="I280" s="11">
        <v>228.0</v>
      </c>
      <c r="J280" s="11">
        <v>100.0</v>
      </c>
      <c r="K280" s="11">
        <v>372.0</v>
      </c>
      <c r="L280" s="11">
        <v>186.0</v>
      </c>
      <c r="M280" s="11">
        <v>217.0</v>
      </c>
      <c r="N280" s="11">
        <v>111.0</v>
      </c>
      <c r="O280" s="11">
        <v>334.0</v>
      </c>
      <c r="P280" s="11">
        <v>188.0</v>
      </c>
      <c r="Q280" s="11">
        <f t="shared" si="1"/>
        <v>328</v>
      </c>
      <c r="R280" s="11">
        <f t="shared" si="2"/>
        <v>558</v>
      </c>
      <c r="S280" s="11">
        <f t="shared" si="3"/>
        <v>328</v>
      </c>
      <c r="T280" s="11">
        <f t="shared" si="4"/>
        <v>522</v>
      </c>
      <c r="U280" s="10">
        <f>IF(Q280&gt;0,(I280/Q280-District!$B$4)*100,"")</f>
        <v>16.0999615</v>
      </c>
      <c r="V280" s="10">
        <f>IF(R280&gt;0,(K280/R280-District!$B$5)*100,"")</f>
        <v>16.91669508</v>
      </c>
      <c r="W280" s="10">
        <f>IF(S280&gt;0,(M280/S280-District!$B$6)*100,"")</f>
        <v>15.17551588</v>
      </c>
      <c r="X280" s="10">
        <f>IF(T280&gt;0,(O280/T280-District!$B$7)*100,"")</f>
        <v>14.48825219</v>
      </c>
      <c r="Y280" s="28" t="str">
        <f t="shared" si="5"/>
        <v/>
      </c>
      <c r="Z280" s="5" t="str">
        <f t="shared" si="6"/>
        <v/>
      </c>
      <c r="AA280" s="28" t="str">
        <f t="shared" si="7"/>
        <v/>
      </c>
      <c r="AB280" s="5" t="str">
        <f t="shared" si="8"/>
        <v/>
      </c>
      <c r="AC280" s="28" t="str">
        <f t="shared" si="9"/>
        <v/>
      </c>
      <c r="AD280" s="5" t="str">
        <f t="shared" si="10"/>
        <v/>
      </c>
    </row>
    <row r="281" ht="15.75" customHeight="1">
      <c r="A281" s="5" t="s">
        <v>892</v>
      </c>
      <c r="B281" s="5" t="s">
        <v>445</v>
      </c>
      <c r="C281" s="5" t="s">
        <v>514</v>
      </c>
      <c r="D281" s="5">
        <v>540.0</v>
      </c>
      <c r="E281" s="5" t="s">
        <v>122</v>
      </c>
      <c r="F281" s="5"/>
      <c r="G281" s="5"/>
      <c r="H281" s="5"/>
      <c r="I281" s="11">
        <v>259.0</v>
      </c>
      <c r="J281" s="11">
        <v>139.0</v>
      </c>
      <c r="K281" s="11">
        <v>447.0</v>
      </c>
      <c r="L281" s="11">
        <v>255.0</v>
      </c>
      <c r="M281" s="11">
        <v>272.0</v>
      </c>
      <c r="N281" s="11">
        <v>132.0</v>
      </c>
      <c r="O281" s="11">
        <v>431.0</v>
      </c>
      <c r="P281" s="11">
        <v>275.0</v>
      </c>
      <c r="Q281" s="11">
        <f t="shared" si="1"/>
        <v>398</v>
      </c>
      <c r="R281" s="11">
        <f t="shared" si="2"/>
        <v>702</v>
      </c>
      <c r="S281" s="11">
        <f t="shared" si="3"/>
        <v>404</v>
      </c>
      <c r="T281" s="11">
        <f t="shared" si="4"/>
        <v>706</v>
      </c>
      <c r="U281" s="10">
        <f>IF(Q281&gt;0,(I281/Q281-District!$B$4)*100,"")</f>
        <v>11.66314326</v>
      </c>
      <c r="V281" s="10">
        <f>IF(R281&gt;0,(K281/R281-District!$B$5)*100,"")</f>
        <v>13.92524209</v>
      </c>
      <c r="W281" s="10">
        <f>IF(S281&gt;0,(M281/S281-District!$B$6)*100,"")</f>
        <v>16.34371197</v>
      </c>
      <c r="X281" s="10">
        <f>IF(T281&gt;0,(O281/T281-District!$B$7)*100,"")</f>
        <v>11.5517365</v>
      </c>
      <c r="Y281" s="28" t="str">
        <f t="shared" si="5"/>
        <v/>
      </c>
      <c r="Z281" s="5" t="str">
        <f t="shared" si="6"/>
        <v/>
      </c>
      <c r="AA281" s="28" t="str">
        <f t="shared" si="7"/>
        <v/>
      </c>
      <c r="AB281" s="5" t="str">
        <f t="shared" si="8"/>
        <v/>
      </c>
      <c r="AC281" s="28" t="str">
        <f t="shared" si="9"/>
        <v/>
      </c>
      <c r="AD281" s="5" t="str">
        <f t="shared" si="10"/>
        <v/>
      </c>
    </row>
    <row r="282" ht="15.75" customHeight="1">
      <c r="A282" s="5" t="s">
        <v>893</v>
      </c>
      <c r="B282" s="5" t="s">
        <v>445</v>
      </c>
      <c r="C282" s="5" t="s">
        <v>514</v>
      </c>
      <c r="D282" s="5">
        <v>550.0</v>
      </c>
      <c r="E282" s="5" t="s">
        <v>122</v>
      </c>
      <c r="F282" s="5" t="s">
        <v>528</v>
      </c>
      <c r="G282" s="5" t="s">
        <v>528</v>
      </c>
      <c r="H282" s="5" t="s">
        <v>528</v>
      </c>
      <c r="I282" s="11">
        <v>699.0</v>
      </c>
      <c r="J282" s="11">
        <v>213.0</v>
      </c>
      <c r="K282" s="11">
        <v>984.0</v>
      </c>
      <c r="L282" s="11">
        <v>394.0</v>
      </c>
      <c r="M282" s="11">
        <v>643.0</v>
      </c>
      <c r="N282" s="11">
        <v>261.0</v>
      </c>
      <c r="O282" s="11">
        <v>912.0</v>
      </c>
      <c r="P282" s="11">
        <v>445.0</v>
      </c>
      <c r="Q282" s="11">
        <f t="shared" si="1"/>
        <v>912</v>
      </c>
      <c r="R282" s="11">
        <f t="shared" si="2"/>
        <v>1378</v>
      </c>
      <c r="S282" s="11">
        <f t="shared" si="3"/>
        <v>904</v>
      </c>
      <c r="T282" s="11">
        <f t="shared" si="4"/>
        <v>1357</v>
      </c>
      <c r="U282" s="10">
        <f>IF(Q282&gt;0,(I282/Q282-District!$B$4)*100,"")</f>
        <v>23.23250322</v>
      </c>
      <c r="V282" s="10">
        <f>IF(R282&gt;0,(K282/R282-District!$B$5)*100,"")</f>
        <v>21.65786586</v>
      </c>
      <c r="W282" s="10">
        <f>IF(S282&gt;0,(M282/S282-District!$B$6)*100,"")</f>
        <v>20.14529788</v>
      </c>
      <c r="X282" s="10">
        <f>IF(T282&gt;0,(O282/T282-District!$B$7)*100,"")</f>
        <v>17.71065229</v>
      </c>
      <c r="Y282" s="28">
        <f t="shared" si="5"/>
        <v>23.23250184</v>
      </c>
      <c r="Z282" s="5">
        <f t="shared" si="6"/>
        <v>253</v>
      </c>
      <c r="AA282" s="28">
        <f t="shared" si="7"/>
        <v>21.65786495</v>
      </c>
      <c r="AB282" s="5">
        <f t="shared" si="8"/>
        <v>223</v>
      </c>
      <c r="AC282" s="28">
        <f t="shared" si="9"/>
        <v>20.14529652</v>
      </c>
      <c r="AD282" s="5">
        <f t="shared" si="10"/>
        <v>242</v>
      </c>
    </row>
    <row r="283" ht="15.75" customHeight="1">
      <c r="A283" s="5" t="s">
        <v>894</v>
      </c>
      <c r="B283" s="5" t="s">
        <v>445</v>
      </c>
      <c r="C283" s="5" t="s">
        <v>514</v>
      </c>
      <c r="D283" s="5">
        <v>560.0</v>
      </c>
      <c r="E283" s="5" t="s">
        <v>122</v>
      </c>
      <c r="F283" s="5"/>
      <c r="G283" s="5"/>
      <c r="H283" s="5"/>
      <c r="I283" s="11">
        <v>176.0</v>
      </c>
      <c r="J283" s="11">
        <v>72.0</v>
      </c>
      <c r="K283" s="11">
        <v>265.0</v>
      </c>
      <c r="L283" s="11">
        <v>118.0</v>
      </c>
      <c r="M283" s="11">
        <v>179.0</v>
      </c>
      <c r="N283" s="11">
        <v>86.0</v>
      </c>
      <c r="O283" s="11">
        <v>267.0</v>
      </c>
      <c r="P283" s="11">
        <v>132.0</v>
      </c>
      <c r="Q283" s="11">
        <f t="shared" si="1"/>
        <v>248</v>
      </c>
      <c r="R283" s="11">
        <f t="shared" si="2"/>
        <v>383</v>
      </c>
      <c r="S283" s="11">
        <f t="shared" si="3"/>
        <v>265</v>
      </c>
      <c r="T283" s="11">
        <f t="shared" si="4"/>
        <v>399</v>
      </c>
      <c r="U283" s="10">
        <f>IF(Q283&gt;0,(I283/Q283-District!$B$4)*100,"")</f>
        <v>17.55550831</v>
      </c>
      <c r="V283" s="10">
        <f>IF(R283&gt;0,(K283/R283-District!$B$5)*100,"")</f>
        <v>19.44062893</v>
      </c>
      <c r="W283" s="10">
        <f>IF(S283&gt;0,(M283/S283-District!$B$6)*100,"")</f>
        <v>16.56414911</v>
      </c>
      <c r="X283" s="10">
        <f>IF(T283&gt;0,(O283/T283-District!$B$7)*100,"")</f>
        <v>17.42087109</v>
      </c>
      <c r="Y283" s="28" t="str">
        <f t="shared" si="5"/>
        <v/>
      </c>
      <c r="Z283" s="5" t="str">
        <f t="shared" si="6"/>
        <v/>
      </c>
      <c r="AA283" s="28" t="str">
        <f t="shared" si="7"/>
        <v/>
      </c>
      <c r="AB283" s="5" t="str">
        <f t="shared" si="8"/>
        <v/>
      </c>
      <c r="AC283" s="28" t="str">
        <f t="shared" si="9"/>
        <v/>
      </c>
      <c r="AD283" s="5" t="str">
        <f t="shared" si="10"/>
        <v/>
      </c>
    </row>
    <row r="284" ht="15.75" customHeight="1">
      <c r="A284" s="5" t="s">
        <v>895</v>
      </c>
      <c r="B284" s="5" t="s">
        <v>445</v>
      </c>
      <c r="C284" s="5" t="s">
        <v>514</v>
      </c>
      <c r="D284" s="5">
        <v>570.0</v>
      </c>
      <c r="E284" s="5" t="s">
        <v>122</v>
      </c>
      <c r="F284" s="5"/>
      <c r="G284" s="5"/>
      <c r="H284" s="5"/>
      <c r="I284" s="11">
        <v>288.0</v>
      </c>
      <c r="J284" s="11">
        <v>110.0</v>
      </c>
      <c r="K284" s="11">
        <v>424.0</v>
      </c>
      <c r="L284" s="11">
        <v>212.0</v>
      </c>
      <c r="M284" s="11">
        <v>328.0</v>
      </c>
      <c r="N284" s="11">
        <v>139.0</v>
      </c>
      <c r="O284" s="11">
        <v>471.0</v>
      </c>
      <c r="P284" s="11">
        <v>252.0</v>
      </c>
      <c r="Q284" s="11">
        <f t="shared" si="1"/>
        <v>398</v>
      </c>
      <c r="R284" s="11">
        <f t="shared" si="2"/>
        <v>636</v>
      </c>
      <c r="S284" s="11">
        <f t="shared" si="3"/>
        <v>467</v>
      </c>
      <c r="T284" s="11">
        <f t="shared" si="4"/>
        <v>723</v>
      </c>
      <c r="U284" s="10">
        <f>IF(Q284&gt;0,(I284/Q284-District!$B$4)*100,"")</f>
        <v>18.94957542</v>
      </c>
      <c r="V284" s="10">
        <f>IF(R284&gt;0,(K284/R284-District!$B$5)*100,"")</f>
        <v>16.91669508</v>
      </c>
      <c r="W284" s="10">
        <f>IF(S284&gt;0,(M284/S284-District!$B$6)*100,"")</f>
        <v>19.25252533</v>
      </c>
      <c r="X284" s="10">
        <f>IF(T284&gt;0,(O284/T284-District!$B$7)*100,"")</f>
        <v>15.64880607</v>
      </c>
      <c r="Y284" s="28" t="str">
        <f t="shared" si="5"/>
        <v/>
      </c>
      <c r="Z284" s="5" t="str">
        <f t="shared" si="6"/>
        <v/>
      </c>
      <c r="AA284" s="28" t="str">
        <f t="shared" si="7"/>
        <v/>
      </c>
      <c r="AB284" s="5" t="str">
        <f t="shared" si="8"/>
        <v/>
      </c>
      <c r="AC284" s="28" t="str">
        <f t="shared" si="9"/>
        <v/>
      </c>
      <c r="AD284" s="5" t="str">
        <f t="shared" si="10"/>
        <v/>
      </c>
    </row>
    <row r="285" ht="15.75" customHeight="1">
      <c r="A285" s="5" t="s">
        <v>896</v>
      </c>
      <c r="B285" s="5" t="s">
        <v>445</v>
      </c>
      <c r="C285" s="5" t="s">
        <v>514</v>
      </c>
      <c r="D285" s="5">
        <v>580.0</v>
      </c>
      <c r="E285" s="5" t="s">
        <v>122</v>
      </c>
      <c r="F285" s="5" t="s">
        <v>516</v>
      </c>
      <c r="G285" s="5"/>
      <c r="H285" s="5" t="s">
        <v>516</v>
      </c>
      <c r="I285" s="11">
        <v>353.0</v>
      </c>
      <c r="J285" s="11">
        <v>112.0</v>
      </c>
      <c r="K285" s="11">
        <v>487.0</v>
      </c>
      <c r="L285" s="11">
        <v>213.0</v>
      </c>
      <c r="M285" s="11">
        <v>329.0</v>
      </c>
      <c r="N285" s="11">
        <v>127.0</v>
      </c>
      <c r="O285" s="11">
        <v>457.0</v>
      </c>
      <c r="P285" s="11">
        <v>212.0</v>
      </c>
      <c r="Q285" s="11">
        <f t="shared" si="1"/>
        <v>465</v>
      </c>
      <c r="R285" s="11">
        <f t="shared" si="2"/>
        <v>700</v>
      </c>
      <c r="S285" s="11">
        <f t="shared" si="3"/>
        <v>456</v>
      </c>
      <c r="T285" s="11">
        <f t="shared" si="4"/>
        <v>669</v>
      </c>
      <c r="U285" s="10">
        <f>IF(Q285&gt;0,(I285/Q285-District!$B$4)*100,"")</f>
        <v>22.50174487</v>
      </c>
      <c r="V285" s="10">
        <f>IF(R285&gt;0,(K285/R285-District!$B$5)*100,"")</f>
        <v>19.82145698</v>
      </c>
      <c r="W285" s="10">
        <f>IF(S285&gt;0,(M285/S285-District!$B$6)*100,"")</f>
        <v>21.1661021</v>
      </c>
      <c r="X285" s="10">
        <f>IF(T285&gt;0,(O285/T285-District!$B$7)*100,"")</f>
        <v>18.81448967</v>
      </c>
      <c r="Y285" s="28">
        <f t="shared" si="5"/>
        <v>22.50174417</v>
      </c>
      <c r="Z285" s="5">
        <f t="shared" si="6"/>
        <v>249</v>
      </c>
      <c r="AA285" s="28" t="str">
        <f t="shared" si="7"/>
        <v/>
      </c>
      <c r="AB285" s="5" t="str">
        <f t="shared" si="8"/>
        <v/>
      </c>
      <c r="AC285" s="28">
        <f t="shared" si="9"/>
        <v>21.16610143</v>
      </c>
      <c r="AD285" s="5">
        <f t="shared" si="10"/>
        <v>250</v>
      </c>
    </row>
    <row r="286" ht="15.75" customHeight="1">
      <c r="A286" s="5" t="s">
        <v>897</v>
      </c>
      <c r="B286" s="5" t="s">
        <v>445</v>
      </c>
      <c r="C286" s="5" t="s">
        <v>514</v>
      </c>
      <c r="D286" s="5">
        <v>590.0</v>
      </c>
      <c r="E286" s="5" t="s">
        <v>122</v>
      </c>
      <c r="F286" s="5"/>
      <c r="G286" s="5"/>
      <c r="H286" s="5"/>
      <c r="I286" s="11">
        <v>199.0</v>
      </c>
      <c r="J286" s="11">
        <v>67.0</v>
      </c>
      <c r="K286" s="11">
        <v>315.0</v>
      </c>
      <c r="L286" s="11">
        <v>126.0</v>
      </c>
      <c r="M286" s="11">
        <v>213.0</v>
      </c>
      <c r="N286" s="11">
        <v>86.0</v>
      </c>
      <c r="O286" s="11">
        <v>300.0</v>
      </c>
      <c r="P286" s="11">
        <v>131.0</v>
      </c>
      <c r="Q286" s="11">
        <f t="shared" si="1"/>
        <v>266</v>
      </c>
      <c r="R286" s="11">
        <f t="shared" si="2"/>
        <v>441</v>
      </c>
      <c r="S286" s="11">
        <f t="shared" si="3"/>
        <v>299</v>
      </c>
      <c r="T286" s="11">
        <f t="shared" si="4"/>
        <v>431</v>
      </c>
      <c r="U286" s="10">
        <f>IF(Q286&gt;0,(I286/Q286-District!$B$4)*100,"")</f>
        <v>21.39979645</v>
      </c>
      <c r="V286" s="10">
        <f>IF(R286&gt;0,(K286/R286-District!$B$5)*100,"")</f>
        <v>21.67859984</v>
      </c>
      <c r="W286" s="10">
        <f>IF(S286&gt;0,(M286/S286-District!$B$6)*100,"")</f>
        <v>20.25443749</v>
      </c>
      <c r="X286" s="10">
        <f>IF(T286&gt;0,(O286/T286-District!$B$7)*100,"")</f>
        <v>20.1091463</v>
      </c>
      <c r="Y286" s="28" t="str">
        <f t="shared" si="5"/>
        <v/>
      </c>
      <c r="Z286" s="5" t="str">
        <f t="shared" si="6"/>
        <v/>
      </c>
      <c r="AA286" s="28" t="str">
        <f t="shared" si="7"/>
        <v/>
      </c>
      <c r="AB286" s="5" t="str">
        <f t="shared" si="8"/>
        <v/>
      </c>
      <c r="AC286" s="28" t="str">
        <f t="shared" si="9"/>
        <v/>
      </c>
      <c r="AD286" s="5" t="str">
        <f t="shared" si="10"/>
        <v/>
      </c>
    </row>
    <row r="287" ht="15.75" customHeight="1">
      <c r="A287" s="5" t="s">
        <v>898</v>
      </c>
      <c r="B287" s="5" t="s">
        <v>445</v>
      </c>
      <c r="C287" s="5" t="s">
        <v>529</v>
      </c>
      <c r="D287" s="5">
        <v>594.0</v>
      </c>
      <c r="E287" s="5" t="s">
        <v>829</v>
      </c>
      <c r="F287" s="5" t="s">
        <v>530</v>
      </c>
      <c r="G287" s="5" t="s">
        <v>530</v>
      </c>
      <c r="H287" s="5" t="s">
        <v>530</v>
      </c>
      <c r="I287" s="11">
        <v>907.0</v>
      </c>
      <c r="J287" s="11">
        <v>861.0</v>
      </c>
      <c r="K287" s="11">
        <v>1283.0</v>
      </c>
      <c r="L287" s="11">
        <v>1354.0</v>
      </c>
      <c r="M287" s="11">
        <v>1089.0</v>
      </c>
      <c r="N287" s="11">
        <v>1068.0</v>
      </c>
      <c r="O287" s="11">
        <v>1361.0</v>
      </c>
      <c r="P287" s="11">
        <v>1448.0</v>
      </c>
      <c r="Q287" s="11">
        <f t="shared" si="1"/>
        <v>1768</v>
      </c>
      <c r="R287" s="11">
        <f t="shared" si="2"/>
        <v>2637</v>
      </c>
      <c r="S287" s="11">
        <f t="shared" si="3"/>
        <v>2157</v>
      </c>
      <c r="T287" s="11">
        <f t="shared" si="4"/>
        <v>2809</v>
      </c>
      <c r="U287" s="10">
        <f>IF(Q287&gt;0,(I287/Q287-District!$B$4)*100,"")</f>
        <v>-2.111328648</v>
      </c>
      <c r="V287" s="10">
        <f>IF(R287&gt;0,(K287/R287-District!$B$5)*100,"")</f>
        <v>-1.096198361</v>
      </c>
      <c r="W287" s="10">
        <f>IF(S287&gt;0,(M287/S287-District!$B$6)*100,"")</f>
        <v>-0.4962335001</v>
      </c>
      <c r="X287" s="10">
        <f>IF(T287&gt;0,(O287/T287-District!$B$7)*100,"")</f>
        <v>-1.045015948</v>
      </c>
      <c r="Y287" s="28" t="str">
        <f t="shared" si="5"/>
        <v/>
      </c>
      <c r="Z287" s="5" t="str">
        <f t="shared" si="6"/>
        <v/>
      </c>
      <c r="AA287" s="28" t="str">
        <f t="shared" si="7"/>
        <v/>
      </c>
      <c r="AB287" s="5" t="str">
        <f t="shared" si="8"/>
        <v/>
      </c>
      <c r="AC287" s="28" t="str">
        <f t="shared" si="9"/>
        <v/>
      </c>
      <c r="AD287" s="5" t="str">
        <f t="shared" si="10"/>
        <v/>
      </c>
    </row>
    <row r="288" ht="15.75" customHeight="1">
      <c r="A288" s="5" t="s">
        <v>899</v>
      </c>
      <c r="B288" s="5" t="s">
        <v>445</v>
      </c>
      <c r="C288" s="5" t="s">
        <v>529</v>
      </c>
      <c r="D288" s="5">
        <v>598.0</v>
      </c>
      <c r="E288" s="5" t="s">
        <v>829</v>
      </c>
      <c r="F288" s="5"/>
      <c r="G288" s="5"/>
      <c r="H288" s="5"/>
      <c r="I288" s="11"/>
      <c r="J288" s="11"/>
      <c r="K288" s="11"/>
      <c r="L288" s="11"/>
      <c r="M288" s="11"/>
      <c r="N288" s="11"/>
      <c r="O288" s="11"/>
      <c r="P288" s="11"/>
      <c r="Q288" s="11">
        <f t="shared" si="1"/>
        <v>0</v>
      </c>
      <c r="R288" s="11">
        <f t="shared" si="2"/>
        <v>0</v>
      </c>
      <c r="S288" s="11">
        <f t="shared" si="3"/>
        <v>0</v>
      </c>
      <c r="T288" s="11">
        <f t="shared" si="4"/>
        <v>0</v>
      </c>
      <c r="U288" s="10" t="str">
        <f>IF(Q288&gt;0,(I288/Q288-District!$B$4)*100,"")</f>
        <v/>
      </c>
      <c r="V288" s="10" t="str">
        <f>IF(R288&gt;0,(K288/R288-District!$B$5)*100,"")</f>
        <v/>
      </c>
      <c r="W288" s="10" t="str">
        <f>IF(S288&gt;0,(M288/S288-District!$B$6)*100,"")</f>
        <v/>
      </c>
      <c r="X288" s="10" t="str">
        <f>IF(T288&gt;0,(O288/T288-District!$B$7)*100,"")</f>
        <v/>
      </c>
      <c r="Y288" s="28" t="str">
        <f t="shared" si="5"/>
        <v/>
      </c>
      <c r="Z288" s="5" t="str">
        <f t="shared" si="6"/>
        <v/>
      </c>
      <c r="AA288" s="28" t="str">
        <f t="shared" si="7"/>
        <v/>
      </c>
      <c r="AB288" s="5" t="str">
        <f t="shared" si="8"/>
        <v/>
      </c>
      <c r="AC288" s="28" t="str">
        <f t="shared" si="9"/>
        <v/>
      </c>
      <c r="AD288" s="5" t="str">
        <f t="shared" si="10"/>
        <v/>
      </c>
    </row>
    <row r="289" ht="15.75" customHeight="1">
      <c r="A289" s="5" t="s">
        <v>900</v>
      </c>
      <c r="B289" s="5" t="s">
        <v>445</v>
      </c>
      <c r="C289" s="5" t="s">
        <v>529</v>
      </c>
      <c r="D289" s="5">
        <v>601.0</v>
      </c>
      <c r="E289" s="5" t="s">
        <v>829</v>
      </c>
      <c r="F289" s="5" t="s">
        <v>531</v>
      </c>
      <c r="G289" s="5" t="s">
        <v>531</v>
      </c>
      <c r="H289" s="5" t="s">
        <v>531</v>
      </c>
      <c r="I289" s="11">
        <v>1051.0</v>
      </c>
      <c r="J289" s="11">
        <v>888.0</v>
      </c>
      <c r="K289" s="11">
        <v>1509.0</v>
      </c>
      <c r="L289" s="11">
        <v>1395.0</v>
      </c>
      <c r="M289" s="11">
        <v>1273.0</v>
      </c>
      <c r="N289" s="11">
        <v>1133.0</v>
      </c>
      <c r="O289" s="11">
        <v>1673.0</v>
      </c>
      <c r="P289" s="11">
        <v>1448.0</v>
      </c>
      <c r="Q289" s="11">
        <f t="shared" si="1"/>
        <v>1939</v>
      </c>
      <c r="R289" s="11">
        <f t="shared" si="2"/>
        <v>2904</v>
      </c>
      <c r="S289" s="11">
        <f t="shared" si="3"/>
        <v>2406</v>
      </c>
      <c r="T289" s="11">
        <f t="shared" si="4"/>
        <v>3121</v>
      </c>
      <c r="U289" s="10">
        <f>IF(Q289&gt;0,(I289/Q289-District!$B$4)*100,"")</f>
        <v>0.790963899</v>
      </c>
      <c r="V289" s="10">
        <f>IF(R289&gt;0,(K289/R289-District!$B$5)*100,"")</f>
        <v>2.21283833</v>
      </c>
      <c r="W289" s="10">
        <f>IF(S289&gt;0,(M289/S289-District!$B$6)*100,"")</f>
        <v>1.926372479</v>
      </c>
      <c r="X289" s="10">
        <f>IF(T289&gt;0,(O289/T289-District!$B$7)*100,"")</f>
        <v>4.108191763</v>
      </c>
      <c r="Y289" s="28" t="str">
        <f t="shared" si="5"/>
        <v/>
      </c>
      <c r="Z289" s="5" t="str">
        <f t="shared" si="6"/>
        <v/>
      </c>
      <c r="AA289" s="28" t="str">
        <f t="shared" si="7"/>
        <v/>
      </c>
      <c r="AB289" s="5" t="str">
        <f t="shared" si="8"/>
        <v/>
      </c>
      <c r="AC289" s="28" t="str">
        <f t="shared" si="9"/>
        <v/>
      </c>
      <c r="AD289" s="5" t="str">
        <f t="shared" si="10"/>
        <v/>
      </c>
    </row>
    <row r="290" ht="15.75" customHeight="1">
      <c r="A290" s="5" t="s">
        <v>901</v>
      </c>
      <c r="B290" s="5" t="s">
        <v>445</v>
      </c>
      <c r="C290" s="5" t="s">
        <v>529</v>
      </c>
      <c r="D290" s="5">
        <v>605.0</v>
      </c>
      <c r="E290" s="5" t="s">
        <v>829</v>
      </c>
      <c r="F290" s="5"/>
      <c r="G290" s="5"/>
      <c r="H290" s="5"/>
      <c r="I290" s="11"/>
      <c r="J290" s="11"/>
      <c r="K290" s="11"/>
      <c r="L290" s="11"/>
      <c r="M290" s="11"/>
      <c r="N290" s="11"/>
      <c r="O290" s="11"/>
      <c r="P290" s="11"/>
      <c r="Q290" s="11">
        <f t="shared" si="1"/>
        <v>0</v>
      </c>
      <c r="R290" s="11">
        <f t="shared" si="2"/>
        <v>0</v>
      </c>
      <c r="S290" s="11">
        <f t="shared" si="3"/>
        <v>0</v>
      </c>
      <c r="T290" s="11">
        <f t="shared" si="4"/>
        <v>0</v>
      </c>
      <c r="U290" s="10" t="str">
        <f>IF(Q290&gt;0,(I290/Q290-District!$B$4)*100,"")</f>
        <v/>
      </c>
      <c r="V290" s="10" t="str">
        <f>IF(R290&gt;0,(K290/R290-District!$B$5)*100,"")</f>
        <v/>
      </c>
      <c r="W290" s="10" t="str">
        <f>IF(S290&gt;0,(M290/S290-District!$B$6)*100,"")</f>
        <v/>
      </c>
      <c r="X290" s="10" t="str">
        <f>IF(T290&gt;0,(O290/T290-District!$B$7)*100,"")</f>
        <v/>
      </c>
      <c r="Y290" s="28" t="str">
        <f t="shared" si="5"/>
        <v/>
      </c>
      <c r="Z290" s="5" t="str">
        <f t="shared" si="6"/>
        <v/>
      </c>
      <c r="AA290" s="28" t="str">
        <f t="shared" si="7"/>
        <v/>
      </c>
      <c r="AB290" s="5" t="str">
        <f t="shared" si="8"/>
        <v/>
      </c>
      <c r="AC290" s="28" t="str">
        <f t="shared" si="9"/>
        <v/>
      </c>
      <c r="AD290" s="5" t="str">
        <f t="shared" si="10"/>
        <v/>
      </c>
    </row>
    <row r="291" ht="15.75" customHeight="1">
      <c r="A291" s="5" t="s">
        <v>902</v>
      </c>
      <c r="B291" s="5" t="s">
        <v>445</v>
      </c>
      <c r="C291" s="5" t="s">
        <v>529</v>
      </c>
      <c r="D291" s="5">
        <v>608.0</v>
      </c>
      <c r="E291" s="5" t="s">
        <v>829</v>
      </c>
      <c r="F291" s="5" t="s">
        <v>532</v>
      </c>
      <c r="G291" s="5" t="s">
        <v>532</v>
      </c>
      <c r="H291" s="5" t="s">
        <v>532</v>
      </c>
      <c r="I291" s="11">
        <v>735.0</v>
      </c>
      <c r="J291" s="11">
        <v>521.0</v>
      </c>
      <c r="K291" s="11">
        <v>977.0</v>
      </c>
      <c r="L291" s="11">
        <v>859.0</v>
      </c>
      <c r="M291" s="11">
        <v>796.0</v>
      </c>
      <c r="N291" s="11">
        <v>678.0</v>
      </c>
      <c r="O291" s="11">
        <v>975.0</v>
      </c>
      <c r="P291" s="11">
        <v>935.0</v>
      </c>
      <c r="Q291" s="11">
        <f t="shared" si="1"/>
        <v>1256</v>
      </c>
      <c r="R291" s="11">
        <f t="shared" si="2"/>
        <v>1836</v>
      </c>
      <c r="S291" s="11">
        <f t="shared" si="3"/>
        <v>1474</v>
      </c>
      <c r="T291" s="11">
        <f t="shared" si="4"/>
        <v>1910</v>
      </c>
      <c r="U291" s="10">
        <f>IF(Q291&gt;0,(I291/Q291-District!$B$4)*100,"")</f>
        <v>5.106874655</v>
      </c>
      <c r="V291" s="10">
        <f>IF(R291&gt;0,(K291/R291-District!$B$5)*100,"")</f>
        <v>3.463536038</v>
      </c>
      <c r="W291" s="10">
        <f>IF(S291&gt;0,(M291/S291-District!$B$6)*100,"")</f>
        <v>3.019693</v>
      </c>
      <c r="X291" s="10">
        <f>IF(T291&gt;0,(O291/T291-District!$B$7)*100,"")</f>
        <v>1.550698276</v>
      </c>
      <c r="Y291" s="28" t="str">
        <f t="shared" si="5"/>
        <v/>
      </c>
      <c r="Z291" s="5" t="str">
        <f t="shared" si="6"/>
        <v/>
      </c>
      <c r="AA291" s="28" t="str">
        <f t="shared" si="7"/>
        <v/>
      </c>
      <c r="AB291" s="5" t="str">
        <f t="shared" si="8"/>
        <v/>
      </c>
      <c r="AC291" s="28" t="str">
        <f t="shared" si="9"/>
        <v/>
      </c>
      <c r="AD291" s="5" t="str">
        <f t="shared" si="10"/>
        <v/>
      </c>
    </row>
    <row r="292" ht="15.75" customHeight="1">
      <c r="A292" s="5" t="s">
        <v>903</v>
      </c>
      <c r="B292" s="5" t="s">
        <v>445</v>
      </c>
      <c r="C292" s="5" t="s">
        <v>529</v>
      </c>
      <c r="D292" s="5">
        <v>612.0</v>
      </c>
      <c r="E292" s="5" t="s">
        <v>829</v>
      </c>
      <c r="F292" s="5"/>
      <c r="G292" s="5"/>
      <c r="H292" s="5"/>
      <c r="I292" s="11"/>
      <c r="J292" s="11"/>
      <c r="K292" s="11"/>
      <c r="L292" s="11"/>
      <c r="M292" s="11"/>
      <c r="N292" s="11"/>
      <c r="O292" s="11"/>
      <c r="P292" s="11"/>
      <c r="Q292" s="11">
        <f t="shared" si="1"/>
        <v>0</v>
      </c>
      <c r="R292" s="11">
        <f t="shared" si="2"/>
        <v>0</v>
      </c>
      <c r="S292" s="11">
        <f t="shared" si="3"/>
        <v>0</v>
      </c>
      <c r="T292" s="11">
        <f t="shared" si="4"/>
        <v>0</v>
      </c>
      <c r="U292" s="10" t="str">
        <f>IF(Q292&gt;0,(I292/Q292-District!$B$4)*100,"")</f>
        <v/>
      </c>
      <c r="V292" s="10" t="str">
        <f>IF(R292&gt;0,(K292/R292-District!$B$5)*100,"")</f>
        <v/>
      </c>
      <c r="W292" s="10" t="str">
        <f>IF(S292&gt;0,(M292/S292-District!$B$6)*100,"")</f>
        <v/>
      </c>
      <c r="X292" s="10" t="str">
        <f>IF(T292&gt;0,(O292/T292-District!$B$7)*100,"")</f>
        <v/>
      </c>
      <c r="Y292" s="28" t="str">
        <f t="shared" si="5"/>
        <v/>
      </c>
      <c r="Z292" s="5" t="str">
        <f t="shared" si="6"/>
        <v/>
      </c>
      <c r="AA292" s="28" t="str">
        <f t="shared" si="7"/>
        <v/>
      </c>
      <c r="AB292" s="5" t="str">
        <f t="shared" si="8"/>
        <v/>
      </c>
      <c r="AC292" s="28" t="str">
        <f t="shared" si="9"/>
        <v/>
      </c>
      <c r="AD292" s="5" t="str">
        <f t="shared" si="10"/>
        <v/>
      </c>
    </row>
    <row r="293" ht="15.75" customHeight="1">
      <c r="A293" s="5" t="s">
        <v>904</v>
      </c>
      <c r="B293" s="5" t="s">
        <v>445</v>
      </c>
      <c r="C293" s="5" t="s">
        <v>529</v>
      </c>
      <c r="D293" s="5">
        <v>615.0</v>
      </c>
      <c r="E293" s="5" t="s">
        <v>829</v>
      </c>
      <c r="F293" s="5" t="s">
        <v>533</v>
      </c>
      <c r="G293" s="5" t="s">
        <v>533</v>
      </c>
      <c r="H293" s="5" t="s">
        <v>533</v>
      </c>
      <c r="I293" s="11">
        <v>872.0</v>
      </c>
      <c r="J293" s="11">
        <v>747.0</v>
      </c>
      <c r="K293" s="11">
        <v>1269.0</v>
      </c>
      <c r="L293" s="11">
        <v>1207.0</v>
      </c>
      <c r="M293" s="11">
        <v>1000.0</v>
      </c>
      <c r="N293" s="11">
        <v>903.0</v>
      </c>
      <c r="O293" s="11">
        <v>1349.0</v>
      </c>
      <c r="P293" s="11">
        <v>1196.0</v>
      </c>
      <c r="Q293" s="11">
        <f t="shared" si="1"/>
        <v>1619</v>
      </c>
      <c r="R293" s="11">
        <f t="shared" si="2"/>
        <v>2476</v>
      </c>
      <c r="S293" s="11">
        <f t="shared" si="3"/>
        <v>1903</v>
      </c>
      <c r="T293" s="11">
        <f t="shared" si="4"/>
        <v>2545</v>
      </c>
      <c r="U293" s="10">
        <f>IF(Q293&gt;0,(I293/Q293-District!$B$4)*100,"")</f>
        <v>0.4481740336</v>
      </c>
      <c r="V293" s="10">
        <f>IF(R293&gt;0,(K293/R293-District!$B$5)*100,"")</f>
        <v>1.502047798</v>
      </c>
      <c r="W293" s="10">
        <f>IF(S293&gt;0,(M293/S293-District!$B$6)*100,"")</f>
        <v>1.565586757</v>
      </c>
      <c r="X293" s="10">
        <f>IF(T293&gt;0,(O293/T293-District!$B$7)*100,"")</f>
        <v>3.509471767</v>
      </c>
      <c r="Y293" s="28" t="str">
        <f t="shared" si="5"/>
        <v/>
      </c>
      <c r="Z293" s="5" t="str">
        <f t="shared" si="6"/>
        <v/>
      </c>
      <c r="AA293" s="28" t="str">
        <f t="shared" si="7"/>
        <v/>
      </c>
      <c r="AB293" s="5" t="str">
        <f t="shared" si="8"/>
        <v/>
      </c>
      <c r="AC293" s="28" t="str">
        <f t="shared" si="9"/>
        <v/>
      </c>
      <c r="AD293" s="5" t="str">
        <f t="shared" si="10"/>
        <v/>
      </c>
    </row>
    <row r="294" ht="15.75" customHeight="1">
      <c r="A294" s="5" t="s">
        <v>905</v>
      </c>
      <c r="B294" s="5" t="s">
        <v>445</v>
      </c>
      <c r="C294" s="5" t="s">
        <v>535</v>
      </c>
      <c r="D294" s="5">
        <v>620.0</v>
      </c>
      <c r="E294" s="5" t="s">
        <v>122</v>
      </c>
      <c r="F294" s="5" t="s">
        <v>535</v>
      </c>
      <c r="G294" s="5" t="s">
        <v>535</v>
      </c>
      <c r="H294" s="5" t="s">
        <v>535</v>
      </c>
      <c r="I294" s="11">
        <v>497.0</v>
      </c>
      <c r="J294" s="11">
        <v>253.0</v>
      </c>
      <c r="K294" s="11">
        <v>768.0</v>
      </c>
      <c r="L294" s="11">
        <v>460.0</v>
      </c>
      <c r="M294" s="11">
        <v>480.0</v>
      </c>
      <c r="N294" s="11">
        <v>330.0</v>
      </c>
      <c r="O294" s="11">
        <v>714.0</v>
      </c>
      <c r="P294" s="11">
        <v>484.0</v>
      </c>
      <c r="Q294" s="11">
        <f t="shared" si="1"/>
        <v>750</v>
      </c>
      <c r="R294" s="11">
        <f t="shared" si="2"/>
        <v>1228</v>
      </c>
      <c r="S294" s="11">
        <f t="shared" si="3"/>
        <v>810</v>
      </c>
      <c r="T294" s="11">
        <f t="shared" si="4"/>
        <v>1198</v>
      </c>
      <c r="U294" s="10">
        <f>IF(Q294&gt;0,(I294/Q294-District!$B$4)*100,"")</f>
        <v>12.85443304</v>
      </c>
      <c r="V294" s="10">
        <f>IF(R294&gt;0,(K294/R294-District!$B$5)*100,"")</f>
        <v>12.79074502</v>
      </c>
      <c r="W294" s="10">
        <f>IF(S294&gt;0,(M294/S294-District!$B$6)*100,"")</f>
        <v>8.276238555</v>
      </c>
      <c r="X294" s="10">
        <f>IF(T294&gt;0,(O294/T294-District!$B$7)*100,"")</f>
        <v>10.10291008</v>
      </c>
      <c r="Y294" s="28">
        <f t="shared" si="5"/>
        <v>12.85443181</v>
      </c>
      <c r="Z294" s="5">
        <f t="shared" si="6"/>
        <v>153</v>
      </c>
      <c r="AA294" s="28">
        <f t="shared" si="7"/>
        <v>12.79074421</v>
      </c>
      <c r="AB294" s="5">
        <f t="shared" si="8"/>
        <v>148</v>
      </c>
      <c r="AC294" s="28">
        <f t="shared" si="9"/>
        <v>10.10290888</v>
      </c>
      <c r="AD294" s="5">
        <f t="shared" si="10"/>
        <v>132</v>
      </c>
    </row>
    <row r="295" ht="15.75" customHeight="1">
      <c r="A295" s="5" t="s">
        <v>906</v>
      </c>
      <c r="B295" s="5" t="s">
        <v>445</v>
      </c>
      <c r="C295" s="5" t="s">
        <v>536</v>
      </c>
      <c r="D295" s="5">
        <v>630.0</v>
      </c>
      <c r="E295" s="5" t="s">
        <v>122</v>
      </c>
      <c r="F295" s="5" t="s">
        <v>536</v>
      </c>
      <c r="G295" s="5" t="s">
        <v>536</v>
      </c>
      <c r="H295" s="5" t="s">
        <v>536</v>
      </c>
      <c r="I295" s="11">
        <v>72.0</v>
      </c>
      <c r="J295" s="11">
        <v>39.0</v>
      </c>
      <c r="K295" s="11">
        <v>101.0</v>
      </c>
      <c r="L295" s="11">
        <v>100.0</v>
      </c>
      <c r="M295" s="11">
        <v>72.0</v>
      </c>
      <c r="N295" s="11">
        <v>69.0</v>
      </c>
      <c r="O295" s="11">
        <v>109.0</v>
      </c>
      <c r="P295" s="11">
        <v>97.0</v>
      </c>
      <c r="Q295" s="11">
        <f t="shared" si="1"/>
        <v>111</v>
      </c>
      <c r="R295" s="11">
        <f t="shared" si="2"/>
        <v>201</v>
      </c>
      <c r="S295" s="11">
        <f t="shared" si="3"/>
        <v>141</v>
      </c>
      <c r="T295" s="11">
        <f t="shared" si="4"/>
        <v>206</v>
      </c>
      <c r="U295" s="10">
        <f>IF(Q295&gt;0,(I295/Q295-District!$B$4)*100,"")</f>
        <v>11.45263124</v>
      </c>
      <c r="V295" s="10">
        <f>IF(R295&gt;0,(K295/R295-District!$B$5)*100,"")</f>
        <v>0.4987846312</v>
      </c>
      <c r="W295" s="10">
        <f>IF(S295&gt;0,(M295/S295-District!$B$6)*100,"")</f>
        <v>0.08080908267</v>
      </c>
      <c r="X295" s="10">
        <f>IF(T295&gt;0,(O295/T295-District!$B$7)*100,"")</f>
        <v>3.416199217</v>
      </c>
      <c r="Y295" s="28" t="str">
        <f t="shared" si="5"/>
        <v/>
      </c>
      <c r="Z295" s="5" t="str">
        <f t="shared" si="6"/>
        <v/>
      </c>
      <c r="AA295" s="28" t="str">
        <f t="shared" si="7"/>
        <v/>
      </c>
      <c r="AB295" s="5" t="str">
        <f t="shared" si="8"/>
        <v/>
      </c>
      <c r="AC295" s="28" t="str">
        <f t="shared" si="9"/>
        <v/>
      </c>
      <c r="AD295" s="5" t="str">
        <f t="shared" si="10"/>
        <v/>
      </c>
    </row>
    <row r="296" ht="15.75" customHeight="1">
      <c r="A296" s="5" t="s">
        <v>907</v>
      </c>
      <c r="B296" s="5" t="s">
        <v>445</v>
      </c>
      <c r="C296" s="5" t="s">
        <v>339</v>
      </c>
      <c r="D296" s="5">
        <v>640.0</v>
      </c>
      <c r="E296" s="5" t="s">
        <v>122</v>
      </c>
      <c r="F296" s="5" t="s">
        <v>537</v>
      </c>
      <c r="G296" s="5" t="s">
        <v>537</v>
      </c>
      <c r="H296" s="5" t="s">
        <v>537</v>
      </c>
      <c r="I296" s="11">
        <v>671.0</v>
      </c>
      <c r="J296" s="11">
        <v>526.0</v>
      </c>
      <c r="K296" s="11">
        <v>921.0</v>
      </c>
      <c r="L296" s="11">
        <v>722.0</v>
      </c>
      <c r="M296" s="11">
        <v>770.0</v>
      </c>
      <c r="N296" s="11">
        <v>546.0</v>
      </c>
      <c r="O296" s="11">
        <v>955.0</v>
      </c>
      <c r="P296" s="11">
        <v>692.0</v>
      </c>
      <c r="Q296" s="11">
        <f t="shared" si="1"/>
        <v>1197</v>
      </c>
      <c r="R296" s="11">
        <f t="shared" si="2"/>
        <v>1643</v>
      </c>
      <c r="S296" s="11">
        <f t="shared" si="3"/>
        <v>1316</v>
      </c>
      <c r="T296" s="11">
        <f t="shared" si="4"/>
        <v>1647</v>
      </c>
      <c r="U296" s="10">
        <f>IF(Q296&gt;0,(I296/Q296-District!$B$4)*100,"")</f>
        <v>2.644575063</v>
      </c>
      <c r="V296" s="10">
        <f>IF(R296&gt;0,(K296/R296-District!$B$5)*100,"")</f>
        <v>6.306023543</v>
      </c>
      <c r="W296" s="10">
        <f>IF(S296&gt;0,(M296/S296-District!$B$6)*100,"")</f>
        <v>7.527617593</v>
      </c>
      <c r="X296" s="10">
        <f>IF(T296&gt;0,(O296/T296-District!$B$7)*100,"")</f>
        <v>8.487791579</v>
      </c>
      <c r="Y296" s="28">
        <f t="shared" si="5"/>
        <v>6.3060219</v>
      </c>
      <c r="Z296" s="5">
        <f t="shared" si="6"/>
        <v>88</v>
      </c>
      <c r="AA296" s="28">
        <f t="shared" si="7"/>
        <v>7.527616277</v>
      </c>
      <c r="AB296" s="5">
        <f t="shared" si="8"/>
        <v>98</v>
      </c>
      <c r="AC296" s="28">
        <f t="shared" si="9"/>
        <v>8.487789932</v>
      </c>
      <c r="AD296" s="5">
        <f t="shared" si="10"/>
        <v>117</v>
      </c>
    </row>
    <row r="297" ht="15.75" customHeight="1">
      <c r="A297" s="5" t="s">
        <v>908</v>
      </c>
      <c r="B297" s="5" t="s">
        <v>445</v>
      </c>
      <c r="C297" s="5" t="s">
        <v>339</v>
      </c>
      <c r="D297" s="5">
        <v>650.0</v>
      </c>
      <c r="E297" s="5" t="s">
        <v>122</v>
      </c>
      <c r="F297" s="5" t="s">
        <v>538</v>
      </c>
      <c r="G297" s="5" t="s">
        <v>538</v>
      </c>
      <c r="H297" s="5" t="s">
        <v>538</v>
      </c>
      <c r="I297" s="11">
        <v>661.0</v>
      </c>
      <c r="J297" s="11">
        <v>518.0</v>
      </c>
      <c r="K297" s="11">
        <v>880.0</v>
      </c>
      <c r="L297" s="11">
        <v>792.0</v>
      </c>
      <c r="M297" s="11">
        <v>731.0</v>
      </c>
      <c r="N297" s="11">
        <v>608.0</v>
      </c>
      <c r="O297" s="11">
        <v>910.0</v>
      </c>
      <c r="P297" s="11">
        <v>742.0</v>
      </c>
      <c r="Q297" s="11">
        <f t="shared" si="1"/>
        <v>1179</v>
      </c>
      <c r="R297" s="11">
        <f t="shared" si="2"/>
        <v>1672</v>
      </c>
      <c r="S297" s="11">
        <f t="shared" si="3"/>
        <v>1339</v>
      </c>
      <c r="T297" s="11">
        <f t="shared" si="4"/>
        <v>1652</v>
      </c>
      <c r="U297" s="10">
        <f>IF(Q297&gt;0,(I297/Q297-District!$B$4)*100,"")</f>
        <v>2.652227783</v>
      </c>
      <c r="V297" s="10">
        <f>IF(R297&gt;0,(K297/R297-District!$B$5)*100,"")</f>
        <v>2.88160736</v>
      </c>
      <c r="W297" s="10">
        <f>IF(S297&gt;0,(M297/S297-District!$B$6)*100,"")</f>
        <v>3.609959131</v>
      </c>
      <c r="X297" s="10">
        <f>IF(T297&gt;0,(O297/T297-District!$B$7)*100,"")</f>
        <v>5.58832362</v>
      </c>
      <c r="Y297" s="28">
        <f t="shared" si="5"/>
        <v>2.881605688</v>
      </c>
      <c r="Z297" s="5">
        <f t="shared" si="6"/>
        <v>38</v>
      </c>
      <c r="AA297" s="28">
        <f t="shared" si="7"/>
        <v>3.609957792</v>
      </c>
      <c r="AB297" s="5">
        <f t="shared" si="8"/>
        <v>57</v>
      </c>
      <c r="AC297" s="28">
        <f t="shared" si="9"/>
        <v>5.588321968</v>
      </c>
      <c r="AD297" s="5">
        <f t="shared" si="10"/>
        <v>89</v>
      </c>
    </row>
    <row r="298" ht="15.75" customHeight="1">
      <c r="A298" s="5" t="s">
        <v>909</v>
      </c>
      <c r="B298" s="5" t="s">
        <v>445</v>
      </c>
      <c r="C298" s="5" t="s">
        <v>339</v>
      </c>
      <c r="D298" s="5">
        <v>660.0</v>
      </c>
      <c r="E298" s="5" t="s">
        <v>122</v>
      </c>
      <c r="F298" s="5" t="s">
        <v>539</v>
      </c>
      <c r="G298" s="5" t="s">
        <v>539</v>
      </c>
      <c r="H298" s="5" t="s">
        <v>539</v>
      </c>
      <c r="I298" s="11">
        <v>319.0</v>
      </c>
      <c r="J298" s="11">
        <v>311.0</v>
      </c>
      <c r="K298" s="11">
        <v>433.0</v>
      </c>
      <c r="L298" s="11">
        <v>414.0</v>
      </c>
      <c r="M298" s="11">
        <v>388.0</v>
      </c>
      <c r="N298" s="11">
        <v>338.0</v>
      </c>
      <c r="O298" s="11">
        <v>446.0</v>
      </c>
      <c r="P298" s="11">
        <v>410.0</v>
      </c>
      <c r="Q298" s="11">
        <f t="shared" si="1"/>
        <v>630</v>
      </c>
      <c r="R298" s="11">
        <f t="shared" si="2"/>
        <v>847</v>
      </c>
      <c r="S298" s="11">
        <f t="shared" si="3"/>
        <v>726</v>
      </c>
      <c r="T298" s="11">
        <f t="shared" si="4"/>
        <v>856</v>
      </c>
      <c r="U298" s="10">
        <f>IF(Q298&gt;0,(I298/Q298-District!$B$4)*100,"")</f>
        <v>-2.777312991</v>
      </c>
      <c r="V298" s="10">
        <f>IF(R298&gt;0,(K298/R298-District!$B$5)*100,"")</f>
        <v>1.371634079</v>
      </c>
      <c r="W298" s="10">
        <f>IF(S298&gt;0,(M298/S298-District!$B$6)*100,"")</f>
        <v>2.460505466</v>
      </c>
      <c r="X298" s="10">
        <f>IF(T298&gt;0,(O298/T298-District!$B$7)*100,"")</f>
        <v>2.606381596</v>
      </c>
      <c r="Y298" s="28">
        <f t="shared" si="5"/>
        <v>2.777312144</v>
      </c>
      <c r="Z298" s="5">
        <f t="shared" si="6"/>
        <v>34</v>
      </c>
      <c r="AA298" s="28">
        <f t="shared" si="7"/>
        <v>2.46050474</v>
      </c>
      <c r="AB298" s="5">
        <f t="shared" si="8"/>
        <v>36</v>
      </c>
      <c r="AC298" s="28">
        <f t="shared" si="9"/>
        <v>2.60638074</v>
      </c>
      <c r="AD298" s="5">
        <f t="shared" si="10"/>
        <v>44</v>
      </c>
    </row>
    <row r="299" ht="15.75" customHeight="1">
      <c r="A299" s="5" t="s">
        <v>910</v>
      </c>
      <c r="B299" s="5" t="s">
        <v>445</v>
      </c>
      <c r="C299" s="5" t="s">
        <v>339</v>
      </c>
      <c r="D299" s="5">
        <v>670.0</v>
      </c>
      <c r="E299" s="5" t="s">
        <v>122</v>
      </c>
      <c r="F299" s="5" t="s">
        <v>540</v>
      </c>
      <c r="G299" s="5" t="s">
        <v>540</v>
      </c>
      <c r="H299" s="5" t="s">
        <v>540</v>
      </c>
      <c r="I299" s="11">
        <v>528.0</v>
      </c>
      <c r="J299" s="11">
        <v>489.0</v>
      </c>
      <c r="K299" s="11">
        <v>734.0</v>
      </c>
      <c r="L299" s="11">
        <v>699.0</v>
      </c>
      <c r="M299" s="11">
        <v>603.0</v>
      </c>
      <c r="N299" s="11">
        <v>543.0</v>
      </c>
      <c r="O299" s="11">
        <v>744.0</v>
      </c>
      <c r="P299" s="11">
        <v>678.0</v>
      </c>
      <c r="Q299" s="11">
        <f t="shared" si="1"/>
        <v>1017</v>
      </c>
      <c r="R299" s="11">
        <f t="shared" si="2"/>
        <v>1433</v>
      </c>
      <c r="S299" s="11">
        <f t="shared" si="3"/>
        <v>1146</v>
      </c>
      <c r="T299" s="11">
        <f t="shared" si="4"/>
        <v>1422</v>
      </c>
      <c r="U299" s="10">
        <f>IF(Q299&gt;0,(I299/Q299-District!$B$4)*100,"")</f>
        <v>-1.494829496</v>
      </c>
      <c r="V299" s="10">
        <f>IF(R299&gt;0,(K299/R299-District!$B$5)*100,"")</f>
        <v>1.471242648</v>
      </c>
      <c r="W299" s="10">
        <f>IF(S299&gt;0,(M299/S299-District!$B$6)*100,"")</f>
        <v>1.634780343</v>
      </c>
      <c r="X299" s="10">
        <f>IF(T299&gt;0,(O299/T299-District!$B$7)*100,"")</f>
        <v>2.824252963</v>
      </c>
      <c r="Y299" s="28">
        <f t="shared" si="5"/>
        <v>1.494828063</v>
      </c>
      <c r="Z299" s="5">
        <f t="shared" si="6"/>
        <v>8</v>
      </c>
      <c r="AA299" s="28">
        <f t="shared" si="7"/>
        <v>1.634779197</v>
      </c>
      <c r="AB299" s="5">
        <f t="shared" si="8"/>
        <v>17</v>
      </c>
      <c r="AC299" s="28">
        <f t="shared" si="9"/>
        <v>2.824251541</v>
      </c>
      <c r="AD299" s="5">
        <f t="shared" si="10"/>
        <v>48</v>
      </c>
    </row>
    <row r="300" ht="15.75" customHeight="1">
      <c r="A300" s="5" t="s">
        <v>911</v>
      </c>
      <c r="B300" s="5" t="s">
        <v>445</v>
      </c>
      <c r="C300" s="5" t="s">
        <v>339</v>
      </c>
      <c r="D300" s="5">
        <v>673.0</v>
      </c>
      <c r="E300" s="5" t="s">
        <v>122</v>
      </c>
      <c r="F300" s="5" t="s">
        <v>541</v>
      </c>
      <c r="G300" s="5" t="s">
        <v>541</v>
      </c>
      <c r="H300" s="5" t="s">
        <v>541</v>
      </c>
      <c r="I300" s="11">
        <v>540.0</v>
      </c>
      <c r="J300" s="11">
        <v>425.0</v>
      </c>
      <c r="K300" s="11">
        <v>751.0</v>
      </c>
      <c r="L300" s="11">
        <v>608.0</v>
      </c>
      <c r="M300" s="11">
        <v>656.0</v>
      </c>
      <c r="N300" s="11">
        <v>499.0</v>
      </c>
      <c r="O300" s="11">
        <v>775.0</v>
      </c>
      <c r="P300" s="11">
        <v>645.0</v>
      </c>
      <c r="Q300" s="11">
        <f t="shared" si="1"/>
        <v>965</v>
      </c>
      <c r="R300" s="11">
        <f t="shared" si="2"/>
        <v>1359</v>
      </c>
      <c r="S300" s="11">
        <f t="shared" si="3"/>
        <v>1155</v>
      </c>
      <c r="T300" s="11">
        <f t="shared" si="4"/>
        <v>1420</v>
      </c>
      <c r="U300" s="10">
        <f>IF(Q300&gt;0,(I300/Q300-District!$B$4)*100,"")</f>
        <v>2.546315597</v>
      </c>
      <c r="V300" s="10">
        <f>IF(R300&gt;0,(K300/R300-District!$B$5)*100,"")</f>
        <v>5.511249899</v>
      </c>
      <c r="W300" s="10">
        <f>IF(S300&gt;0,(M300/S300-District!$B$6)*100,"")</f>
        <v>5.813516092</v>
      </c>
      <c r="X300" s="10">
        <f>IF(T300&gt;0,(O300/T300-District!$B$7)*100,"")</f>
        <v>5.081042646</v>
      </c>
      <c r="Y300" s="28">
        <f t="shared" si="5"/>
        <v>5.51124854</v>
      </c>
      <c r="Z300" s="5">
        <f t="shared" si="6"/>
        <v>78</v>
      </c>
      <c r="AA300" s="28">
        <f t="shared" si="7"/>
        <v>5.813514937</v>
      </c>
      <c r="AB300" s="5">
        <f t="shared" si="8"/>
        <v>82</v>
      </c>
      <c r="AC300" s="28">
        <f t="shared" si="9"/>
        <v>5.813514672</v>
      </c>
      <c r="AD300" s="5">
        <f t="shared" si="10"/>
        <v>91</v>
      </c>
    </row>
    <row r="301" ht="15.75" customHeight="1">
      <c r="A301" s="5" t="s">
        <v>912</v>
      </c>
      <c r="B301" s="5" t="s">
        <v>445</v>
      </c>
      <c r="C301" s="5" t="s">
        <v>339</v>
      </c>
      <c r="D301" s="5">
        <v>677.0</v>
      </c>
      <c r="E301" s="5" t="s">
        <v>122</v>
      </c>
      <c r="F301" s="5" t="s">
        <v>542</v>
      </c>
      <c r="G301" s="5" t="s">
        <v>542</v>
      </c>
      <c r="H301" s="5" t="s">
        <v>542</v>
      </c>
      <c r="I301" s="11">
        <v>356.0</v>
      </c>
      <c r="J301" s="11">
        <v>341.0</v>
      </c>
      <c r="K301" s="11">
        <v>515.0</v>
      </c>
      <c r="L301" s="11">
        <v>464.0</v>
      </c>
      <c r="M301" s="11">
        <v>422.0</v>
      </c>
      <c r="N301" s="11">
        <v>349.0</v>
      </c>
      <c r="O301" s="11">
        <v>511.0</v>
      </c>
      <c r="P301" s="11">
        <v>453.0</v>
      </c>
      <c r="Q301" s="11">
        <f t="shared" si="1"/>
        <v>697</v>
      </c>
      <c r="R301" s="11">
        <f t="shared" si="2"/>
        <v>979</v>
      </c>
      <c r="S301" s="11">
        <f t="shared" si="3"/>
        <v>771</v>
      </c>
      <c r="T301" s="11">
        <f t="shared" si="4"/>
        <v>964</v>
      </c>
      <c r="U301" s="10">
        <f>IF(Q301&gt;0,(I301/Q301-District!$B$4)*100,"")</f>
        <v>-2.336193453</v>
      </c>
      <c r="V301" s="10">
        <f>IF(R301&gt;0,(K301/R301-District!$B$5)*100,"")</f>
        <v>2.854727084</v>
      </c>
      <c r="W301" s="10">
        <f>IF(S301&gt;0,(M301/S301-District!$B$6)*100,"")</f>
        <v>3.751090839</v>
      </c>
      <c r="X301" s="10">
        <f>IF(T301&gt;0,(O301/T301-District!$B$7)*100,"")</f>
        <v>3.511876613</v>
      </c>
      <c r="Y301" s="28">
        <f t="shared" si="5"/>
        <v>2.854726105</v>
      </c>
      <c r="Z301" s="5">
        <f t="shared" si="6"/>
        <v>35</v>
      </c>
      <c r="AA301" s="28">
        <f t="shared" si="7"/>
        <v>3.751090068</v>
      </c>
      <c r="AB301" s="5">
        <f t="shared" si="8"/>
        <v>59</v>
      </c>
      <c r="AC301" s="28">
        <f t="shared" si="9"/>
        <v>3.751089875</v>
      </c>
      <c r="AD301" s="5">
        <f t="shared" si="10"/>
        <v>66</v>
      </c>
    </row>
    <row r="302" ht="15.75" customHeight="1">
      <c r="A302" s="5" t="s">
        <v>913</v>
      </c>
      <c r="B302" s="5" t="s">
        <v>445</v>
      </c>
      <c r="C302" s="5" t="s">
        <v>543</v>
      </c>
      <c r="D302" s="5">
        <v>680.0</v>
      </c>
      <c r="E302" s="5" t="s">
        <v>122</v>
      </c>
      <c r="F302" s="5" t="s">
        <v>544</v>
      </c>
      <c r="G302" s="5" t="s">
        <v>544</v>
      </c>
      <c r="H302" s="5" t="s">
        <v>544</v>
      </c>
      <c r="I302" s="11">
        <v>413.0</v>
      </c>
      <c r="J302" s="11">
        <v>327.0</v>
      </c>
      <c r="K302" s="11">
        <v>554.0</v>
      </c>
      <c r="L302" s="11">
        <v>570.0</v>
      </c>
      <c r="M302" s="11">
        <v>430.0</v>
      </c>
      <c r="N302" s="11">
        <v>446.0</v>
      </c>
      <c r="O302" s="11">
        <v>553.0</v>
      </c>
      <c r="P302" s="11">
        <v>581.0</v>
      </c>
      <c r="Q302" s="11">
        <f t="shared" si="1"/>
        <v>740</v>
      </c>
      <c r="R302" s="11">
        <f t="shared" si="2"/>
        <v>1124</v>
      </c>
      <c r="S302" s="11">
        <f t="shared" si="3"/>
        <v>876</v>
      </c>
      <c r="T302" s="11">
        <f t="shared" si="4"/>
        <v>1134</v>
      </c>
      <c r="U302" s="10">
        <f>IF(Q302&gt;0,(I302/Q302-District!$B$4)*100,"")</f>
        <v>2.398577185</v>
      </c>
      <c r="V302" s="10">
        <f>IF(R302&gt;0,(K302/R302-District!$B$5)*100,"")</f>
        <v>-0.4617153599</v>
      </c>
      <c r="W302" s="10">
        <f>IF(S302&gt;0,(M302/S302-District!$B$6)*100,"")</f>
        <v>-1.896262714</v>
      </c>
      <c r="X302" s="10">
        <f>IF(T302&gt;0,(O302/T302-District!$B$7)*100,"")</f>
        <v>-0.7309900438</v>
      </c>
      <c r="Y302" s="28">
        <f t="shared" si="5"/>
        <v>2.398576061</v>
      </c>
      <c r="Z302" s="5">
        <f t="shared" si="6"/>
        <v>25</v>
      </c>
      <c r="AA302" s="28">
        <f t="shared" si="7"/>
        <v>1.896261838</v>
      </c>
      <c r="AB302" s="5">
        <f t="shared" si="8"/>
        <v>23</v>
      </c>
      <c r="AC302" s="28">
        <f t="shared" si="9"/>
        <v>1.89626158</v>
      </c>
      <c r="AD302" s="5">
        <f t="shared" si="10"/>
        <v>31</v>
      </c>
    </row>
    <row r="303" ht="15.75" customHeight="1">
      <c r="A303" s="5" t="s">
        <v>914</v>
      </c>
      <c r="B303" s="5" t="s">
        <v>445</v>
      </c>
      <c r="C303" s="5" t="s">
        <v>543</v>
      </c>
      <c r="D303" s="5">
        <v>690.0</v>
      </c>
      <c r="E303" s="5" t="s">
        <v>122</v>
      </c>
      <c r="F303" s="5" t="s">
        <v>547</v>
      </c>
      <c r="G303" s="5" t="s">
        <v>547</v>
      </c>
      <c r="H303" s="5" t="s">
        <v>547</v>
      </c>
      <c r="I303" s="11">
        <v>327.0</v>
      </c>
      <c r="J303" s="11">
        <v>246.0</v>
      </c>
      <c r="K303" s="11">
        <v>439.0</v>
      </c>
      <c r="L303" s="11">
        <v>426.0</v>
      </c>
      <c r="M303" s="11">
        <v>363.0</v>
      </c>
      <c r="N303" s="11">
        <v>318.0</v>
      </c>
      <c r="O303" s="11">
        <v>473.0</v>
      </c>
      <c r="P303" s="11">
        <v>465.0</v>
      </c>
      <c r="Q303" s="11">
        <f t="shared" si="1"/>
        <v>573</v>
      </c>
      <c r="R303" s="11">
        <f t="shared" si="2"/>
        <v>865</v>
      </c>
      <c r="S303" s="11">
        <f t="shared" si="3"/>
        <v>681</v>
      </c>
      <c r="T303" s="11">
        <f t="shared" si="4"/>
        <v>938</v>
      </c>
      <c r="U303" s="10">
        <f>IF(Q303&gt;0,(I303/Q303-District!$B$4)*100,"")</f>
        <v>3.655829202</v>
      </c>
      <c r="V303" s="10">
        <f>IF(R303&gt;0,(K303/R303-District!$B$5)*100,"")</f>
        <v>1.001473499</v>
      </c>
      <c r="W303" s="10">
        <f>IF(S303&gt;0,(M303/S303-District!$B$6)*100,"")</f>
        <v>2.320944053</v>
      </c>
      <c r="X303" s="10">
        <f>IF(T303&gt;0,(O303/T303-District!$B$7)*100,"")</f>
        <v>0.9300170899</v>
      </c>
      <c r="Y303" s="28">
        <f t="shared" si="5"/>
        <v>3.655828337</v>
      </c>
      <c r="Z303" s="5">
        <f t="shared" si="6"/>
        <v>51</v>
      </c>
      <c r="AA303" s="28">
        <f t="shared" si="7"/>
        <v>2.320943372</v>
      </c>
      <c r="AB303" s="5">
        <f t="shared" si="8"/>
        <v>33</v>
      </c>
      <c r="AC303" s="28">
        <f t="shared" si="9"/>
        <v>2.320943115</v>
      </c>
      <c r="AD303" s="5">
        <f t="shared" si="10"/>
        <v>38</v>
      </c>
    </row>
    <row r="304" ht="15.75" customHeight="1">
      <c r="A304" s="5" t="s">
        <v>915</v>
      </c>
      <c r="B304" s="5" t="s">
        <v>445</v>
      </c>
      <c r="C304" s="5" t="s">
        <v>543</v>
      </c>
      <c r="D304" s="5">
        <v>700.0</v>
      </c>
      <c r="E304" s="5" t="s">
        <v>122</v>
      </c>
      <c r="F304" s="5" t="s">
        <v>548</v>
      </c>
      <c r="G304" s="5" t="s">
        <v>548</v>
      </c>
      <c r="H304" s="5" t="s">
        <v>548</v>
      </c>
      <c r="I304" s="11">
        <v>506.0</v>
      </c>
      <c r="J304" s="11">
        <v>393.0</v>
      </c>
      <c r="K304" s="11">
        <v>653.0</v>
      </c>
      <c r="L304" s="11">
        <v>612.0</v>
      </c>
      <c r="M304" s="11">
        <v>579.0</v>
      </c>
      <c r="N304" s="11">
        <v>437.0</v>
      </c>
      <c r="O304" s="11">
        <v>700.0</v>
      </c>
      <c r="P304" s="11">
        <v>639.0</v>
      </c>
      <c r="Q304" s="11">
        <f t="shared" si="1"/>
        <v>899</v>
      </c>
      <c r="R304" s="11">
        <f t="shared" si="2"/>
        <v>1265</v>
      </c>
      <c r="S304" s="11">
        <f t="shared" si="3"/>
        <v>1016</v>
      </c>
      <c r="T304" s="11">
        <f t="shared" si="4"/>
        <v>1339</v>
      </c>
      <c r="U304" s="10">
        <f>IF(Q304&gt;0,(I304/Q304-District!$B$4)*100,"")</f>
        <v>2.87252722</v>
      </c>
      <c r="V304" s="10">
        <f>IF(R304&gt;0,(K304/R304-District!$B$5)*100,"")</f>
        <v>1.870581772</v>
      </c>
      <c r="W304" s="10">
        <f>IF(S304&gt;0,(M304/S304-District!$B$6)*100,"")</f>
        <v>6.005168272</v>
      </c>
      <c r="X304" s="10">
        <f>IF(T304&gt;0,(O304/T304-District!$B$7)*100,"")</f>
        <v>2.781397126</v>
      </c>
      <c r="Y304" s="28">
        <f t="shared" si="5"/>
        <v>2.872525955</v>
      </c>
      <c r="Z304" s="5">
        <f t="shared" si="6"/>
        <v>37</v>
      </c>
      <c r="AA304" s="28">
        <f t="shared" si="7"/>
        <v>6.005167256</v>
      </c>
      <c r="AB304" s="5">
        <f t="shared" si="8"/>
        <v>85</v>
      </c>
      <c r="AC304" s="28">
        <f t="shared" si="9"/>
        <v>6.005166933</v>
      </c>
      <c r="AD304" s="5">
        <f t="shared" si="10"/>
        <v>92</v>
      </c>
    </row>
    <row r="305" ht="15.75" customHeight="1">
      <c r="A305" s="5" t="s">
        <v>916</v>
      </c>
      <c r="B305" s="5" t="s">
        <v>445</v>
      </c>
      <c r="C305" s="5" t="s">
        <v>403</v>
      </c>
      <c r="D305" s="5">
        <v>710.0</v>
      </c>
      <c r="E305" s="5" t="s">
        <v>122</v>
      </c>
      <c r="F305" s="5" t="s">
        <v>549</v>
      </c>
      <c r="G305" s="5" t="s">
        <v>549</v>
      </c>
      <c r="H305" s="5" t="s">
        <v>549</v>
      </c>
      <c r="I305" s="11">
        <v>380.0</v>
      </c>
      <c r="J305" s="11">
        <v>668.0</v>
      </c>
      <c r="K305" s="11">
        <v>533.0</v>
      </c>
      <c r="L305" s="11">
        <v>1046.0</v>
      </c>
      <c r="M305" s="11">
        <v>454.0</v>
      </c>
      <c r="N305" s="11">
        <v>825.0</v>
      </c>
      <c r="O305" s="11">
        <v>546.0</v>
      </c>
      <c r="P305" s="11">
        <v>1089.0</v>
      </c>
      <c r="Q305" s="11">
        <f t="shared" si="1"/>
        <v>1048</v>
      </c>
      <c r="R305" s="11">
        <f t="shared" si="2"/>
        <v>1579</v>
      </c>
      <c r="S305" s="11">
        <f t="shared" si="3"/>
        <v>1279</v>
      </c>
      <c r="T305" s="11">
        <f t="shared" si="4"/>
        <v>1635</v>
      </c>
      <c r="U305" s="10">
        <f>IF(Q305&gt;0,(I305/Q305-District!$B$4)*100,"")</f>
        <v>-17.15269164</v>
      </c>
      <c r="V305" s="10">
        <f>IF(R305&gt;0,(K305/R305-District!$B$5)*100,"")</f>
        <v>-15.99443011</v>
      </c>
      <c r="W305" s="10">
        <f>IF(S305&gt;0,(M305/S305-District!$B$6)*100,"")</f>
        <v>-15.48653908</v>
      </c>
      <c r="X305" s="10">
        <f>IF(T305&gt;0,(O305/T305-District!$B$7)*100,"")</f>
        <v>-16.10192673</v>
      </c>
      <c r="Y305" s="28">
        <f t="shared" si="5"/>
        <v>17.15269006</v>
      </c>
      <c r="Z305" s="5">
        <f t="shared" si="6"/>
        <v>200</v>
      </c>
      <c r="AA305" s="28">
        <f t="shared" si="7"/>
        <v>15.99442883</v>
      </c>
      <c r="AB305" s="5">
        <f t="shared" si="8"/>
        <v>176</v>
      </c>
      <c r="AC305" s="28">
        <f t="shared" si="9"/>
        <v>16.10192509</v>
      </c>
      <c r="AD305" s="5">
        <f t="shared" si="10"/>
        <v>203</v>
      </c>
    </row>
    <row r="306" ht="15.75" customHeight="1">
      <c r="A306" s="5" t="s">
        <v>917</v>
      </c>
      <c r="B306" s="5" t="s">
        <v>445</v>
      </c>
      <c r="C306" s="5" t="s">
        <v>403</v>
      </c>
      <c r="D306" s="5">
        <v>720.0</v>
      </c>
      <c r="E306" s="5" t="s">
        <v>122</v>
      </c>
      <c r="F306" s="5" t="s">
        <v>550</v>
      </c>
      <c r="G306" s="5" t="s">
        <v>550</v>
      </c>
      <c r="H306" s="5" t="s">
        <v>550</v>
      </c>
      <c r="I306" s="11">
        <v>444.0</v>
      </c>
      <c r="J306" s="11">
        <v>728.0</v>
      </c>
      <c r="K306" s="11">
        <v>619.0</v>
      </c>
      <c r="L306" s="11">
        <v>1176.0</v>
      </c>
      <c r="M306" s="11">
        <v>529.0</v>
      </c>
      <c r="N306" s="11">
        <v>916.0</v>
      </c>
      <c r="O306" s="11">
        <v>636.0</v>
      </c>
      <c r="P306" s="11">
        <v>1262.0</v>
      </c>
      <c r="Q306" s="11">
        <f t="shared" si="1"/>
        <v>1172</v>
      </c>
      <c r="R306" s="11">
        <f t="shared" si="2"/>
        <v>1795</v>
      </c>
      <c r="S306" s="11">
        <f t="shared" si="3"/>
        <v>1445</v>
      </c>
      <c r="T306" s="11">
        <f t="shared" si="4"/>
        <v>1898</v>
      </c>
      <c r="U306" s="10">
        <f>IF(Q306&gt;0,(I306/Q306-District!$B$4)*100,"")</f>
        <v>-15.52827458</v>
      </c>
      <c r="V306" s="10">
        <f>IF(R306&gt;0,(K306/R306-District!$B$5)*100,"")</f>
        <v>-15.26529192</v>
      </c>
      <c r="W306" s="10">
        <f>IF(S306&gt;0,(M306/S306-District!$B$6)*100,"")</f>
        <v>-14.37402416</v>
      </c>
      <c r="X306" s="10">
        <f>IF(T306&gt;0,(O306/T306-District!$B$7)*100,"")</f>
        <v>-15.98746535</v>
      </c>
      <c r="Y306" s="28">
        <f t="shared" si="5"/>
        <v>15.52827279</v>
      </c>
      <c r="Z306" s="5">
        <f t="shared" si="6"/>
        <v>181</v>
      </c>
      <c r="AA306" s="28">
        <f t="shared" si="7"/>
        <v>15.26529048</v>
      </c>
      <c r="AB306" s="5">
        <f t="shared" si="8"/>
        <v>170</v>
      </c>
      <c r="AC306" s="28">
        <f t="shared" si="9"/>
        <v>15.98746345</v>
      </c>
      <c r="AD306" s="5">
        <f t="shared" si="10"/>
        <v>200</v>
      </c>
    </row>
    <row r="307" ht="15.75" customHeight="1">
      <c r="A307" s="5" t="s">
        <v>918</v>
      </c>
      <c r="B307" s="5" t="s">
        <v>445</v>
      </c>
      <c r="C307" s="5" t="s">
        <v>403</v>
      </c>
      <c r="D307" s="5">
        <v>730.0</v>
      </c>
      <c r="E307" s="5" t="s">
        <v>122</v>
      </c>
      <c r="F307" s="5" t="s">
        <v>551</v>
      </c>
      <c r="G307" s="5" t="s">
        <v>551</v>
      </c>
      <c r="H307" s="5" t="s">
        <v>551</v>
      </c>
      <c r="I307" s="11">
        <v>146.0</v>
      </c>
      <c r="J307" s="11">
        <v>290.0</v>
      </c>
      <c r="K307" s="11">
        <v>459.0</v>
      </c>
      <c r="L307" s="11">
        <v>929.0</v>
      </c>
      <c r="M307" s="11">
        <v>142.0</v>
      </c>
      <c r="N307" s="11">
        <v>349.0</v>
      </c>
      <c r="O307" s="11">
        <v>224.0</v>
      </c>
      <c r="P307" s="11">
        <v>495.0</v>
      </c>
      <c r="Q307" s="11">
        <f t="shared" si="1"/>
        <v>436</v>
      </c>
      <c r="R307" s="11">
        <f t="shared" si="2"/>
        <v>1388</v>
      </c>
      <c r="S307" s="11">
        <f t="shared" si="3"/>
        <v>491</v>
      </c>
      <c r="T307" s="11">
        <f t="shared" si="4"/>
        <v>719</v>
      </c>
      <c r="U307" s="10">
        <f>IF(Q307&gt;0,(I307/Q307-District!$B$4)*100,"")</f>
        <v>-19.92599509</v>
      </c>
      <c r="V307" s="10">
        <f>IF(R307&gt;0,(K307/R307-District!$B$5)*100,"")</f>
        <v>-16.68080732</v>
      </c>
      <c r="W307" s="10">
        <f>IF(S307&gt;0,(M307/S307-District!$B$6)*100,"")</f>
        <v>-22.06245044</v>
      </c>
      <c r="X307" s="10">
        <f>IF(T307&gt;0,(O307/T307-District!$B$7)*100,"")</f>
        <v>-18.34204106</v>
      </c>
      <c r="Y307" s="28">
        <f t="shared" si="5"/>
        <v>19.92599371</v>
      </c>
      <c r="Z307" s="5">
        <f t="shared" si="6"/>
        <v>221</v>
      </c>
      <c r="AA307" s="28">
        <f t="shared" si="7"/>
        <v>22.06244995</v>
      </c>
      <c r="AB307" s="5">
        <f t="shared" si="8"/>
        <v>225</v>
      </c>
      <c r="AC307" s="28">
        <f t="shared" si="9"/>
        <v>22.06244972</v>
      </c>
      <c r="AD307" s="5">
        <f t="shared" si="10"/>
        <v>256</v>
      </c>
    </row>
    <row r="308" ht="15.75" customHeight="1">
      <c r="A308" s="5" t="s">
        <v>919</v>
      </c>
      <c r="B308" s="5" t="s">
        <v>445</v>
      </c>
      <c r="C308" s="5" t="s">
        <v>403</v>
      </c>
      <c r="D308" s="5">
        <v>740.0</v>
      </c>
      <c r="E308" s="5" t="s">
        <v>122</v>
      </c>
      <c r="F308" s="5" t="s">
        <v>552</v>
      </c>
      <c r="G308" s="5" t="s">
        <v>552</v>
      </c>
      <c r="H308" s="5" t="s">
        <v>552</v>
      </c>
      <c r="I308" s="11">
        <v>340.0</v>
      </c>
      <c r="J308" s="11">
        <v>571.0</v>
      </c>
      <c r="K308" s="11">
        <v>311.0</v>
      </c>
      <c r="L308" s="11">
        <v>628.0</v>
      </c>
      <c r="M308" s="11">
        <v>400.0</v>
      </c>
      <c r="N308" s="11">
        <v>731.0</v>
      </c>
      <c r="O308" s="11">
        <v>478.0</v>
      </c>
      <c r="P308" s="11">
        <v>948.0</v>
      </c>
      <c r="Q308" s="11">
        <f t="shared" si="1"/>
        <v>911</v>
      </c>
      <c r="R308" s="11">
        <f t="shared" si="2"/>
        <v>939</v>
      </c>
      <c r="S308" s="11">
        <f t="shared" si="3"/>
        <v>1131</v>
      </c>
      <c r="T308" s="11">
        <f t="shared" si="4"/>
        <v>1426</v>
      </c>
      <c r="U308" s="10">
        <f>IF(Q308&gt;0,(I308/Q308-District!$B$4)*100,"")</f>
        <v>-16.09060904</v>
      </c>
      <c r="V308" s="10">
        <f>IF(R308&gt;0,(K308/R308-District!$B$5)*100,"")</f>
        <v>-16.6296308</v>
      </c>
      <c r="W308" s="10">
        <f>IF(S308&gt;0,(M308/S308-District!$B$6)*100,"")</f>
        <v>-15.61608879</v>
      </c>
      <c r="X308" s="10">
        <f>IF(T308&gt;0,(O308/T308-District!$B$7)*100,"")</f>
        <v>-15.97608554</v>
      </c>
      <c r="Y308" s="28">
        <f t="shared" si="5"/>
        <v>16.62962986</v>
      </c>
      <c r="Z308" s="5">
        <f t="shared" si="6"/>
        <v>197</v>
      </c>
      <c r="AA308" s="28">
        <f t="shared" si="7"/>
        <v>16.62962967</v>
      </c>
      <c r="AB308" s="5">
        <f t="shared" si="8"/>
        <v>184</v>
      </c>
      <c r="AC308" s="28">
        <f t="shared" si="9"/>
        <v>15.97608411</v>
      </c>
      <c r="AD308" s="5">
        <f t="shared" si="10"/>
        <v>199</v>
      </c>
    </row>
    <row r="309" ht="15.75" customHeight="1">
      <c r="A309" s="5" t="s">
        <v>920</v>
      </c>
      <c r="B309" s="5" t="s">
        <v>445</v>
      </c>
      <c r="C309" s="5" t="s">
        <v>403</v>
      </c>
      <c r="D309" s="5">
        <v>750.0</v>
      </c>
      <c r="E309" s="5" t="s">
        <v>122</v>
      </c>
      <c r="F309" s="5" t="s">
        <v>553</v>
      </c>
      <c r="G309" s="5" t="s">
        <v>553</v>
      </c>
      <c r="H309" s="5" t="s">
        <v>553</v>
      </c>
      <c r="I309" s="11">
        <v>233.0</v>
      </c>
      <c r="J309" s="11">
        <v>451.0</v>
      </c>
      <c r="K309" s="11">
        <v>215.0</v>
      </c>
      <c r="L309" s="11">
        <v>479.0</v>
      </c>
      <c r="M309" s="11">
        <v>278.0</v>
      </c>
      <c r="N309" s="11">
        <v>482.0</v>
      </c>
      <c r="O309" s="11">
        <v>360.0</v>
      </c>
      <c r="P309" s="11">
        <v>645.0</v>
      </c>
      <c r="Q309" s="11">
        <f t="shared" si="1"/>
        <v>684</v>
      </c>
      <c r="R309" s="11">
        <f t="shared" si="2"/>
        <v>694</v>
      </c>
      <c r="S309" s="11">
        <f t="shared" si="3"/>
        <v>760</v>
      </c>
      <c r="T309" s="11">
        <f t="shared" si="4"/>
        <v>1005</v>
      </c>
      <c r="U309" s="10">
        <f>IF(Q309&gt;0,(I309/Q309-District!$B$4)*100,"")</f>
        <v>-19.34790614</v>
      </c>
      <c r="V309" s="10">
        <f>IF(R309&gt;0,(K309/R309-District!$B$5)*100,"")</f>
        <v>-18.7701445</v>
      </c>
      <c r="W309" s="10">
        <f>IF(S309&gt;0,(M309/S309-District!$B$6)*100,"")</f>
        <v>-14.40407334</v>
      </c>
      <c r="X309" s="10">
        <f>IF(T309&gt;0,(O309/T309-District!$B$7)*100,"")</f>
        <v>-13.67552662</v>
      </c>
      <c r="Y309" s="28">
        <f t="shared" si="5"/>
        <v>19.34790545</v>
      </c>
      <c r="Z309" s="5">
        <f t="shared" si="6"/>
        <v>220</v>
      </c>
      <c r="AA309" s="28">
        <f t="shared" si="7"/>
        <v>18.77014374</v>
      </c>
      <c r="AB309" s="5">
        <f t="shared" si="8"/>
        <v>200</v>
      </c>
      <c r="AC309" s="28">
        <f t="shared" si="9"/>
        <v>14.40407233</v>
      </c>
      <c r="AD309" s="5">
        <f t="shared" si="10"/>
        <v>189</v>
      </c>
    </row>
    <row r="310" ht="15.75" customHeight="1">
      <c r="A310" s="5" t="s">
        <v>921</v>
      </c>
      <c r="B310" s="5" t="s">
        <v>445</v>
      </c>
      <c r="C310" s="5" t="s">
        <v>922</v>
      </c>
      <c r="D310" s="5">
        <v>760.0</v>
      </c>
      <c r="E310" s="5" t="s">
        <v>122</v>
      </c>
      <c r="F310" s="5" t="s">
        <v>555</v>
      </c>
      <c r="G310" s="5" t="s">
        <v>555</v>
      </c>
      <c r="H310" s="5" t="s">
        <v>555</v>
      </c>
      <c r="I310" s="11">
        <v>35.0</v>
      </c>
      <c r="J310" s="11">
        <v>49.0</v>
      </c>
      <c r="K310" s="11">
        <v>239.0</v>
      </c>
      <c r="L310" s="11">
        <v>427.0</v>
      </c>
      <c r="M310" s="11">
        <v>203.0</v>
      </c>
      <c r="N310" s="11">
        <v>331.0</v>
      </c>
      <c r="O310" s="11">
        <v>264.0</v>
      </c>
      <c r="P310" s="11">
        <v>439.0</v>
      </c>
      <c r="Q310" s="11">
        <f t="shared" si="1"/>
        <v>84</v>
      </c>
      <c r="R310" s="11">
        <f t="shared" si="2"/>
        <v>666</v>
      </c>
      <c r="S310" s="11">
        <f t="shared" si="3"/>
        <v>534</v>
      </c>
      <c r="T310" s="11">
        <f t="shared" si="4"/>
        <v>703</v>
      </c>
      <c r="U310" s="10">
        <f>IF(Q310&gt;0,(I310/Q310-District!$B$4)*100,"")</f>
        <v>-11.74556696</v>
      </c>
      <c r="V310" s="10">
        <f>IF(R310&gt;0,(K310/R310-District!$B$5)*100,"")</f>
        <v>-13.8640857</v>
      </c>
      <c r="W310" s="10">
        <f>IF(S310&gt;0,(M310/S310-District!$B$6)*100,"")</f>
        <v>-12.96803943</v>
      </c>
      <c r="X310" s="10">
        <f>IF(T310&gt;0,(O310/T310-District!$B$7)*100,"")</f>
        <v>-11.94307933</v>
      </c>
      <c r="Y310" s="28" t="str">
        <f t="shared" si="5"/>
        <v/>
      </c>
      <c r="Z310" s="5" t="str">
        <f t="shared" si="6"/>
        <v/>
      </c>
      <c r="AA310" s="28">
        <f t="shared" si="7"/>
        <v>13.86408517</v>
      </c>
      <c r="AB310" s="5">
        <f t="shared" si="8"/>
        <v>159</v>
      </c>
      <c r="AC310" s="28">
        <f t="shared" si="9"/>
        <v>12.96803873</v>
      </c>
      <c r="AD310" s="5">
        <f t="shared" si="10"/>
        <v>172</v>
      </c>
    </row>
    <row r="311" ht="15.75" customHeight="1">
      <c r="A311" s="5" t="s">
        <v>923</v>
      </c>
      <c r="B311" s="5" t="s">
        <v>445</v>
      </c>
      <c r="C311" s="5" t="s">
        <v>922</v>
      </c>
      <c r="D311" s="5">
        <v>770.0</v>
      </c>
      <c r="E311" s="5" t="s">
        <v>122</v>
      </c>
      <c r="F311" s="5" t="s">
        <v>556</v>
      </c>
      <c r="G311" s="5" t="s">
        <v>556</v>
      </c>
      <c r="H311" s="5" t="s">
        <v>556</v>
      </c>
      <c r="I311" s="11">
        <v>280.0</v>
      </c>
      <c r="J311" s="11">
        <v>430.0</v>
      </c>
      <c r="K311" s="11">
        <v>341.0</v>
      </c>
      <c r="L311" s="11">
        <v>762.0</v>
      </c>
      <c r="M311" s="11">
        <v>308.0</v>
      </c>
      <c r="N311" s="11">
        <v>558.0</v>
      </c>
      <c r="O311" s="11">
        <v>361.0</v>
      </c>
      <c r="P311" s="11">
        <v>775.0</v>
      </c>
      <c r="Q311" s="11">
        <f t="shared" si="1"/>
        <v>710</v>
      </c>
      <c r="R311" s="11">
        <f t="shared" si="2"/>
        <v>1103</v>
      </c>
      <c r="S311" s="11">
        <f t="shared" si="3"/>
        <v>866</v>
      </c>
      <c r="T311" s="11">
        <f t="shared" si="4"/>
        <v>1136</v>
      </c>
      <c r="U311" s="10">
        <f>IF(Q311&gt;0,(I311/Q311-District!$B$4)*100,"")</f>
        <v>-13.97561391</v>
      </c>
      <c r="V311" s="10">
        <f>IF(R311&gt;0,(K311/R311-District!$B$5)*100,"")</f>
        <v>-18.83428709</v>
      </c>
      <c r="W311" s="10">
        <f>IF(S311&gt;0,(M311/S311-District!$B$6)*100,"")</f>
        <v>-15.41720084</v>
      </c>
      <c r="X311" s="10">
        <f>IF(T311&gt;0,(O311/T311-District!$B$7)*100,"")</f>
        <v>-17.71825313</v>
      </c>
      <c r="Y311" s="28">
        <f t="shared" si="5"/>
        <v>18.83428599</v>
      </c>
      <c r="Z311" s="5">
        <f t="shared" si="6"/>
        <v>215</v>
      </c>
      <c r="AA311" s="28">
        <f t="shared" si="7"/>
        <v>18.83428622</v>
      </c>
      <c r="AB311" s="5">
        <f t="shared" si="8"/>
        <v>201</v>
      </c>
      <c r="AC311" s="28">
        <f t="shared" si="9"/>
        <v>17.71825199</v>
      </c>
      <c r="AD311" s="5">
        <f t="shared" si="10"/>
        <v>219</v>
      </c>
    </row>
    <row r="312" ht="15.75" customHeight="1">
      <c r="A312" s="5" t="s">
        <v>924</v>
      </c>
      <c r="B312" s="5" t="s">
        <v>445</v>
      </c>
      <c r="C312" s="5" t="s">
        <v>922</v>
      </c>
      <c r="D312" s="5">
        <v>775.0</v>
      </c>
      <c r="E312" s="5" t="s">
        <v>122</v>
      </c>
      <c r="F312" s="5"/>
      <c r="G312" s="5"/>
      <c r="H312" s="5"/>
      <c r="I312" s="11">
        <v>159.0</v>
      </c>
      <c r="J312" s="11">
        <v>199.0</v>
      </c>
      <c r="K312" s="11"/>
      <c r="L312" s="11"/>
      <c r="M312" s="11"/>
      <c r="N312" s="11"/>
      <c r="O312" s="11"/>
      <c r="P312" s="11"/>
      <c r="Q312" s="11">
        <f t="shared" si="1"/>
        <v>358</v>
      </c>
      <c r="R312" s="11">
        <f t="shared" si="2"/>
        <v>0</v>
      </c>
      <c r="S312" s="11">
        <f t="shared" si="3"/>
        <v>0</v>
      </c>
      <c r="T312" s="11">
        <f t="shared" si="4"/>
        <v>0</v>
      </c>
      <c r="U312" s="10">
        <f>IF(Q312&gt;0,(I312/Q312-District!$B$4)*100,"")</f>
        <v>-8.998825804</v>
      </c>
      <c r="V312" s="10" t="str">
        <f>IF(R312&gt;0,(K312/R312-District!$B$5)*100,"")</f>
        <v/>
      </c>
      <c r="W312" s="10" t="str">
        <f>IF(S312&gt;0,(M312/S312-District!$B$6)*100,"")</f>
        <v/>
      </c>
      <c r="X312" s="10" t="str">
        <f>IF(T312&gt;0,(O312/T312-District!$B$7)*100,"")</f>
        <v/>
      </c>
      <c r="Y312" s="28" t="str">
        <f t="shared" si="5"/>
        <v/>
      </c>
      <c r="Z312" s="5" t="str">
        <f t="shared" si="6"/>
        <v/>
      </c>
      <c r="AA312" s="28" t="str">
        <f t="shared" si="7"/>
        <v/>
      </c>
      <c r="AB312" s="5" t="str">
        <f t="shared" si="8"/>
        <v/>
      </c>
      <c r="AC312" s="28" t="str">
        <f t="shared" si="9"/>
        <v/>
      </c>
      <c r="AD312" s="5" t="str">
        <f t="shared" si="10"/>
        <v/>
      </c>
    </row>
    <row r="313" ht="15.75" customHeight="1">
      <c r="A313" s="5" t="s">
        <v>925</v>
      </c>
      <c r="B313" s="5" t="s">
        <v>445</v>
      </c>
      <c r="C313" s="5" t="s">
        <v>559</v>
      </c>
      <c r="D313" s="5">
        <v>780.0</v>
      </c>
      <c r="E313" s="5" t="s">
        <v>829</v>
      </c>
      <c r="F313" s="5" t="s">
        <v>560</v>
      </c>
      <c r="G313" s="5" t="s">
        <v>560</v>
      </c>
      <c r="H313" s="5" t="s">
        <v>560</v>
      </c>
      <c r="I313" s="11">
        <v>901.0</v>
      </c>
      <c r="J313" s="11">
        <v>1107.0</v>
      </c>
      <c r="K313" s="11">
        <v>1318.0</v>
      </c>
      <c r="L313" s="11">
        <v>1709.0</v>
      </c>
      <c r="M313" s="11">
        <v>1136.0</v>
      </c>
      <c r="N313" s="11">
        <v>1415.0</v>
      </c>
      <c r="O313" s="11">
        <v>1441.0</v>
      </c>
      <c r="P313" s="11">
        <v>1674.0</v>
      </c>
      <c r="Q313" s="11">
        <f t="shared" si="1"/>
        <v>2008</v>
      </c>
      <c r="R313" s="11">
        <f t="shared" si="2"/>
        <v>3027</v>
      </c>
      <c r="S313" s="11">
        <f t="shared" si="3"/>
        <v>2551</v>
      </c>
      <c r="T313" s="11">
        <f t="shared" si="4"/>
        <v>3115</v>
      </c>
      <c r="U313" s="10">
        <f>IF(Q313&gt;0,(I313/Q313-District!$B$4)*100,"")</f>
        <v>-8.541715697</v>
      </c>
      <c r="V313" s="10">
        <f>IF(R313&gt;0,(K313/R313-District!$B$5)*100,"")</f>
        <v>-6.208511396</v>
      </c>
      <c r="W313" s="10">
        <f>IF(S313&gt;0,(M313/S313-District!$B$6)*100,"")</f>
        <v>-6.451464452</v>
      </c>
      <c r="X313" s="10">
        <f>IF(T313&gt;0,(O313/T313-District!$B$7)*100,"")</f>
        <v>-3.23639004</v>
      </c>
      <c r="Y313" s="28" t="str">
        <f t="shared" si="5"/>
        <v/>
      </c>
      <c r="Z313" s="5" t="str">
        <f t="shared" si="6"/>
        <v/>
      </c>
      <c r="AA313" s="28" t="str">
        <f t="shared" si="7"/>
        <v/>
      </c>
      <c r="AB313" s="5" t="str">
        <f t="shared" si="8"/>
        <v/>
      </c>
      <c r="AC313" s="28" t="str">
        <f t="shared" si="9"/>
        <v/>
      </c>
      <c r="AD313" s="5" t="str">
        <f t="shared" si="10"/>
        <v/>
      </c>
    </row>
    <row r="314" ht="15.75" customHeight="1">
      <c r="A314" s="5" t="s">
        <v>926</v>
      </c>
      <c r="B314" s="5" t="s">
        <v>445</v>
      </c>
      <c r="C314" s="5" t="s">
        <v>559</v>
      </c>
      <c r="D314" s="5">
        <v>785.0</v>
      </c>
      <c r="E314" s="5" t="s">
        <v>829</v>
      </c>
      <c r="F314" s="5"/>
      <c r="G314" s="5"/>
      <c r="H314" s="5"/>
      <c r="I314" s="11"/>
      <c r="J314" s="11"/>
      <c r="K314" s="11"/>
      <c r="L314" s="11"/>
      <c r="M314" s="11"/>
      <c r="N314" s="11"/>
      <c r="O314" s="11"/>
      <c r="P314" s="11"/>
      <c r="Q314" s="11">
        <f t="shared" si="1"/>
        <v>0</v>
      </c>
      <c r="R314" s="11">
        <f t="shared" si="2"/>
        <v>0</v>
      </c>
      <c r="S314" s="11">
        <f t="shared" si="3"/>
        <v>0</v>
      </c>
      <c r="T314" s="11">
        <f t="shared" si="4"/>
        <v>0</v>
      </c>
      <c r="U314" s="10" t="str">
        <f>IF(Q314&gt;0,(I314/Q314-District!$B$4)*100,"")</f>
        <v/>
      </c>
      <c r="V314" s="10" t="str">
        <f>IF(R314&gt;0,(K314/R314-District!$B$5)*100,"")</f>
        <v/>
      </c>
      <c r="W314" s="10" t="str">
        <f>IF(S314&gt;0,(M314/S314-District!$B$6)*100,"")</f>
        <v/>
      </c>
      <c r="X314" s="10" t="str">
        <f>IF(T314&gt;0,(O314/T314-District!$B$7)*100,"")</f>
        <v/>
      </c>
      <c r="Y314" s="28" t="str">
        <f t="shared" si="5"/>
        <v/>
      </c>
      <c r="Z314" s="5" t="str">
        <f t="shared" si="6"/>
        <v/>
      </c>
      <c r="AA314" s="28" t="str">
        <f t="shared" si="7"/>
        <v/>
      </c>
      <c r="AB314" s="5" t="str">
        <f t="shared" si="8"/>
        <v/>
      </c>
      <c r="AC314" s="28" t="str">
        <f t="shared" si="9"/>
        <v/>
      </c>
      <c r="AD314" s="5" t="str">
        <f t="shared" si="10"/>
        <v/>
      </c>
    </row>
    <row r="315" ht="15.75" customHeight="1">
      <c r="A315" s="5" t="s">
        <v>927</v>
      </c>
      <c r="B315" s="5" t="s">
        <v>445</v>
      </c>
      <c r="C315" s="5" t="s">
        <v>559</v>
      </c>
      <c r="D315" s="5">
        <v>790.0</v>
      </c>
      <c r="E315" s="5" t="s">
        <v>829</v>
      </c>
      <c r="F315" s="5" t="s">
        <v>561</v>
      </c>
      <c r="G315" s="5" t="s">
        <v>561</v>
      </c>
      <c r="H315" s="5" t="s">
        <v>561</v>
      </c>
      <c r="I315" s="11">
        <v>419.0</v>
      </c>
      <c r="J315" s="11">
        <v>543.0</v>
      </c>
      <c r="K315" s="11">
        <v>561.0</v>
      </c>
      <c r="L315" s="11">
        <v>856.0</v>
      </c>
      <c r="M315" s="11">
        <v>496.0</v>
      </c>
      <c r="N315" s="11">
        <v>652.0</v>
      </c>
      <c r="O315" s="11">
        <v>606.0</v>
      </c>
      <c r="P315" s="11">
        <v>825.0</v>
      </c>
      <c r="Q315" s="11">
        <f t="shared" si="1"/>
        <v>962</v>
      </c>
      <c r="R315" s="11">
        <f t="shared" si="2"/>
        <v>1417</v>
      </c>
      <c r="S315" s="11">
        <f t="shared" si="3"/>
        <v>1148</v>
      </c>
      <c r="T315" s="11">
        <f t="shared" si="4"/>
        <v>1431</v>
      </c>
      <c r="U315" s="10">
        <f>IF(Q315&gt;0,(I315/Q315-District!$B$4)*100,"")</f>
        <v>-9.85714007</v>
      </c>
      <c r="V315" s="10">
        <f>IF(R315&gt;0,(K315/R315-District!$B$5)*100,"")</f>
        <v>-10.15928704</v>
      </c>
      <c r="W315" s="10">
        <f>IF(S315&gt;0,(M315/S315-District!$B$6)*100,"")</f>
        <v>-7.777445792</v>
      </c>
      <c r="X315" s="10">
        <f>IF(T315&gt;0,(O315/T315-District!$B$7)*100,"")</f>
        <v>-7.148413757</v>
      </c>
      <c r="Y315" s="28" t="str">
        <f t="shared" si="5"/>
        <v/>
      </c>
      <c r="Z315" s="5" t="str">
        <f t="shared" si="6"/>
        <v/>
      </c>
      <c r="AA315" s="28" t="str">
        <f t="shared" si="7"/>
        <v/>
      </c>
      <c r="AB315" s="5" t="str">
        <f t="shared" si="8"/>
        <v/>
      </c>
      <c r="AC315" s="28" t="str">
        <f t="shared" si="9"/>
        <v/>
      </c>
      <c r="AD315" s="5" t="str">
        <f t="shared" si="10"/>
        <v/>
      </c>
    </row>
    <row r="316" ht="15.75" customHeight="1">
      <c r="A316" s="5" t="s">
        <v>928</v>
      </c>
      <c r="B316" s="5" t="s">
        <v>445</v>
      </c>
      <c r="C316" s="5" t="s">
        <v>559</v>
      </c>
      <c r="D316" s="5">
        <v>795.0</v>
      </c>
      <c r="E316" s="5" t="s">
        <v>829</v>
      </c>
      <c r="F316" s="5"/>
      <c r="G316" s="5"/>
      <c r="H316" s="5"/>
      <c r="I316" s="11"/>
      <c r="J316" s="11"/>
      <c r="K316" s="11"/>
      <c r="L316" s="11"/>
      <c r="M316" s="11"/>
      <c r="N316" s="11"/>
      <c r="O316" s="11"/>
      <c r="P316" s="11"/>
      <c r="Q316" s="11">
        <f t="shared" si="1"/>
        <v>0</v>
      </c>
      <c r="R316" s="11">
        <f t="shared" si="2"/>
        <v>0</v>
      </c>
      <c r="S316" s="11">
        <f t="shared" si="3"/>
        <v>0</v>
      </c>
      <c r="T316" s="11">
        <f t="shared" si="4"/>
        <v>0</v>
      </c>
      <c r="U316" s="10" t="str">
        <f>IF(Q316&gt;0,(I316/Q316-District!$B$4)*100,"")</f>
        <v/>
      </c>
      <c r="V316" s="10" t="str">
        <f>IF(R316&gt;0,(K316/R316-District!$B$5)*100,"")</f>
        <v/>
      </c>
      <c r="W316" s="10" t="str">
        <f>IF(S316&gt;0,(M316/S316-District!$B$6)*100,"")</f>
        <v/>
      </c>
      <c r="X316" s="10" t="str">
        <f>IF(T316&gt;0,(O316/T316-District!$B$7)*100,"")</f>
        <v/>
      </c>
      <c r="Y316" s="28" t="str">
        <f t="shared" si="5"/>
        <v/>
      </c>
      <c r="Z316" s="5" t="str">
        <f t="shared" si="6"/>
        <v/>
      </c>
      <c r="AA316" s="28" t="str">
        <f t="shared" si="7"/>
        <v/>
      </c>
      <c r="AB316" s="5" t="str">
        <f t="shared" si="8"/>
        <v/>
      </c>
      <c r="AC316" s="28" t="str">
        <f t="shared" si="9"/>
        <v/>
      </c>
      <c r="AD316" s="5" t="str">
        <f t="shared" si="10"/>
        <v/>
      </c>
    </row>
    <row r="317" ht="15.75" customHeight="1">
      <c r="A317" s="5" t="s">
        <v>929</v>
      </c>
      <c r="B317" s="5" t="s">
        <v>445</v>
      </c>
      <c r="C317" s="5" t="s">
        <v>562</v>
      </c>
      <c r="D317" s="5">
        <v>800.0</v>
      </c>
      <c r="E317" s="5" t="s">
        <v>829</v>
      </c>
      <c r="F317" s="5" t="s">
        <v>563</v>
      </c>
      <c r="G317" s="5" t="s">
        <v>563</v>
      </c>
      <c r="H317" s="5" t="s">
        <v>563</v>
      </c>
      <c r="I317" s="11">
        <v>436.0</v>
      </c>
      <c r="J317" s="11">
        <v>430.0</v>
      </c>
      <c r="K317" s="11">
        <v>563.0</v>
      </c>
      <c r="L317" s="11">
        <v>573.0</v>
      </c>
      <c r="M317" s="11">
        <v>508.0</v>
      </c>
      <c r="N317" s="11">
        <v>437.0</v>
      </c>
      <c r="O317" s="11">
        <v>585.0</v>
      </c>
      <c r="P317" s="11">
        <v>527.0</v>
      </c>
      <c r="Q317" s="11">
        <f t="shared" si="1"/>
        <v>866</v>
      </c>
      <c r="R317" s="11">
        <f t="shared" si="2"/>
        <v>1136</v>
      </c>
      <c r="S317" s="11">
        <f t="shared" si="3"/>
        <v>945</v>
      </c>
      <c r="T317" s="11">
        <f t="shared" si="4"/>
        <v>1112</v>
      </c>
      <c r="U317" s="10">
        <f>IF(Q317&gt;0,(I317/Q317-District!$B$4)*100,"")</f>
        <v>-3.065813302</v>
      </c>
      <c r="V317" s="10">
        <f>IF(R317&gt;0,(K317/R317-District!$B$5)*100,"")</f>
        <v>-0.1901124328</v>
      </c>
      <c r="W317" s="10">
        <f>IF(S317&gt;0,(M317/S317-District!$B$6)*100,"")</f>
        <v>2.773593052</v>
      </c>
      <c r="X317" s="10">
        <f>IF(T317&gt;0,(O317/T317-District!$B$7)*100,"")</f>
        <v>3.111491527</v>
      </c>
      <c r="Y317" s="28" t="str">
        <f t="shared" si="5"/>
        <v/>
      </c>
      <c r="Z317" s="5" t="str">
        <f t="shared" si="6"/>
        <v/>
      </c>
      <c r="AA317" s="28" t="str">
        <f t="shared" si="7"/>
        <v/>
      </c>
      <c r="AB317" s="5" t="str">
        <f t="shared" si="8"/>
        <v/>
      </c>
      <c r="AC317" s="28" t="str">
        <f t="shared" si="9"/>
        <v/>
      </c>
      <c r="AD317" s="5" t="str">
        <f t="shared" si="10"/>
        <v/>
      </c>
    </row>
    <row r="318" ht="15.75" customHeight="1">
      <c r="A318" s="5" t="s">
        <v>930</v>
      </c>
      <c r="B318" s="5" t="s">
        <v>445</v>
      </c>
      <c r="C318" s="5" t="s">
        <v>562</v>
      </c>
      <c r="D318" s="5">
        <v>810.0</v>
      </c>
      <c r="E318" s="5" t="s">
        <v>829</v>
      </c>
      <c r="F318" s="5" t="s">
        <v>564</v>
      </c>
      <c r="G318" s="5" t="s">
        <v>564</v>
      </c>
      <c r="H318" s="5" t="s">
        <v>564</v>
      </c>
      <c r="I318" s="11">
        <v>451.0</v>
      </c>
      <c r="J318" s="11">
        <v>565.0</v>
      </c>
      <c r="K318" s="11">
        <v>634.0</v>
      </c>
      <c r="L318" s="11">
        <v>855.0</v>
      </c>
      <c r="M318" s="11">
        <v>524.0</v>
      </c>
      <c r="N318" s="11">
        <v>659.0</v>
      </c>
      <c r="O318" s="11">
        <v>639.0</v>
      </c>
      <c r="P318" s="11">
        <v>886.0</v>
      </c>
      <c r="Q318" s="11">
        <f t="shared" si="1"/>
        <v>1016</v>
      </c>
      <c r="R318" s="11">
        <f t="shared" si="2"/>
        <v>1489</v>
      </c>
      <c r="S318" s="11">
        <f t="shared" si="3"/>
        <v>1183</v>
      </c>
      <c r="T318" s="11">
        <f t="shared" si="4"/>
        <v>1525</v>
      </c>
      <c r="U318" s="10">
        <f>IF(Q318&gt;0,(I318/Q318-District!$B$4)*100,"")</f>
        <v>-9.022469846</v>
      </c>
      <c r="V318" s="10">
        <f>IF(R318&gt;0,(K318/R318-District!$B$5)*100,"")</f>
        <v>-7.171059566</v>
      </c>
      <c r="W318" s="10">
        <f>IF(S318&gt;0,(M318/S318-District!$B$6)*100,"")</f>
        <v>-6.688853333</v>
      </c>
      <c r="X318" s="10">
        <f>IF(T318&gt;0,(O318/T318-District!$B$7)*100,"")</f>
        <v>-7.594782798</v>
      </c>
      <c r="Y318" s="28" t="str">
        <f t="shared" si="5"/>
        <v/>
      </c>
      <c r="Z318" s="5" t="str">
        <f t="shared" si="6"/>
        <v/>
      </c>
      <c r="AA318" s="28" t="str">
        <f t="shared" si="7"/>
        <v/>
      </c>
      <c r="AB318" s="5" t="str">
        <f t="shared" si="8"/>
        <v/>
      </c>
      <c r="AC318" s="28" t="str">
        <f t="shared" si="9"/>
        <v/>
      </c>
      <c r="AD318" s="5" t="str">
        <f t="shared" si="10"/>
        <v/>
      </c>
    </row>
    <row r="319" ht="15.75" customHeight="1">
      <c r="A319" s="5" t="s">
        <v>931</v>
      </c>
      <c r="B319" s="5" t="s">
        <v>445</v>
      </c>
      <c r="C319" s="5" t="s">
        <v>562</v>
      </c>
      <c r="D319" s="5">
        <v>820.0</v>
      </c>
      <c r="E319" s="5" t="s">
        <v>829</v>
      </c>
      <c r="F319" s="5" t="s">
        <v>565</v>
      </c>
      <c r="G319" s="5" t="s">
        <v>565</v>
      </c>
      <c r="H319" s="5" t="s">
        <v>565</v>
      </c>
      <c r="I319" s="11">
        <v>165.0</v>
      </c>
      <c r="J319" s="11">
        <v>205.0</v>
      </c>
      <c r="K319" s="11">
        <v>245.0</v>
      </c>
      <c r="L319" s="11">
        <v>290.0</v>
      </c>
      <c r="M319" s="11">
        <v>186.0</v>
      </c>
      <c r="N319" s="11">
        <v>236.0</v>
      </c>
      <c r="O319" s="11">
        <v>228.0</v>
      </c>
      <c r="P319" s="11">
        <v>306.0</v>
      </c>
      <c r="Q319" s="11">
        <f t="shared" si="1"/>
        <v>370</v>
      </c>
      <c r="R319" s="11">
        <f t="shared" si="2"/>
        <v>535</v>
      </c>
      <c r="S319" s="11">
        <f t="shared" si="3"/>
        <v>422</v>
      </c>
      <c r="T319" s="11">
        <f t="shared" si="4"/>
        <v>534</v>
      </c>
      <c r="U319" s="10">
        <f>IF(Q319&gt;0,(I319/Q319-District!$B$4)*100,"")</f>
        <v>-8.817639031</v>
      </c>
      <c r="V319" s="10">
        <f>IF(R319&gt;0,(K319/R319-District!$B$5)*100,"")</f>
        <v>-3.955579064</v>
      </c>
      <c r="W319" s="10">
        <f>IF(S319&gt;0,(M319/S319-District!$B$6)*100,"")</f>
        <v>-6.907191321</v>
      </c>
      <c r="X319" s="10">
        <f>IF(T319&gt;0,(O319/T319-District!$B$7)*100,"")</f>
        <v>-6.799792929</v>
      </c>
      <c r="Y319" s="28" t="str">
        <f t="shared" si="5"/>
        <v/>
      </c>
      <c r="Z319" s="5" t="str">
        <f t="shared" si="6"/>
        <v/>
      </c>
      <c r="AA319" s="28" t="str">
        <f t="shared" si="7"/>
        <v/>
      </c>
      <c r="AB319" s="5" t="str">
        <f t="shared" si="8"/>
        <v/>
      </c>
      <c r="AC319" s="28" t="str">
        <f t="shared" si="9"/>
        <v/>
      </c>
      <c r="AD319" s="5" t="str">
        <f t="shared" si="10"/>
        <v/>
      </c>
    </row>
    <row r="320" ht="15.75" customHeight="1">
      <c r="A320" s="5" t="s">
        <v>932</v>
      </c>
      <c r="B320" s="5" t="s">
        <v>445</v>
      </c>
      <c r="C320" s="5" t="s">
        <v>562</v>
      </c>
      <c r="D320" s="5">
        <v>830.0</v>
      </c>
      <c r="E320" s="5" t="s">
        <v>829</v>
      </c>
      <c r="F320" s="5" t="s">
        <v>566</v>
      </c>
      <c r="G320" s="5" t="s">
        <v>566</v>
      </c>
      <c r="H320" s="5" t="s">
        <v>566</v>
      </c>
      <c r="I320" s="11">
        <v>373.0</v>
      </c>
      <c r="J320" s="11">
        <v>332.0</v>
      </c>
      <c r="K320" s="11">
        <v>481.0</v>
      </c>
      <c r="L320" s="11">
        <v>473.0</v>
      </c>
      <c r="M320" s="11">
        <v>394.0</v>
      </c>
      <c r="N320" s="11">
        <v>360.0</v>
      </c>
      <c r="O320" s="11">
        <v>496.0</v>
      </c>
      <c r="P320" s="11">
        <v>458.0</v>
      </c>
      <c r="Q320" s="11">
        <f t="shared" si="1"/>
        <v>705</v>
      </c>
      <c r="R320" s="11">
        <f t="shared" si="2"/>
        <v>954</v>
      </c>
      <c r="S320" s="11">
        <f t="shared" si="3"/>
        <v>754</v>
      </c>
      <c r="T320" s="11">
        <f t="shared" si="4"/>
        <v>954</v>
      </c>
      <c r="U320" s="10">
        <f>IF(Q320&gt;0,(I320/Q320-District!$B$4)*100,"")</f>
        <v>-0.504432207</v>
      </c>
      <c r="V320" s="10">
        <f>IF(R320&gt;0,(K320/R320-District!$B$5)*100,"")</f>
        <v>0.6693156241</v>
      </c>
      <c r="W320" s="10">
        <f>IF(S320&gt;0,(M320/S320-District!$B$6)*100,"")</f>
        <v>1.271621205</v>
      </c>
      <c r="X320" s="10">
        <f>IF(T320&gt;0,(O320/T320-District!$B$7)*100,"")</f>
        <v>2.495192113</v>
      </c>
      <c r="Y320" s="28" t="str">
        <f t="shared" si="5"/>
        <v/>
      </c>
      <c r="Z320" s="5" t="str">
        <f t="shared" si="6"/>
        <v/>
      </c>
      <c r="AA320" s="28" t="str">
        <f t="shared" si="7"/>
        <v/>
      </c>
      <c r="AB320" s="5" t="str">
        <f t="shared" si="8"/>
        <v/>
      </c>
      <c r="AC320" s="28" t="str">
        <f t="shared" si="9"/>
        <v/>
      </c>
      <c r="AD320" s="5" t="str">
        <f t="shared" si="10"/>
        <v/>
      </c>
    </row>
    <row r="321" ht="15.75" customHeight="1">
      <c r="A321" s="5" t="s">
        <v>933</v>
      </c>
      <c r="B321" s="5" t="s">
        <v>445</v>
      </c>
      <c r="C321" s="5" t="s">
        <v>562</v>
      </c>
      <c r="D321" s="5">
        <v>833.0</v>
      </c>
      <c r="E321" s="5" t="s">
        <v>829</v>
      </c>
      <c r="F321" s="5" t="s">
        <v>567</v>
      </c>
      <c r="G321" s="5" t="s">
        <v>567</v>
      </c>
      <c r="H321" s="5" t="s">
        <v>567</v>
      </c>
      <c r="I321" s="11">
        <v>280.0</v>
      </c>
      <c r="J321" s="11">
        <v>241.0</v>
      </c>
      <c r="K321" s="11">
        <v>362.0</v>
      </c>
      <c r="L321" s="11">
        <v>355.0</v>
      </c>
      <c r="M321" s="11">
        <v>322.0</v>
      </c>
      <c r="N321" s="11">
        <v>270.0</v>
      </c>
      <c r="O321" s="11">
        <v>356.0</v>
      </c>
      <c r="P321" s="11">
        <v>335.0</v>
      </c>
      <c r="Q321" s="11">
        <f t="shared" si="1"/>
        <v>521</v>
      </c>
      <c r="R321" s="11">
        <f t="shared" si="2"/>
        <v>717</v>
      </c>
      <c r="S321" s="11">
        <f t="shared" si="3"/>
        <v>592</v>
      </c>
      <c r="T321" s="11">
        <f t="shared" si="4"/>
        <v>691</v>
      </c>
      <c r="U321" s="10">
        <f>IF(Q321&gt;0,(I321/Q321-District!$B$4)*100,"")</f>
        <v>0.3305686778</v>
      </c>
      <c r="V321" s="10">
        <f>IF(R321&gt;0,(K321/R321-District!$B$5)*100,"")</f>
        <v>0.7381734611</v>
      </c>
      <c r="W321" s="10">
        <f>IF(S321&gt;0,(M321/S321-District!$B$6)*100,"")</f>
        <v>3.408871187</v>
      </c>
      <c r="X321" s="10">
        <f>IF(T321&gt;0,(O321/T321-District!$B$7)*100,"")</f>
        <v>2.02311476</v>
      </c>
      <c r="Y321" s="28" t="str">
        <f t="shared" si="5"/>
        <v/>
      </c>
      <c r="Z321" s="5" t="str">
        <f t="shared" si="6"/>
        <v/>
      </c>
      <c r="AA321" s="28" t="str">
        <f t="shared" si="7"/>
        <v/>
      </c>
      <c r="AB321" s="5" t="str">
        <f t="shared" si="8"/>
        <v/>
      </c>
      <c r="AC321" s="28" t="str">
        <f t="shared" si="9"/>
        <v/>
      </c>
      <c r="AD321" s="5" t="str">
        <f t="shared" si="10"/>
        <v/>
      </c>
    </row>
    <row r="322" ht="15.75" customHeight="1">
      <c r="A322" s="5" t="s">
        <v>934</v>
      </c>
      <c r="B322" s="5" t="s">
        <v>445</v>
      </c>
      <c r="C322" s="5" t="s">
        <v>562</v>
      </c>
      <c r="D322" s="5">
        <v>837.0</v>
      </c>
      <c r="E322" s="5" t="s">
        <v>829</v>
      </c>
      <c r="F322" s="5" t="s">
        <v>568</v>
      </c>
      <c r="G322" s="5" t="s">
        <v>568</v>
      </c>
      <c r="H322" s="5" t="s">
        <v>568</v>
      </c>
      <c r="I322" s="11">
        <v>420.0</v>
      </c>
      <c r="J322" s="11">
        <v>322.0</v>
      </c>
      <c r="K322" s="11">
        <v>530.0</v>
      </c>
      <c r="L322" s="11">
        <v>477.0</v>
      </c>
      <c r="M322" s="11">
        <v>490.0</v>
      </c>
      <c r="N322" s="11">
        <v>382.0</v>
      </c>
      <c r="O322" s="11">
        <v>553.0</v>
      </c>
      <c r="P322" s="11">
        <v>445.0</v>
      </c>
      <c r="Q322" s="11">
        <f t="shared" si="1"/>
        <v>742</v>
      </c>
      <c r="R322" s="11">
        <f t="shared" si="2"/>
        <v>1007</v>
      </c>
      <c r="S322" s="11">
        <f t="shared" si="3"/>
        <v>872</v>
      </c>
      <c r="T322" s="11">
        <f t="shared" si="4"/>
        <v>998</v>
      </c>
      <c r="U322" s="10">
        <f>IF(Q322&gt;0,(I322/Q322-District!$B$4)*100,"")</f>
        <v>3.191539959</v>
      </c>
      <c r="V322" s="10">
        <f>IF(R322&gt;0,(K322/R322-District!$B$5)*100,"")</f>
        <v>2.88160736</v>
      </c>
      <c r="W322" s="10">
        <f>IF(S322&gt;0,(M322/S322-District!$B$6)*100,"")</f>
        <v>5.209639846</v>
      </c>
      <c r="X322" s="10">
        <f>IF(T322&gt;0,(O322/T322-District!$B$7)*100,"")</f>
        <v>5.914399501</v>
      </c>
      <c r="Y322" s="28" t="str">
        <f t="shared" si="5"/>
        <v/>
      </c>
      <c r="Z322" s="5" t="str">
        <f t="shared" si="6"/>
        <v/>
      </c>
      <c r="AA322" s="28" t="str">
        <f t="shared" si="7"/>
        <v/>
      </c>
      <c r="AB322" s="5" t="str">
        <f t="shared" si="8"/>
        <v/>
      </c>
      <c r="AC322" s="28" t="str">
        <f t="shared" si="9"/>
        <v/>
      </c>
      <c r="AD322" s="5" t="str">
        <f t="shared" si="10"/>
        <v/>
      </c>
    </row>
    <row r="323" ht="15.75" customHeight="1">
      <c r="A323" s="5" t="s">
        <v>935</v>
      </c>
      <c r="B323" s="5" t="s">
        <v>445</v>
      </c>
      <c r="C323" s="5" t="s">
        <v>562</v>
      </c>
      <c r="D323" s="5">
        <v>840.0</v>
      </c>
      <c r="E323" s="5" t="s">
        <v>829</v>
      </c>
      <c r="F323" s="5" t="s">
        <v>569</v>
      </c>
      <c r="G323" s="5" t="s">
        <v>569</v>
      </c>
      <c r="H323" s="5" t="s">
        <v>569</v>
      </c>
      <c r="I323" s="11">
        <v>118.0</v>
      </c>
      <c r="J323" s="11">
        <v>143.0</v>
      </c>
      <c r="K323" s="11">
        <v>160.0</v>
      </c>
      <c r="L323" s="11">
        <v>247.0</v>
      </c>
      <c r="M323" s="11">
        <v>145.0</v>
      </c>
      <c r="N323" s="11">
        <v>189.0</v>
      </c>
      <c r="O323" s="11">
        <v>177.0</v>
      </c>
      <c r="P323" s="11">
        <v>256.0</v>
      </c>
      <c r="Q323" s="11">
        <f t="shared" si="1"/>
        <v>261</v>
      </c>
      <c r="R323" s="11">
        <f t="shared" si="2"/>
        <v>407</v>
      </c>
      <c r="S323" s="11">
        <f t="shared" si="3"/>
        <v>334</v>
      </c>
      <c r="T323" s="11">
        <f t="shared" si="4"/>
        <v>433</v>
      </c>
      <c r="U323" s="10">
        <f>IF(Q323&gt;0,(I323/Q323-District!$B$4)*100,"")</f>
        <v>-8.201505656</v>
      </c>
      <c r="V323" s="10">
        <f>IF(R323&gt;0,(K323/R323-District!$B$5)*100,"")</f>
        <v>-10.43793228</v>
      </c>
      <c r="W323" s="10">
        <f>IF(S323&gt;0,(M323/S323-District!$B$6)*100,"")</f>
        <v>-7.569847052</v>
      </c>
      <c r="X323" s="10">
        <f>IF(T323&gt;0,(O323/T323-District!$B$7)*100,"")</f>
        <v>-8.61882399</v>
      </c>
      <c r="Y323" s="28" t="str">
        <f t="shared" si="5"/>
        <v/>
      </c>
      <c r="Z323" s="5" t="str">
        <f t="shared" si="6"/>
        <v/>
      </c>
      <c r="AA323" s="28" t="str">
        <f t="shared" si="7"/>
        <v/>
      </c>
      <c r="AB323" s="5" t="str">
        <f t="shared" si="8"/>
        <v/>
      </c>
      <c r="AC323" s="28" t="str">
        <f t="shared" si="9"/>
        <v/>
      </c>
      <c r="AD323" s="5" t="str">
        <f t="shared" si="10"/>
        <v/>
      </c>
    </row>
    <row r="324" ht="15.75" customHeight="1">
      <c r="A324" s="5" t="s">
        <v>936</v>
      </c>
      <c r="B324" s="5" t="s">
        <v>445</v>
      </c>
      <c r="C324" s="5" t="s">
        <v>562</v>
      </c>
      <c r="D324" s="5">
        <v>850.0</v>
      </c>
      <c r="E324" s="5" t="s">
        <v>829</v>
      </c>
      <c r="F324" s="5" t="s">
        <v>571</v>
      </c>
      <c r="G324" s="5" t="s">
        <v>571</v>
      </c>
      <c r="H324" s="5" t="s">
        <v>571</v>
      </c>
      <c r="I324" s="11">
        <v>297.0</v>
      </c>
      <c r="J324" s="11">
        <v>386.0</v>
      </c>
      <c r="K324" s="11">
        <v>395.0</v>
      </c>
      <c r="L324" s="11">
        <v>561.0</v>
      </c>
      <c r="M324" s="11">
        <v>350.0</v>
      </c>
      <c r="N324" s="11">
        <v>475.0</v>
      </c>
      <c r="O324" s="11">
        <v>423.0</v>
      </c>
      <c r="P324" s="11">
        <v>592.0</v>
      </c>
      <c r="Q324" s="11">
        <f t="shared" si="1"/>
        <v>683</v>
      </c>
      <c r="R324" s="11">
        <f t="shared" si="2"/>
        <v>956</v>
      </c>
      <c r="S324" s="11">
        <f t="shared" si="3"/>
        <v>825</v>
      </c>
      <c r="T324" s="11">
        <f t="shared" si="4"/>
        <v>1015</v>
      </c>
      <c r="U324" s="10">
        <f>IF(Q324&gt;0,(I324/Q324-District!$B$4)*100,"")</f>
        <v>-9.927606978</v>
      </c>
      <c r="V324" s="10">
        <f>IF(R324&gt;0,(K324/R324-District!$B$5)*100,"")</f>
        <v>-8.431979956</v>
      </c>
      <c r="W324" s="10">
        <f>IF(S324&gt;0,(M324/S324-District!$B$6)*100,"")</f>
        <v>-8.55877828</v>
      </c>
      <c r="X324" s="10">
        <f>IF(T324&gt;0,(O324/T324-District!$B$7)*100,"")</f>
        <v>-7.821545295</v>
      </c>
      <c r="Y324" s="28" t="str">
        <f t="shared" si="5"/>
        <v/>
      </c>
      <c r="Z324" s="5" t="str">
        <f t="shared" si="6"/>
        <v/>
      </c>
      <c r="AA324" s="28" t="str">
        <f t="shared" si="7"/>
        <v/>
      </c>
      <c r="AB324" s="5" t="str">
        <f t="shared" si="8"/>
        <v/>
      </c>
      <c r="AC324" s="28" t="str">
        <f t="shared" si="9"/>
        <v/>
      </c>
      <c r="AD324" s="5" t="str">
        <f t="shared" si="10"/>
        <v/>
      </c>
    </row>
    <row r="325" ht="15.75" customHeight="1">
      <c r="A325" s="5" t="s">
        <v>937</v>
      </c>
      <c r="B325" s="5" t="s">
        <v>445</v>
      </c>
      <c r="C325" s="5" t="s">
        <v>572</v>
      </c>
      <c r="D325" s="5">
        <v>860.0</v>
      </c>
      <c r="E325" s="5" t="s">
        <v>122</v>
      </c>
      <c r="F325" s="5" t="s">
        <v>573</v>
      </c>
      <c r="G325" s="5" t="s">
        <v>573</v>
      </c>
      <c r="H325" s="5" t="s">
        <v>573</v>
      </c>
      <c r="I325" s="11">
        <v>294.0</v>
      </c>
      <c r="J325" s="11">
        <v>490.0</v>
      </c>
      <c r="K325" s="11">
        <v>393.0</v>
      </c>
      <c r="L325" s="11">
        <v>741.0</v>
      </c>
      <c r="M325" s="11">
        <v>327.0</v>
      </c>
      <c r="N325" s="11">
        <v>610.0</v>
      </c>
      <c r="O325" s="11">
        <v>409.0</v>
      </c>
      <c r="P325" s="11">
        <v>764.0</v>
      </c>
      <c r="Q325" s="11">
        <f t="shared" si="1"/>
        <v>784</v>
      </c>
      <c r="R325" s="11">
        <f t="shared" si="2"/>
        <v>1134</v>
      </c>
      <c r="S325" s="11">
        <f t="shared" si="3"/>
        <v>937</v>
      </c>
      <c r="T325" s="11">
        <f t="shared" si="4"/>
        <v>1173</v>
      </c>
      <c r="U325" s="10">
        <f>IF(Q325&gt;0,(I325/Q325-District!$B$4)*100,"")</f>
        <v>-15.91223363</v>
      </c>
      <c r="V325" s="10">
        <f>IF(R325&gt;0,(K325/R325-District!$B$5)*100,"")</f>
        <v>-15.09388693</v>
      </c>
      <c r="W325" s="10">
        <f>IF(S325&gt;0,(M325/S325-District!$B$6)*100,"")</f>
        <v>-16.08440811</v>
      </c>
      <c r="X325" s="10">
        <f>IF(T325&gt;0,(O325/T325-District!$B$7)*100,"")</f>
        <v>-14.62856195</v>
      </c>
      <c r="Y325" s="28">
        <f t="shared" si="5"/>
        <v>15.91223249</v>
      </c>
      <c r="Z325" s="5">
        <f t="shared" si="6"/>
        <v>192</v>
      </c>
      <c r="AA325" s="28">
        <f t="shared" si="7"/>
        <v>16.08440717</v>
      </c>
      <c r="AB325" s="5">
        <f t="shared" si="8"/>
        <v>178</v>
      </c>
      <c r="AC325" s="28">
        <f t="shared" si="9"/>
        <v>16.08440694</v>
      </c>
      <c r="AD325" s="5">
        <f t="shared" si="10"/>
        <v>202</v>
      </c>
    </row>
    <row r="326" ht="15.75" customHeight="1">
      <c r="A326" s="5" t="s">
        <v>938</v>
      </c>
      <c r="B326" s="5" t="s">
        <v>445</v>
      </c>
      <c r="C326" s="5" t="s">
        <v>572</v>
      </c>
      <c r="D326" s="5">
        <v>870.0</v>
      </c>
      <c r="E326" s="5" t="s">
        <v>122</v>
      </c>
      <c r="F326" s="5" t="s">
        <v>574</v>
      </c>
      <c r="G326" s="5" t="s">
        <v>574</v>
      </c>
      <c r="H326" s="5" t="s">
        <v>574</v>
      </c>
      <c r="I326" s="11">
        <v>571.0</v>
      </c>
      <c r="J326" s="11">
        <v>923.0</v>
      </c>
      <c r="K326" s="11">
        <v>787.0</v>
      </c>
      <c r="L326" s="11">
        <v>1491.0</v>
      </c>
      <c r="M326" s="11">
        <v>654.0</v>
      </c>
      <c r="N326" s="11">
        <v>1185.0</v>
      </c>
      <c r="O326" s="11">
        <v>805.0</v>
      </c>
      <c r="P326" s="11">
        <v>1577.0</v>
      </c>
      <c r="Q326" s="11">
        <f t="shared" si="1"/>
        <v>1494</v>
      </c>
      <c r="R326" s="11">
        <f t="shared" si="2"/>
        <v>2278</v>
      </c>
      <c r="S326" s="11">
        <f t="shared" si="3"/>
        <v>1839</v>
      </c>
      <c r="T326" s="11">
        <f t="shared" si="4"/>
        <v>2382</v>
      </c>
      <c r="U326" s="10">
        <f>IF(Q326&gt;0,(I326/Q326-District!$B$4)*100,"")</f>
        <v>-15.19268878</v>
      </c>
      <c r="V326" s="10">
        <f>IF(R326&gt;0,(K326/R326-District!$B$5)*100,"")</f>
        <v>-15.2021226</v>
      </c>
      <c r="W326" s="10">
        <f>IF(S326&gt;0,(M326/S326-District!$B$6)*100,"")</f>
        <v>-15.42021483</v>
      </c>
      <c r="X326" s="10">
        <f>IF(T326&gt;0,(O326/T326-District!$B$7)*100,"")</f>
        <v>-15.701292</v>
      </c>
      <c r="Y326" s="28">
        <f t="shared" si="5"/>
        <v>15.20212032</v>
      </c>
      <c r="Z326" s="5">
        <f t="shared" si="6"/>
        <v>177</v>
      </c>
      <c r="AA326" s="28">
        <f t="shared" si="7"/>
        <v>15.42021299</v>
      </c>
      <c r="AB326" s="5">
        <f t="shared" si="8"/>
        <v>171</v>
      </c>
      <c r="AC326" s="28">
        <f t="shared" si="9"/>
        <v>15.70128962</v>
      </c>
      <c r="AD326" s="5">
        <f t="shared" si="10"/>
        <v>196</v>
      </c>
    </row>
    <row r="327" ht="15.75" customHeight="1">
      <c r="A327" s="5" t="s">
        <v>939</v>
      </c>
      <c r="B327" s="5" t="s">
        <v>445</v>
      </c>
      <c r="C327" s="5" t="s">
        <v>572</v>
      </c>
      <c r="D327" s="5">
        <v>880.0</v>
      </c>
      <c r="E327" s="5" t="s">
        <v>122</v>
      </c>
      <c r="F327" s="5" t="s">
        <v>575</v>
      </c>
      <c r="G327" s="5" t="s">
        <v>575</v>
      </c>
      <c r="H327" s="5" t="s">
        <v>575</v>
      </c>
      <c r="I327" s="11">
        <v>368.0</v>
      </c>
      <c r="J327" s="11">
        <v>745.0</v>
      </c>
      <c r="K327" s="11">
        <v>502.0</v>
      </c>
      <c r="L327" s="11">
        <v>1143.0</v>
      </c>
      <c r="M327" s="11">
        <v>452.0</v>
      </c>
      <c r="N327" s="11">
        <v>895.0</v>
      </c>
      <c r="O327" s="11">
        <v>547.0</v>
      </c>
      <c r="P327" s="11">
        <v>1179.0</v>
      </c>
      <c r="Q327" s="11">
        <f t="shared" si="1"/>
        <v>1113</v>
      </c>
      <c r="R327" s="11">
        <f t="shared" si="2"/>
        <v>1645</v>
      </c>
      <c r="S327" s="11">
        <f t="shared" si="3"/>
        <v>1347</v>
      </c>
      <c r="T327" s="11">
        <f t="shared" si="4"/>
        <v>1726</v>
      </c>
      <c r="U327" s="10">
        <f>IF(Q327&gt;0,(I327/Q327-District!$B$4)*100,"")</f>
        <v>-20.34844207</v>
      </c>
      <c r="V327" s="10">
        <f>IF(R327&gt;0,(K327/R327-District!$B$5)*100,"")</f>
        <v>-19.23325426</v>
      </c>
      <c r="W327" s="10">
        <f>IF(S327&gt;0,(M327/S327-District!$B$6)*100,"")</f>
        <v>-17.42697022</v>
      </c>
      <c r="X327" s="10">
        <f>IF(T327&gt;0,(O327/T327-District!$B$7)*100,"")</f>
        <v>-17.80464926</v>
      </c>
      <c r="Y327" s="28">
        <f t="shared" si="5"/>
        <v>20.34844043</v>
      </c>
      <c r="Z327" s="5">
        <f t="shared" si="6"/>
        <v>231</v>
      </c>
      <c r="AA327" s="28">
        <f t="shared" si="7"/>
        <v>19.23325292</v>
      </c>
      <c r="AB327" s="5">
        <f t="shared" si="8"/>
        <v>208</v>
      </c>
      <c r="AC327" s="28">
        <f t="shared" si="9"/>
        <v>17.80464753</v>
      </c>
      <c r="AD327" s="5">
        <f t="shared" si="10"/>
        <v>221</v>
      </c>
    </row>
    <row r="328" ht="15.75" customHeight="1">
      <c r="A328" s="5" t="s">
        <v>940</v>
      </c>
      <c r="B328" s="5" t="s">
        <v>445</v>
      </c>
      <c r="C328" s="5" t="s">
        <v>572</v>
      </c>
      <c r="D328" s="5">
        <v>890.0</v>
      </c>
      <c r="E328" s="5" t="s">
        <v>122</v>
      </c>
      <c r="F328" s="5" t="s">
        <v>576</v>
      </c>
      <c r="G328" s="5" t="s">
        <v>576</v>
      </c>
      <c r="H328" s="5" t="s">
        <v>576</v>
      </c>
      <c r="I328" s="11">
        <v>171.0</v>
      </c>
      <c r="J328" s="11">
        <v>354.0</v>
      </c>
      <c r="K328" s="11">
        <v>238.0</v>
      </c>
      <c r="L328" s="11">
        <v>490.0</v>
      </c>
      <c r="M328" s="11">
        <v>228.0</v>
      </c>
      <c r="N328" s="11">
        <v>401.0</v>
      </c>
      <c r="O328" s="11">
        <v>245.0</v>
      </c>
      <c r="P328" s="11">
        <v>537.0</v>
      </c>
      <c r="Q328" s="11">
        <f t="shared" si="1"/>
        <v>525</v>
      </c>
      <c r="R328" s="11">
        <f t="shared" si="2"/>
        <v>728</v>
      </c>
      <c r="S328" s="11">
        <f t="shared" si="3"/>
        <v>629</v>
      </c>
      <c r="T328" s="11">
        <f t="shared" si="4"/>
        <v>782</v>
      </c>
      <c r="U328" s="10">
        <f>IF(Q328&gt;0,(I328/Q328-District!$B$4)*100,"")</f>
        <v>-20.84080505</v>
      </c>
      <c r="V328" s="10">
        <f>IF(R328&gt;0,(K328/R328-District!$B$5)*100,"")</f>
        <v>-17.0576639</v>
      </c>
      <c r="W328" s="10">
        <f>IF(S328&gt;0,(M328/S328-District!$B$6)*100,"")</f>
        <v>-14.73500799</v>
      </c>
      <c r="X328" s="10">
        <f>IF(T328&gt;0,(O328/T328-District!$B$7)*100,"")</f>
        <v>-18.16649887</v>
      </c>
      <c r="Y328" s="28">
        <f t="shared" si="5"/>
        <v>20.84080433</v>
      </c>
      <c r="Z328" s="5">
        <f t="shared" si="6"/>
        <v>234</v>
      </c>
      <c r="AA328" s="28">
        <f t="shared" si="7"/>
        <v>17.05766327</v>
      </c>
      <c r="AB328" s="5">
        <f t="shared" si="8"/>
        <v>189</v>
      </c>
      <c r="AC328" s="28">
        <f t="shared" si="9"/>
        <v>18.16649809</v>
      </c>
      <c r="AD328" s="5">
        <f t="shared" si="10"/>
        <v>223</v>
      </c>
    </row>
    <row r="329" ht="15.75" customHeight="1">
      <c r="A329" s="5" t="s">
        <v>941</v>
      </c>
      <c r="B329" s="5" t="s">
        <v>445</v>
      </c>
      <c r="C329" s="5" t="s">
        <v>577</v>
      </c>
      <c r="D329" s="5">
        <v>900.0</v>
      </c>
      <c r="E329" s="5" t="s">
        <v>122</v>
      </c>
      <c r="F329" s="5" t="s">
        <v>578</v>
      </c>
      <c r="G329" s="5" t="s">
        <v>578</v>
      </c>
      <c r="H329" s="5" t="s">
        <v>578</v>
      </c>
      <c r="I329" s="11">
        <v>423.0</v>
      </c>
      <c r="J329" s="11">
        <v>423.0</v>
      </c>
      <c r="K329" s="11">
        <v>573.0</v>
      </c>
      <c r="L329" s="11">
        <v>606.0</v>
      </c>
      <c r="M329" s="11">
        <v>477.0</v>
      </c>
      <c r="N329" s="11">
        <v>476.0</v>
      </c>
      <c r="O329" s="11">
        <v>601.0</v>
      </c>
      <c r="P329" s="11">
        <v>605.0</v>
      </c>
      <c r="Q329" s="11">
        <f t="shared" si="1"/>
        <v>846</v>
      </c>
      <c r="R329" s="11">
        <f t="shared" si="2"/>
        <v>1179</v>
      </c>
      <c r="S329" s="11">
        <f t="shared" si="3"/>
        <v>953</v>
      </c>
      <c r="T329" s="11">
        <f t="shared" si="4"/>
        <v>1206</v>
      </c>
      <c r="U329" s="10">
        <f>IF(Q329&gt;0,(I329/Q329-District!$B$4)*100,"")</f>
        <v>-3.412233625</v>
      </c>
      <c r="V329" s="10">
        <f>IF(R329&gt;0,(K329/R329-District!$B$5)*100,"")</f>
        <v>-1.149462682</v>
      </c>
      <c r="W329" s="10">
        <f>IF(S329&gt;0,(M329/S329-District!$B$6)*100,"")</f>
        <v>-0.9305548074</v>
      </c>
      <c r="X329" s="10">
        <f>IF(T329&gt;0,(O329/T329-District!$B$7)*100,"")</f>
        <v>0.3377403782</v>
      </c>
      <c r="Y329" s="28">
        <f t="shared" si="5"/>
        <v>3.412232446</v>
      </c>
      <c r="Z329" s="5">
        <f t="shared" si="6"/>
        <v>50</v>
      </c>
      <c r="AA329" s="28">
        <f t="shared" si="7"/>
        <v>1.149461729</v>
      </c>
      <c r="AB329" s="5">
        <f t="shared" si="8"/>
        <v>10</v>
      </c>
      <c r="AC329" s="28">
        <f t="shared" si="9"/>
        <v>0.9305536014</v>
      </c>
      <c r="AD329" s="5">
        <f t="shared" si="10"/>
        <v>6</v>
      </c>
    </row>
    <row r="330" ht="15.75" customHeight="1">
      <c r="A330" s="5" t="s">
        <v>942</v>
      </c>
      <c r="B330" s="5" t="s">
        <v>445</v>
      </c>
      <c r="C330" s="5" t="s">
        <v>577</v>
      </c>
      <c r="D330" s="5">
        <v>910.0</v>
      </c>
      <c r="E330" s="5" t="s">
        <v>122</v>
      </c>
      <c r="F330" s="5" t="s">
        <v>579</v>
      </c>
      <c r="G330" s="5" t="s">
        <v>579</v>
      </c>
      <c r="H330" s="5" t="s">
        <v>579</v>
      </c>
      <c r="I330" s="11">
        <v>370.0</v>
      </c>
      <c r="J330" s="11">
        <v>293.0</v>
      </c>
      <c r="K330" s="11">
        <v>488.0</v>
      </c>
      <c r="L330" s="11">
        <v>509.0</v>
      </c>
      <c r="M330" s="11">
        <v>428.0</v>
      </c>
      <c r="N330" s="11">
        <v>350.0</v>
      </c>
      <c r="O330" s="11">
        <v>523.0</v>
      </c>
      <c r="P330" s="11">
        <v>542.0</v>
      </c>
      <c r="Q330" s="11">
        <f t="shared" si="1"/>
        <v>663</v>
      </c>
      <c r="R330" s="11">
        <f t="shared" si="2"/>
        <v>997</v>
      </c>
      <c r="S330" s="11">
        <f t="shared" si="3"/>
        <v>778</v>
      </c>
      <c r="T330" s="11">
        <f t="shared" si="4"/>
        <v>1065</v>
      </c>
      <c r="U330" s="10">
        <f>IF(Q330&gt;0,(I330/Q330-District!$B$4)*100,"")</f>
        <v>2.394704534</v>
      </c>
      <c r="V330" s="10">
        <f>IF(R330&gt;0,(K330/R330-District!$B$5)*100,"")</f>
        <v>-0.8031310661</v>
      </c>
      <c r="W330" s="10">
        <f>IF(S330&gt;0,(M330/S330-District!$B$6)*100,"")</f>
        <v>4.029832766</v>
      </c>
      <c r="X330" s="10">
        <f>IF(T330&gt;0,(O330/T330-District!$B$7)*100,"")</f>
        <v>-0.3884409219</v>
      </c>
      <c r="Y330" s="28">
        <f t="shared" si="5"/>
        <v>2.394703537</v>
      </c>
      <c r="Z330" s="5">
        <f t="shared" si="6"/>
        <v>24</v>
      </c>
      <c r="AA330" s="28">
        <f t="shared" si="7"/>
        <v>4.029831988</v>
      </c>
      <c r="AB330" s="5">
        <f t="shared" si="8"/>
        <v>63</v>
      </c>
      <c r="AC330" s="28">
        <f t="shared" si="9"/>
        <v>4.029831701</v>
      </c>
      <c r="AD330" s="5">
        <f t="shared" si="10"/>
        <v>70</v>
      </c>
    </row>
    <row r="331" ht="15.75" customHeight="1">
      <c r="A331" s="5" t="s">
        <v>943</v>
      </c>
      <c r="B331" s="5" t="s">
        <v>445</v>
      </c>
      <c r="C331" s="5" t="s">
        <v>577</v>
      </c>
      <c r="D331" s="5">
        <v>920.0</v>
      </c>
      <c r="E331" s="5" t="s">
        <v>122</v>
      </c>
      <c r="F331" s="5" t="s">
        <v>580</v>
      </c>
      <c r="G331" s="5" t="s">
        <v>580</v>
      </c>
      <c r="H331" s="5" t="s">
        <v>580</v>
      </c>
      <c r="I331" s="11">
        <v>335.0</v>
      </c>
      <c r="J331" s="11">
        <v>282.0</v>
      </c>
      <c r="K331" s="11">
        <v>429.0</v>
      </c>
      <c r="L331" s="11">
        <v>512.0</v>
      </c>
      <c r="M331" s="11">
        <v>367.0</v>
      </c>
      <c r="N331" s="11">
        <v>362.0</v>
      </c>
      <c r="O331" s="11">
        <v>472.0</v>
      </c>
      <c r="P331" s="11">
        <v>517.0</v>
      </c>
      <c r="Q331" s="11">
        <f t="shared" si="1"/>
        <v>617</v>
      </c>
      <c r="R331" s="11">
        <f t="shared" si="2"/>
        <v>941</v>
      </c>
      <c r="S331" s="11">
        <f t="shared" si="3"/>
        <v>729</v>
      </c>
      <c r="T331" s="11">
        <f t="shared" si="4"/>
        <v>989</v>
      </c>
      <c r="U331" s="10">
        <f>IF(Q331&gt;0,(I331/Q331-District!$B$4)*100,"")</f>
        <v>0.8827420634</v>
      </c>
      <c r="V331" s="10">
        <f>IF(R331&gt;0,(K331/R331-District!$B$5)*100,"")</f>
        <v>-4.160173501</v>
      </c>
      <c r="W331" s="10">
        <f>IF(S331&gt;0,(M331/S331-District!$B$6)*100,"")</f>
        <v>-0.6400851764</v>
      </c>
      <c r="X331" s="10">
        <f>IF(T331&gt;0,(O331/T331-District!$B$7)*100,"")</f>
        <v>-1.771447421</v>
      </c>
      <c r="Y331" s="28">
        <f t="shared" si="5"/>
        <v>4.16017256</v>
      </c>
      <c r="Z331" s="5">
        <f t="shared" si="6"/>
        <v>59</v>
      </c>
      <c r="AA331" s="28">
        <f t="shared" si="7"/>
        <v>4.160172772</v>
      </c>
      <c r="AB331" s="5">
        <f t="shared" si="8"/>
        <v>65</v>
      </c>
      <c r="AC331" s="28">
        <f t="shared" si="9"/>
        <v>1.771446432</v>
      </c>
      <c r="AD331" s="5">
        <f t="shared" si="10"/>
        <v>28</v>
      </c>
    </row>
    <row r="332" ht="15.75" customHeight="1">
      <c r="A332" s="5" t="s">
        <v>944</v>
      </c>
      <c r="B332" s="5" t="s">
        <v>445</v>
      </c>
      <c r="C332" s="5" t="s">
        <v>581</v>
      </c>
      <c r="D332" s="5">
        <v>930.0</v>
      </c>
      <c r="E332" s="5" t="s">
        <v>122</v>
      </c>
      <c r="F332" s="5" t="s">
        <v>582</v>
      </c>
      <c r="G332" s="5" t="s">
        <v>582</v>
      </c>
      <c r="H332" s="5" t="s">
        <v>582</v>
      </c>
      <c r="I332" s="11">
        <v>146.0</v>
      </c>
      <c r="J332" s="11">
        <v>146.0</v>
      </c>
      <c r="K332" s="11">
        <v>207.0</v>
      </c>
      <c r="L332" s="11">
        <v>289.0</v>
      </c>
      <c r="M332" s="11">
        <v>168.0</v>
      </c>
      <c r="N332" s="11">
        <v>194.0</v>
      </c>
      <c r="O332" s="11">
        <v>222.0</v>
      </c>
      <c r="P332" s="11">
        <v>276.0</v>
      </c>
      <c r="Q332" s="11">
        <f t="shared" si="1"/>
        <v>292</v>
      </c>
      <c r="R332" s="11">
        <f t="shared" si="2"/>
        <v>496</v>
      </c>
      <c r="S332" s="11">
        <f t="shared" si="3"/>
        <v>362</v>
      </c>
      <c r="T332" s="11">
        <f t="shared" si="4"/>
        <v>498</v>
      </c>
      <c r="U332" s="10">
        <f>IF(Q332&gt;0,(I332/Q332-District!$B$4)*100,"")</f>
        <v>-3.412233625</v>
      </c>
      <c r="V332" s="10">
        <f>IF(R332&gt;0,(K332/R332-District!$B$5)*100,"")</f>
        <v>-8.01610062</v>
      </c>
      <c r="W332" s="10">
        <f>IF(S332&gt;0,(M332/S332-District!$B$6)*100,"")</f>
        <v>-4.574180926</v>
      </c>
      <c r="X332" s="10">
        <f>IF(T332&gt;0,(O332/T332-District!$B$7)*100,"")</f>
        <v>-4.91810889</v>
      </c>
      <c r="Y332" s="28" t="str">
        <f t="shared" si="5"/>
        <v/>
      </c>
      <c r="Z332" s="5" t="str">
        <f t="shared" si="6"/>
        <v/>
      </c>
      <c r="AA332" s="28">
        <f t="shared" si="7"/>
        <v>8.016100258</v>
      </c>
      <c r="AB332" s="5">
        <f t="shared" si="8"/>
        <v>103</v>
      </c>
      <c r="AC332" s="28">
        <f t="shared" si="9"/>
        <v>4.918108392</v>
      </c>
      <c r="AD332" s="5">
        <f t="shared" si="10"/>
        <v>80</v>
      </c>
    </row>
    <row r="333" ht="15.75" customHeight="1">
      <c r="A333" s="5" t="s">
        <v>945</v>
      </c>
      <c r="B333" s="5" t="s">
        <v>445</v>
      </c>
      <c r="C333" s="5" t="s">
        <v>581</v>
      </c>
      <c r="D333" s="5">
        <v>940.0</v>
      </c>
      <c r="E333" s="5" t="s">
        <v>122</v>
      </c>
      <c r="F333" s="5" t="s">
        <v>584</v>
      </c>
      <c r="G333" s="5" t="s">
        <v>584</v>
      </c>
      <c r="H333" s="5" t="s">
        <v>584</v>
      </c>
      <c r="I333" s="11">
        <v>390.0</v>
      </c>
      <c r="J333" s="11">
        <v>375.0</v>
      </c>
      <c r="K333" s="11">
        <v>524.0</v>
      </c>
      <c r="L333" s="11">
        <v>554.0</v>
      </c>
      <c r="M333" s="11">
        <v>476.0</v>
      </c>
      <c r="N333" s="11">
        <v>440.0</v>
      </c>
      <c r="O333" s="11">
        <v>625.0</v>
      </c>
      <c r="P333" s="11">
        <v>613.0</v>
      </c>
      <c r="Q333" s="11">
        <f t="shared" si="1"/>
        <v>765</v>
      </c>
      <c r="R333" s="11">
        <f t="shared" si="2"/>
        <v>1078</v>
      </c>
      <c r="S333" s="11">
        <f t="shared" si="3"/>
        <v>916</v>
      </c>
      <c r="T333" s="11">
        <f t="shared" si="4"/>
        <v>1238</v>
      </c>
      <c r="U333" s="10">
        <f>IF(Q333&gt;0,(I333/Q333-District!$B$4)*100,"")</f>
        <v>-2.431841469</v>
      </c>
      <c r="V333" s="10">
        <f>IF(R333&gt;0,(K333/R333-District!$B$5)*100,"")</f>
        <v>-1.141437265</v>
      </c>
      <c r="W333" s="10">
        <f>IF(S333&gt;0,(M333/S333-District!$B$6)*100,"")</f>
        <v>0.9820447976</v>
      </c>
      <c r="X333" s="10">
        <f>IF(T333&gt;0,(O333/T333-District!$B$7)*100,"")</f>
        <v>0.988230523</v>
      </c>
      <c r="Y333" s="28">
        <f t="shared" si="5"/>
        <v>2.431840391</v>
      </c>
      <c r="Z333" s="5">
        <f t="shared" si="6"/>
        <v>26</v>
      </c>
      <c r="AA333" s="28">
        <f t="shared" si="7"/>
        <v>1.141436349</v>
      </c>
      <c r="AB333" s="5">
        <f t="shared" si="8"/>
        <v>8</v>
      </c>
      <c r="AC333" s="28">
        <f t="shared" si="9"/>
        <v>0.988229285</v>
      </c>
      <c r="AD333" s="5">
        <f t="shared" si="10"/>
        <v>7</v>
      </c>
    </row>
    <row r="334" ht="15.75" customHeight="1">
      <c r="A334" s="5" t="s">
        <v>946</v>
      </c>
      <c r="B334" s="5" t="s">
        <v>445</v>
      </c>
      <c r="C334" s="5" t="s">
        <v>585</v>
      </c>
      <c r="D334" s="5">
        <v>950.0</v>
      </c>
      <c r="E334" s="5" t="s">
        <v>122</v>
      </c>
      <c r="F334" s="5" t="s">
        <v>586</v>
      </c>
      <c r="G334" s="5" t="s">
        <v>586</v>
      </c>
      <c r="H334" s="5" t="s">
        <v>586</v>
      </c>
      <c r="I334" s="11">
        <v>404.0</v>
      </c>
      <c r="J334" s="11">
        <v>420.0</v>
      </c>
      <c r="K334" s="11">
        <v>582.0</v>
      </c>
      <c r="L334" s="11">
        <v>702.0</v>
      </c>
      <c r="M334" s="11">
        <v>471.0</v>
      </c>
      <c r="N334" s="11">
        <v>484.0</v>
      </c>
      <c r="O334" s="11">
        <v>628.0</v>
      </c>
      <c r="P334" s="11">
        <v>719.0</v>
      </c>
      <c r="Q334" s="11">
        <f t="shared" si="1"/>
        <v>824</v>
      </c>
      <c r="R334" s="11">
        <f t="shared" si="2"/>
        <v>1284</v>
      </c>
      <c r="S334" s="11">
        <f t="shared" si="3"/>
        <v>955</v>
      </c>
      <c r="T334" s="11">
        <f t="shared" si="4"/>
        <v>1347</v>
      </c>
      <c r="U334" s="10">
        <f>IF(Q334&gt;0,(I334/Q334-District!$B$4)*100,"")</f>
        <v>-4.383107412</v>
      </c>
      <c r="V334" s="10">
        <f>IF(R334&gt;0,(K334/R334-District!$B$5)*100,"")</f>
        <v>-4.422868784</v>
      </c>
      <c r="W334" s="10">
        <f>IF(S334&gt;0,(M334/S334-District!$B$6)*100,"")</f>
        <v>-1.663648977</v>
      </c>
      <c r="X334" s="10">
        <f>IF(T334&gt;0,(O334/T334-District!$B$7)*100,"")</f>
        <v>-2.874298906</v>
      </c>
      <c r="Y334" s="28">
        <f t="shared" si="5"/>
        <v>4.4228675</v>
      </c>
      <c r="Z334" s="5">
        <f t="shared" si="6"/>
        <v>62</v>
      </c>
      <c r="AA334" s="28">
        <f t="shared" si="7"/>
        <v>4.422867829</v>
      </c>
      <c r="AB334" s="5">
        <f t="shared" si="8"/>
        <v>68</v>
      </c>
      <c r="AC334" s="28">
        <f t="shared" si="9"/>
        <v>2.874297559</v>
      </c>
      <c r="AD334" s="5">
        <f t="shared" si="10"/>
        <v>51</v>
      </c>
    </row>
    <row r="335" ht="15.75" customHeight="1">
      <c r="A335" s="5" t="s">
        <v>947</v>
      </c>
      <c r="B335" s="5" t="s">
        <v>445</v>
      </c>
      <c r="C335" s="5" t="s">
        <v>585</v>
      </c>
      <c r="D335" s="5">
        <v>960.0</v>
      </c>
      <c r="E335" s="5" t="s">
        <v>122</v>
      </c>
      <c r="F335" s="5" t="s">
        <v>587</v>
      </c>
      <c r="G335" s="5" t="s">
        <v>587</v>
      </c>
      <c r="H335" s="5" t="s">
        <v>587</v>
      </c>
      <c r="I335" s="11">
        <v>361.0</v>
      </c>
      <c r="J335" s="11">
        <v>329.0</v>
      </c>
      <c r="K335" s="11">
        <v>518.0</v>
      </c>
      <c r="L335" s="11">
        <v>622.0</v>
      </c>
      <c r="M335" s="11">
        <v>423.0</v>
      </c>
      <c r="N335" s="11">
        <v>411.0</v>
      </c>
      <c r="O335" s="11">
        <v>588.0</v>
      </c>
      <c r="P335" s="11">
        <v>628.0</v>
      </c>
      <c r="Q335" s="11">
        <f t="shared" si="1"/>
        <v>690</v>
      </c>
      <c r="R335" s="11">
        <f t="shared" si="2"/>
        <v>1140</v>
      </c>
      <c r="S335" s="11">
        <f t="shared" si="3"/>
        <v>834</v>
      </c>
      <c r="T335" s="11">
        <f t="shared" si="4"/>
        <v>1216</v>
      </c>
      <c r="U335" s="10">
        <f>IF(Q335&gt;0,(I335/Q335-District!$B$4)*100,"")</f>
        <v>-1.093393046</v>
      </c>
      <c r="V335" s="10">
        <f>IF(R335&gt;0,(K335/R335-District!$B$5)*100,"")</f>
        <v>-4.311375096</v>
      </c>
      <c r="W335" s="10">
        <f>IF(S335&gt;0,(M335/S335-District!$B$6)*100,"")</f>
        <v>-0.2635962441</v>
      </c>
      <c r="X335" s="10">
        <f>IF(T335&gt;0,(O335/T335-District!$B$7)*100,"")</f>
        <v>-1.141158985</v>
      </c>
      <c r="Y335" s="28">
        <f t="shared" si="5"/>
        <v>4.311373956</v>
      </c>
      <c r="Z335" s="5">
        <f t="shared" si="6"/>
        <v>60</v>
      </c>
      <c r="AA335" s="28">
        <f t="shared" si="7"/>
        <v>4.311374262</v>
      </c>
      <c r="AB335" s="5">
        <f t="shared" si="8"/>
        <v>67</v>
      </c>
      <c r="AC335" s="28">
        <f t="shared" si="9"/>
        <v>1.141157769</v>
      </c>
      <c r="AD335" s="5">
        <f t="shared" si="10"/>
        <v>10</v>
      </c>
    </row>
    <row r="336" ht="15.75" customHeight="1">
      <c r="A336" s="5" t="s">
        <v>948</v>
      </c>
      <c r="B336" s="5" t="s">
        <v>445</v>
      </c>
      <c r="C336" s="5" t="s">
        <v>585</v>
      </c>
      <c r="D336" s="5">
        <v>970.0</v>
      </c>
      <c r="E336" s="5" t="s">
        <v>122</v>
      </c>
      <c r="F336" s="5" t="s">
        <v>588</v>
      </c>
      <c r="G336" s="5" t="s">
        <v>588</v>
      </c>
      <c r="H336" s="5" t="s">
        <v>588</v>
      </c>
      <c r="I336" s="11">
        <v>723.0</v>
      </c>
      <c r="J336" s="11">
        <v>723.0</v>
      </c>
      <c r="K336" s="11">
        <v>1003.0</v>
      </c>
      <c r="L336" s="11">
        <v>1306.0</v>
      </c>
      <c r="M336" s="11">
        <v>874.0</v>
      </c>
      <c r="N336" s="11">
        <v>886.0</v>
      </c>
      <c r="O336" s="11">
        <v>1120.0</v>
      </c>
      <c r="P336" s="11">
        <v>1352.0</v>
      </c>
      <c r="Q336" s="11">
        <f t="shared" si="1"/>
        <v>1446</v>
      </c>
      <c r="R336" s="11">
        <f t="shared" si="2"/>
        <v>2309</v>
      </c>
      <c r="S336" s="11">
        <f t="shared" si="3"/>
        <v>1760</v>
      </c>
      <c r="T336" s="11">
        <f t="shared" si="4"/>
        <v>2472</v>
      </c>
      <c r="U336" s="10">
        <f>IF(Q336&gt;0,(I336/Q336-District!$B$4)*100,"")</f>
        <v>-3.412233625</v>
      </c>
      <c r="V336" s="10">
        <f>IF(R336&gt;0,(K336/R336-District!$B$5)*100,"")</f>
        <v>-6.311253528</v>
      </c>
      <c r="W336" s="10">
        <f>IF(S336&gt;0,(M336/S336-District!$B$6)*100,"")</f>
        <v>-1.323929795</v>
      </c>
      <c r="X336" s="10">
        <f>IF(T336&gt;0,(O336/T336-District!$B$7)*100,"")</f>
        <v>-4.188978777</v>
      </c>
      <c r="Y336" s="28">
        <f t="shared" si="5"/>
        <v>6.311251219</v>
      </c>
      <c r="Z336" s="5">
        <f t="shared" si="6"/>
        <v>89</v>
      </c>
      <c r="AA336" s="28">
        <f t="shared" si="7"/>
        <v>6.311251768</v>
      </c>
      <c r="AB336" s="5">
        <f t="shared" si="8"/>
        <v>88</v>
      </c>
      <c r="AC336" s="28">
        <f t="shared" si="9"/>
        <v>4.188976305</v>
      </c>
      <c r="AD336" s="5">
        <f t="shared" si="10"/>
        <v>71</v>
      </c>
    </row>
    <row r="337" ht="15.75" customHeight="1">
      <c r="A337" s="5" t="s">
        <v>949</v>
      </c>
      <c r="B337" s="5" t="s">
        <v>445</v>
      </c>
      <c r="C337" s="5" t="s">
        <v>585</v>
      </c>
      <c r="D337" s="5">
        <v>980.0</v>
      </c>
      <c r="E337" s="5" t="s">
        <v>122</v>
      </c>
      <c r="F337" s="5" t="s">
        <v>589</v>
      </c>
      <c r="G337" s="5" t="s">
        <v>589</v>
      </c>
      <c r="H337" s="5" t="s">
        <v>589</v>
      </c>
      <c r="I337" s="11">
        <v>162.0</v>
      </c>
      <c r="J337" s="11">
        <v>162.0</v>
      </c>
      <c r="K337" s="11">
        <v>252.0</v>
      </c>
      <c r="L337" s="11">
        <v>304.0</v>
      </c>
      <c r="M337" s="11">
        <v>189.0</v>
      </c>
      <c r="N337" s="11">
        <v>189.0</v>
      </c>
      <c r="O337" s="11">
        <v>237.0</v>
      </c>
      <c r="P337" s="11">
        <v>324.0</v>
      </c>
      <c r="Q337" s="11">
        <f t="shared" si="1"/>
        <v>324</v>
      </c>
      <c r="R337" s="11">
        <f t="shared" si="2"/>
        <v>556</v>
      </c>
      <c r="S337" s="11">
        <f t="shared" si="3"/>
        <v>378</v>
      </c>
      <c r="T337" s="11">
        <f t="shared" si="4"/>
        <v>561</v>
      </c>
      <c r="U337" s="10">
        <f>IF(Q337&gt;0,(I337/Q337-District!$B$4)*100,"")</f>
        <v>-3.412233625</v>
      </c>
      <c r="V337" s="10">
        <f>IF(R337&gt;0,(K337/R337-District!$B$5)*100,"")</f>
        <v>-4.42623058</v>
      </c>
      <c r="W337" s="10">
        <f>IF(S337&gt;0,(M337/S337-District!$B$6)*100,"")</f>
        <v>-0.9830207046</v>
      </c>
      <c r="X337" s="10">
        <f>IF(T337&gt;0,(O337/T337-District!$B$7)*100,"")</f>
        <v>-7.250432838</v>
      </c>
      <c r="Y337" s="28">
        <f t="shared" si="5"/>
        <v>4.426230024</v>
      </c>
      <c r="Z337" s="5">
        <f t="shared" si="6"/>
        <v>63</v>
      </c>
      <c r="AA337" s="28">
        <f t="shared" si="7"/>
        <v>4.426230202</v>
      </c>
      <c r="AB337" s="5">
        <f t="shared" si="8"/>
        <v>69</v>
      </c>
      <c r="AC337" s="28">
        <f t="shared" si="9"/>
        <v>7.250432277</v>
      </c>
      <c r="AD337" s="5">
        <f t="shared" si="10"/>
        <v>104</v>
      </c>
    </row>
    <row r="338" ht="15.75" customHeight="1">
      <c r="A338" s="5" t="s">
        <v>950</v>
      </c>
      <c r="B338" s="5" t="s">
        <v>445</v>
      </c>
      <c r="C338" s="5" t="s">
        <v>590</v>
      </c>
      <c r="D338" s="5">
        <v>990.0</v>
      </c>
      <c r="E338" s="5" t="s">
        <v>829</v>
      </c>
      <c r="F338" s="5" t="s">
        <v>599</v>
      </c>
      <c r="G338" s="5" t="s">
        <v>599</v>
      </c>
      <c r="H338" s="5" t="s">
        <v>599</v>
      </c>
      <c r="I338" s="11">
        <v>900.0</v>
      </c>
      <c r="J338" s="11">
        <v>609.0</v>
      </c>
      <c r="K338" s="11">
        <v>1381.0</v>
      </c>
      <c r="L338" s="11">
        <v>1106.0</v>
      </c>
      <c r="M338" s="11">
        <v>1015.0</v>
      </c>
      <c r="N338" s="11">
        <v>743.0</v>
      </c>
      <c r="O338" s="11">
        <v>1321.0</v>
      </c>
      <c r="P338" s="11">
        <v>1098.0</v>
      </c>
      <c r="Q338" s="11">
        <f t="shared" si="1"/>
        <v>1509</v>
      </c>
      <c r="R338" s="11">
        <f t="shared" si="2"/>
        <v>2487</v>
      </c>
      <c r="S338" s="11">
        <f t="shared" si="3"/>
        <v>1758</v>
      </c>
      <c r="T338" s="11">
        <f t="shared" si="4"/>
        <v>2419</v>
      </c>
      <c r="U338" s="10">
        <f>IF(Q338&gt;0,(I338/Q338-District!$B$4)*100,"")</f>
        <v>6.229913492</v>
      </c>
      <c r="V338" s="10">
        <f>IF(R338&gt;0,(K338/R338-District!$B$5)*100,"")</f>
        <v>5.77877791</v>
      </c>
      <c r="W338" s="10">
        <f>IF(S338&gt;0,(M338/S338-District!$B$6)*100,"")</f>
        <v>6.753043004</v>
      </c>
      <c r="X338" s="10">
        <f>IF(T338&gt;0,(O338/T338-District!$B$7)*100,"")</f>
        <v>5.112920561</v>
      </c>
      <c r="Y338" s="28" t="str">
        <f t="shared" si="5"/>
        <v/>
      </c>
      <c r="Z338" s="5" t="str">
        <f t="shared" si="6"/>
        <v/>
      </c>
      <c r="AA338" s="28" t="str">
        <f t="shared" si="7"/>
        <v/>
      </c>
      <c r="AB338" s="5" t="str">
        <f t="shared" si="8"/>
        <v/>
      </c>
      <c r="AC338" s="28" t="str">
        <f t="shared" si="9"/>
        <v/>
      </c>
      <c r="AD338" s="5" t="str">
        <f t="shared" si="10"/>
        <v/>
      </c>
    </row>
    <row r="339" ht="15.75" customHeight="1">
      <c r="A339" s="5" t="s">
        <v>951</v>
      </c>
      <c r="B339" s="5" t="s">
        <v>445</v>
      </c>
      <c r="C339" s="5" t="s">
        <v>590</v>
      </c>
      <c r="D339" s="5">
        <v>1000.0</v>
      </c>
      <c r="E339" s="5" t="s">
        <v>829</v>
      </c>
      <c r="F339" s="5" t="s">
        <v>591</v>
      </c>
      <c r="G339" s="5" t="s">
        <v>591</v>
      </c>
      <c r="H339" s="5" t="s">
        <v>591</v>
      </c>
      <c r="I339" s="11">
        <v>491.0</v>
      </c>
      <c r="J339" s="11">
        <v>442.0</v>
      </c>
      <c r="K339" s="11">
        <v>632.0</v>
      </c>
      <c r="L339" s="11">
        <v>698.0</v>
      </c>
      <c r="M339" s="11">
        <v>497.0</v>
      </c>
      <c r="N339" s="11">
        <v>505.0</v>
      </c>
      <c r="O339" s="11">
        <v>600.0</v>
      </c>
      <c r="P339" s="11">
        <v>681.0</v>
      </c>
      <c r="Q339" s="11">
        <f t="shared" si="1"/>
        <v>933</v>
      </c>
      <c r="R339" s="11">
        <f t="shared" si="2"/>
        <v>1330</v>
      </c>
      <c r="S339" s="11">
        <f t="shared" si="3"/>
        <v>1002</v>
      </c>
      <c r="T339" s="11">
        <f t="shared" si="4"/>
        <v>1281</v>
      </c>
      <c r="U339" s="10">
        <f>IF(Q339&gt;0,(I339/Q339-District!$B$4)*100,"")</f>
        <v>-0.7862957905</v>
      </c>
      <c r="V339" s="10">
        <f>IF(R339&gt;0,(K339/R339-District!$B$5)*100,"")</f>
        <v>-2.231174595</v>
      </c>
      <c r="W339" s="10">
        <f>IF(S339&gt;0,(M339/S339-District!$B$6)*100,"")</f>
        <v>-1.382222301</v>
      </c>
      <c r="X339" s="10">
        <f>IF(T339&gt;0,(O339/T339-District!$B$7)*100,"")</f>
        <v>-2.658014648</v>
      </c>
      <c r="Y339" s="28" t="str">
        <f t="shared" si="5"/>
        <v/>
      </c>
      <c r="Z339" s="5" t="str">
        <f t="shared" si="6"/>
        <v/>
      </c>
      <c r="AA339" s="28" t="str">
        <f t="shared" si="7"/>
        <v/>
      </c>
      <c r="AB339" s="5" t="str">
        <f t="shared" si="8"/>
        <v/>
      </c>
      <c r="AC339" s="28" t="str">
        <f t="shared" si="9"/>
        <v/>
      </c>
      <c r="AD339" s="5" t="str">
        <f t="shared" si="10"/>
        <v/>
      </c>
    </row>
    <row r="340" ht="15.75" customHeight="1">
      <c r="A340" s="5" t="s">
        <v>952</v>
      </c>
      <c r="B340" s="5" t="s">
        <v>445</v>
      </c>
      <c r="C340" s="5" t="s">
        <v>590</v>
      </c>
      <c r="D340" s="5">
        <v>1005.0</v>
      </c>
      <c r="E340" s="5" t="s">
        <v>829</v>
      </c>
      <c r="F340" s="5"/>
      <c r="G340" s="5"/>
      <c r="H340" s="5"/>
      <c r="I340" s="11"/>
      <c r="J340" s="11"/>
      <c r="K340" s="11"/>
      <c r="L340" s="11"/>
      <c r="M340" s="11"/>
      <c r="N340" s="11"/>
      <c r="O340" s="11"/>
      <c r="P340" s="11"/>
      <c r="Q340" s="11">
        <f t="shared" si="1"/>
        <v>0</v>
      </c>
      <c r="R340" s="11">
        <f t="shared" si="2"/>
        <v>0</v>
      </c>
      <c r="S340" s="11">
        <f t="shared" si="3"/>
        <v>0</v>
      </c>
      <c r="T340" s="11">
        <f t="shared" si="4"/>
        <v>0</v>
      </c>
      <c r="U340" s="10" t="str">
        <f>IF(Q340&gt;0,(I340/Q340-District!$B$4)*100,"")</f>
        <v/>
      </c>
      <c r="V340" s="10" t="str">
        <f>IF(R340&gt;0,(K340/R340-District!$B$5)*100,"")</f>
        <v/>
      </c>
      <c r="W340" s="10" t="str">
        <f>IF(S340&gt;0,(M340/S340-District!$B$6)*100,"")</f>
        <v/>
      </c>
      <c r="X340" s="10" t="str">
        <f>IF(T340&gt;0,(O340/T340-District!$B$7)*100,"")</f>
        <v/>
      </c>
      <c r="Y340" s="28" t="str">
        <f t="shared" si="5"/>
        <v/>
      </c>
      <c r="Z340" s="5" t="str">
        <f t="shared" si="6"/>
        <v/>
      </c>
      <c r="AA340" s="28" t="str">
        <f t="shared" si="7"/>
        <v/>
      </c>
      <c r="AB340" s="5" t="str">
        <f t="shared" si="8"/>
        <v/>
      </c>
      <c r="AC340" s="28" t="str">
        <f t="shared" si="9"/>
        <v/>
      </c>
      <c r="AD340" s="5" t="str">
        <f t="shared" si="10"/>
        <v/>
      </c>
    </row>
    <row r="341" ht="15.75" customHeight="1">
      <c r="A341" s="5" t="s">
        <v>953</v>
      </c>
      <c r="B341" s="5" t="s">
        <v>445</v>
      </c>
      <c r="C341" s="5" t="s">
        <v>590</v>
      </c>
      <c r="D341" s="5">
        <v>1010.0</v>
      </c>
      <c r="E341" s="5" t="s">
        <v>829</v>
      </c>
      <c r="F341" s="5" t="s">
        <v>592</v>
      </c>
      <c r="G341" s="5" t="s">
        <v>592</v>
      </c>
      <c r="H341" s="5" t="s">
        <v>592</v>
      </c>
      <c r="I341" s="11">
        <v>515.0</v>
      </c>
      <c r="J341" s="11">
        <v>483.0</v>
      </c>
      <c r="K341" s="11">
        <v>744.0</v>
      </c>
      <c r="L341" s="11">
        <v>753.0</v>
      </c>
      <c r="M341" s="11">
        <v>616.0</v>
      </c>
      <c r="N341" s="11">
        <v>541.0</v>
      </c>
      <c r="O341" s="11">
        <v>824.0</v>
      </c>
      <c r="P341" s="11">
        <v>795.0</v>
      </c>
      <c r="Q341" s="11">
        <f t="shared" si="1"/>
        <v>998</v>
      </c>
      <c r="R341" s="11">
        <f t="shared" si="2"/>
        <v>1497</v>
      </c>
      <c r="S341" s="11">
        <f t="shared" si="3"/>
        <v>1157</v>
      </c>
      <c r="T341" s="11">
        <f t="shared" si="4"/>
        <v>1619</v>
      </c>
      <c r="U341" s="10">
        <f>IF(Q341&gt;0,(I341/Q341-District!$B$4)*100,"")</f>
        <v>-1.809027213</v>
      </c>
      <c r="V341" s="10">
        <f>IF(R341&gt;0,(K341/R341-District!$B$5)*100,"")</f>
        <v>-0.05057279009</v>
      </c>
      <c r="W341" s="10">
        <f>IF(S341&gt;0,(M341/S341-District!$B$6)*100,"")</f>
        <v>2.258120177</v>
      </c>
      <c r="X341" s="10">
        <f>IF(T341&gt;0,(O341/T341-District!$B$7)*100,"")</f>
        <v>1.399192434</v>
      </c>
      <c r="Y341" s="28" t="str">
        <f t="shared" si="5"/>
        <v/>
      </c>
      <c r="Z341" s="5" t="str">
        <f t="shared" si="6"/>
        <v/>
      </c>
      <c r="AA341" s="28" t="str">
        <f t="shared" si="7"/>
        <v/>
      </c>
      <c r="AB341" s="5" t="str">
        <f t="shared" si="8"/>
        <v/>
      </c>
      <c r="AC341" s="28" t="str">
        <f t="shared" si="9"/>
        <v/>
      </c>
      <c r="AD341" s="5" t="str">
        <f t="shared" si="10"/>
        <v/>
      </c>
    </row>
    <row r="342" ht="15.75" customHeight="1">
      <c r="A342" s="5" t="s">
        <v>954</v>
      </c>
      <c r="B342" s="5" t="s">
        <v>445</v>
      </c>
      <c r="C342" s="5" t="s">
        <v>590</v>
      </c>
      <c r="D342" s="5">
        <v>1020.0</v>
      </c>
      <c r="E342" s="5" t="s">
        <v>829</v>
      </c>
      <c r="F342" s="5" t="s">
        <v>593</v>
      </c>
      <c r="G342" s="5" t="s">
        <v>593</v>
      </c>
      <c r="H342" s="5" t="s">
        <v>593</v>
      </c>
      <c r="I342" s="11">
        <v>769.0</v>
      </c>
      <c r="J342" s="11">
        <v>753.0</v>
      </c>
      <c r="K342" s="11">
        <v>1109.0</v>
      </c>
      <c r="L342" s="11">
        <v>1280.0</v>
      </c>
      <c r="M342" s="11">
        <v>885.0</v>
      </c>
      <c r="N342" s="11">
        <v>945.0</v>
      </c>
      <c r="O342" s="11">
        <v>1193.0</v>
      </c>
      <c r="P342" s="11">
        <v>1334.0</v>
      </c>
      <c r="Q342" s="11">
        <f t="shared" si="1"/>
        <v>1522</v>
      </c>
      <c r="R342" s="11">
        <f t="shared" si="2"/>
        <v>2389</v>
      </c>
      <c r="S342" s="11">
        <f t="shared" si="3"/>
        <v>1830</v>
      </c>
      <c r="T342" s="11">
        <f t="shared" si="4"/>
        <v>2527</v>
      </c>
      <c r="U342" s="10">
        <f>IF(Q342&gt;0,(I342/Q342-District!$B$4)*100,"")</f>
        <v>-2.886609447</v>
      </c>
      <c r="V342" s="10">
        <f>IF(R342&gt;0,(K342/R342-District!$B$5)*100,"")</f>
        <v>-3.328874895</v>
      </c>
      <c r="W342" s="10">
        <f>IF(S342&gt;0,(M342/S342-District!$B$6)*100,"")</f>
        <v>-2.622364967</v>
      </c>
      <c r="X342" s="10">
        <f>IF(T342&gt;0,(O342/T342-District!$B$7)*100,"")</f>
        <v>-2.286291553</v>
      </c>
      <c r="Y342" s="28" t="str">
        <f t="shared" si="5"/>
        <v/>
      </c>
      <c r="Z342" s="5" t="str">
        <f t="shared" si="6"/>
        <v/>
      </c>
      <c r="AA342" s="28" t="str">
        <f t="shared" si="7"/>
        <v/>
      </c>
      <c r="AB342" s="5" t="str">
        <f t="shared" si="8"/>
        <v/>
      </c>
      <c r="AC342" s="28" t="str">
        <f t="shared" si="9"/>
        <v/>
      </c>
      <c r="AD342" s="5" t="str">
        <f t="shared" si="10"/>
        <v/>
      </c>
    </row>
    <row r="343" ht="15.75" customHeight="1">
      <c r="A343" s="5" t="s">
        <v>955</v>
      </c>
      <c r="B343" s="5" t="s">
        <v>445</v>
      </c>
      <c r="C343" s="5" t="s">
        <v>590</v>
      </c>
      <c r="D343" s="5">
        <v>1030.0</v>
      </c>
      <c r="E343" s="5" t="s">
        <v>829</v>
      </c>
      <c r="F343" s="5" t="s">
        <v>594</v>
      </c>
      <c r="G343" s="5" t="s">
        <v>594</v>
      </c>
      <c r="H343" s="5" t="s">
        <v>594</v>
      </c>
      <c r="I343" s="11">
        <v>1294.0</v>
      </c>
      <c r="J343" s="11">
        <v>949.0</v>
      </c>
      <c r="K343" s="11">
        <v>1720.0</v>
      </c>
      <c r="L343" s="11">
        <v>1542.0</v>
      </c>
      <c r="M343" s="11">
        <v>1457.0</v>
      </c>
      <c r="N343" s="11">
        <v>1179.0</v>
      </c>
      <c r="O343" s="11">
        <v>1923.0</v>
      </c>
      <c r="P343" s="11">
        <v>1578.0</v>
      </c>
      <c r="Q343" s="11">
        <f t="shared" si="1"/>
        <v>2243</v>
      </c>
      <c r="R343" s="11">
        <f t="shared" si="2"/>
        <v>3262</v>
      </c>
      <c r="S343" s="11">
        <f t="shared" si="3"/>
        <v>2636</v>
      </c>
      <c r="T343" s="11">
        <f t="shared" si="4"/>
        <v>3501</v>
      </c>
      <c r="U343" s="10">
        <f>IF(Q343&gt;0,(I343/Q343-District!$B$4)*100,"")</f>
        <v>4.27835933</v>
      </c>
      <c r="V343" s="10">
        <f>IF(R343&gt;0,(K343/R343-District!$B$5)*100,"")</f>
        <v>2.978415905</v>
      </c>
      <c r="W343" s="10">
        <f>IF(S343&gt;0,(M343/S343-District!$B$6)*100,"")</f>
        <v>4.290120418</v>
      </c>
      <c r="X343" s="10">
        <f>IF(T343&gt;0,(O343/T343-District!$B$7)*100,"")</f>
        <v>5.430741525</v>
      </c>
      <c r="Y343" s="28" t="str">
        <f t="shared" si="5"/>
        <v/>
      </c>
      <c r="Z343" s="5" t="str">
        <f t="shared" si="6"/>
        <v/>
      </c>
      <c r="AA343" s="28" t="str">
        <f t="shared" si="7"/>
        <v/>
      </c>
      <c r="AB343" s="5" t="str">
        <f t="shared" si="8"/>
        <v/>
      </c>
      <c r="AC343" s="28" t="str">
        <f t="shared" si="9"/>
        <v/>
      </c>
      <c r="AD343" s="5" t="str">
        <f t="shared" si="10"/>
        <v/>
      </c>
    </row>
    <row r="344" ht="15.75" customHeight="1">
      <c r="A344" s="5" t="s">
        <v>956</v>
      </c>
      <c r="B344" s="5" t="s">
        <v>445</v>
      </c>
      <c r="C344" s="5" t="s">
        <v>590</v>
      </c>
      <c r="D344" s="5">
        <v>1040.0</v>
      </c>
      <c r="E344" s="5" t="s">
        <v>829</v>
      </c>
      <c r="F344" s="5" t="s">
        <v>597</v>
      </c>
      <c r="G344" s="5" t="s">
        <v>597</v>
      </c>
      <c r="H344" s="5" t="s">
        <v>597</v>
      </c>
      <c r="I344" s="11">
        <v>554.0</v>
      </c>
      <c r="J344" s="11">
        <v>591.0</v>
      </c>
      <c r="K344" s="11">
        <v>739.0</v>
      </c>
      <c r="L344" s="11">
        <v>808.0</v>
      </c>
      <c r="M344" s="11">
        <v>640.0</v>
      </c>
      <c r="N344" s="11">
        <v>661.0</v>
      </c>
      <c r="O344" s="11">
        <v>755.0</v>
      </c>
      <c r="P344" s="11">
        <v>789.0</v>
      </c>
      <c r="Q344" s="11">
        <f t="shared" si="1"/>
        <v>1145</v>
      </c>
      <c r="R344" s="11">
        <f t="shared" si="2"/>
        <v>1547</v>
      </c>
      <c r="S344" s="11">
        <f t="shared" si="3"/>
        <v>1301</v>
      </c>
      <c r="T344" s="11">
        <f t="shared" si="4"/>
        <v>1544</v>
      </c>
      <c r="U344" s="10">
        <f>IF(Q344&gt;0,(I344/Q344-District!$B$4)*100,"")</f>
        <v>-5.027954149</v>
      </c>
      <c r="V344" s="10">
        <f>IF(R344&gt;0,(K344/R344-District!$B$5)*100,"")</f>
        <v>-1.980094406</v>
      </c>
      <c r="W344" s="10">
        <f>IF(S344&gt;0,(M344/S344-District!$B$6)*100,"")</f>
        <v>-1.790092188</v>
      </c>
      <c r="X344" s="10">
        <f>IF(T344&gt;0,(O344/T344-District!$B$7)*100,"")</f>
        <v>-0.597458412</v>
      </c>
      <c r="Y344" s="28" t="str">
        <f t="shared" si="5"/>
        <v/>
      </c>
      <c r="Z344" s="5" t="str">
        <f t="shared" si="6"/>
        <v/>
      </c>
      <c r="AA344" s="28" t="str">
        <f t="shared" si="7"/>
        <v/>
      </c>
      <c r="AB344" s="5" t="str">
        <f t="shared" si="8"/>
        <v/>
      </c>
      <c r="AC344" s="28" t="str">
        <f t="shared" si="9"/>
        <v/>
      </c>
      <c r="AD344" s="5" t="str">
        <f t="shared" si="10"/>
        <v/>
      </c>
    </row>
    <row r="345" ht="15.75" customHeight="1">
      <c r="A345" s="5" t="s">
        <v>957</v>
      </c>
      <c r="B345" s="5" t="s">
        <v>445</v>
      </c>
      <c r="C345" s="5" t="s">
        <v>590</v>
      </c>
      <c r="D345" s="5">
        <v>1045.0</v>
      </c>
      <c r="E345" s="5" t="s">
        <v>829</v>
      </c>
      <c r="F345" s="5"/>
      <c r="G345" s="5"/>
      <c r="H345" s="5"/>
      <c r="I345" s="11"/>
      <c r="J345" s="11"/>
      <c r="K345" s="11"/>
      <c r="L345" s="11"/>
      <c r="M345" s="11"/>
      <c r="N345" s="11"/>
      <c r="O345" s="11"/>
      <c r="P345" s="11"/>
      <c r="Q345" s="11">
        <f t="shared" si="1"/>
        <v>0</v>
      </c>
      <c r="R345" s="11">
        <f t="shared" si="2"/>
        <v>0</v>
      </c>
      <c r="S345" s="11">
        <f t="shared" si="3"/>
        <v>0</v>
      </c>
      <c r="T345" s="11">
        <f t="shared" si="4"/>
        <v>0</v>
      </c>
      <c r="U345" s="10" t="str">
        <f>IF(Q345&gt;0,(I345/Q345-District!$B$4)*100,"")</f>
        <v/>
      </c>
      <c r="V345" s="10" t="str">
        <f>IF(R345&gt;0,(K345/R345-District!$B$5)*100,"")</f>
        <v/>
      </c>
      <c r="W345" s="10" t="str">
        <f>IF(S345&gt;0,(M345/S345-District!$B$6)*100,"")</f>
        <v/>
      </c>
      <c r="X345" s="10" t="str">
        <f>IF(T345&gt;0,(O345/T345-District!$B$7)*100,"")</f>
        <v/>
      </c>
      <c r="Y345" s="28" t="str">
        <f t="shared" si="5"/>
        <v/>
      </c>
      <c r="Z345" s="5" t="str">
        <f t="shared" si="6"/>
        <v/>
      </c>
      <c r="AA345" s="28" t="str">
        <f t="shared" si="7"/>
        <v/>
      </c>
      <c r="AB345" s="5" t="str">
        <f t="shared" si="8"/>
        <v/>
      </c>
      <c r="AC345" s="28" t="str">
        <f t="shared" si="9"/>
        <v/>
      </c>
      <c r="AD345" s="5" t="str">
        <f t="shared" si="10"/>
        <v/>
      </c>
    </row>
    <row r="346" ht="15.75" customHeight="1">
      <c r="A346" s="5" t="s">
        <v>958</v>
      </c>
      <c r="B346" s="5" t="s">
        <v>445</v>
      </c>
      <c r="C346" s="5" t="s">
        <v>590</v>
      </c>
      <c r="D346" s="5">
        <v>1050.0</v>
      </c>
      <c r="E346" s="5" t="s">
        <v>829</v>
      </c>
      <c r="F346" s="5" t="s">
        <v>598</v>
      </c>
      <c r="G346" s="5" t="s">
        <v>598</v>
      </c>
      <c r="H346" s="5" t="s">
        <v>598</v>
      </c>
      <c r="I346" s="11">
        <v>281.0</v>
      </c>
      <c r="J346" s="11">
        <v>268.0</v>
      </c>
      <c r="K346" s="11">
        <v>373.0</v>
      </c>
      <c r="L346" s="11">
        <v>443.0</v>
      </c>
      <c r="M346" s="11">
        <v>293.0</v>
      </c>
      <c r="N346" s="11">
        <v>336.0</v>
      </c>
      <c r="O346" s="11">
        <v>358.0</v>
      </c>
      <c r="P346" s="11">
        <v>461.0</v>
      </c>
      <c r="Q346" s="11">
        <f t="shared" si="1"/>
        <v>549</v>
      </c>
      <c r="R346" s="11">
        <f t="shared" si="2"/>
        <v>816</v>
      </c>
      <c r="S346" s="11">
        <f t="shared" si="3"/>
        <v>629</v>
      </c>
      <c r="T346" s="11">
        <f t="shared" si="4"/>
        <v>819</v>
      </c>
      <c r="U346" s="10">
        <f>IF(Q346&gt;0,(I346/Q346-District!$B$4)*100,"")</f>
        <v>-2.228262769</v>
      </c>
      <c r="V346" s="10">
        <f>IF(R346&gt;0,(K346/R346-District!$B$5)*100,"")</f>
        <v>-4.039187274</v>
      </c>
      <c r="W346" s="10">
        <f>IF(S346&gt;0,(M346/S346-District!$B$6)*100,"")</f>
        <v>-4.401144711</v>
      </c>
      <c r="X346" s="10">
        <f>IF(T346&gt;0,(O346/T346-District!$B$7)*100,"")</f>
        <v>-5.784578431</v>
      </c>
      <c r="Y346" s="28" t="str">
        <f t="shared" si="5"/>
        <v/>
      </c>
      <c r="Z346" s="5" t="str">
        <f t="shared" si="6"/>
        <v/>
      </c>
      <c r="AA346" s="28" t="str">
        <f t="shared" si="7"/>
        <v/>
      </c>
      <c r="AB346" s="5" t="str">
        <f t="shared" si="8"/>
        <v/>
      </c>
      <c r="AC346" s="28" t="str">
        <f t="shared" si="9"/>
        <v/>
      </c>
      <c r="AD346" s="5" t="str">
        <f t="shared" si="10"/>
        <v/>
      </c>
    </row>
    <row r="347" ht="15.75" customHeight="1">
      <c r="A347" s="5" t="s">
        <v>959</v>
      </c>
      <c r="B347" s="5" t="s">
        <v>445</v>
      </c>
      <c r="C347" s="5" t="s">
        <v>600</v>
      </c>
      <c r="D347" s="5">
        <v>1060.0</v>
      </c>
      <c r="E347" s="5" t="s">
        <v>122</v>
      </c>
      <c r="F347" s="5" t="s">
        <v>601</v>
      </c>
      <c r="G347" s="5" t="s">
        <v>601</v>
      </c>
      <c r="H347" s="5" t="s">
        <v>601</v>
      </c>
      <c r="I347" s="11">
        <v>71.0</v>
      </c>
      <c r="J347" s="11">
        <v>87.0</v>
      </c>
      <c r="K347" s="11">
        <v>92.0</v>
      </c>
      <c r="L347" s="11">
        <v>174.0</v>
      </c>
      <c r="M347" s="11">
        <v>79.0</v>
      </c>
      <c r="N347" s="11">
        <v>114.0</v>
      </c>
      <c r="O347" s="11">
        <v>112.0</v>
      </c>
      <c r="P347" s="11">
        <v>199.0</v>
      </c>
      <c r="Q347" s="11">
        <f t="shared" si="1"/>
        <v>158</v>
      </c>
      <c r="R347" s="11">
        <f t="shared" si="2"/>
        <v>266</v>
      </c>
      <c r="S347" s="11">
        <f t="shared" si="3"/>
        <v>193</v>
      </c>
      <c r="T347" s="11">
        <f t="shared" si="4"/>
        <v>311</v>
      </c>
      <c r="U347" s="10">
        <f>IF(Q347&gt;0,(I347/Q347-District!$B$4)*100,"")</f>
        <v>-8.475524765</v>
      </c>
      <c r="V347" s="10">
        <f>IF(R347&gt;0,(K347/R347-District!$B$5)*100,"")</f>
        <v>-15.16350542</v>
      </c>
      <c r="W347" s="10">
        <f>IF(S347&gt;0,(M347/S347-District!$B$6)*100,"")</f>
        <v>-10.05037822</v>
      </c>
      <c r="X347" s="10">
        <f>IF(T347&gt;0,(O347/T347-District!$B$7)*100,"")</f>
        <v>-13.48356041</v>
      </c>
      <c r="Y347" s="28" t="str">
        <f t="shared" si="5"/>
        <v/>
      </c>
      <c r="Z347" s="5" t="str">
        <f t="shared" si="6"/>
        <v/>
      </c>
      <c r="AA347" s="28" t="str">
        <f t="shared" si="7"/>
        <v/>
      </c>
      <c r="AB347" s="5" t="str">
        <f t="shared" si="8"/>
        <v/>
      </c>
      <c r="AC347" s="28" t="str">
        <f t="shared" si="9"/>
        <v/>
      </c>
      <c r="AD347" s="5" t="str">
        <f t="shared" si="10"/>
        <v/>
      </c>
    </row>
    <row r="348" ht="15.75" customHeight="1">
      <c r="A348" s="5" t="s">
        <v>960</v>
      </c>
      <c r="B348" s="5" t="s">
        <v>445</v>
      </c>
      <c r="C348" s="5" t="s">
        <v>600</v>
      </c>
      <c r="D348" s="5">
        <v>1070.0</v>
      </c>
      <c r="E348" s="5" t="s">
        <v>122</v>
      </c>
      <c r="F348" s="5" t="s">
        <v>602</v>
      </c>
      <c r="G348" s="5" t="s">
        <v>602</v>
      </c>
      <c r="H348" s="5" t="s">
        <v>602</v>
      </c>
      <c r="I348" s="11">
        <v>169.0</v>
      </c>
      <c r="J348" s="11">
        <v>336.0</v>
      </c>
      <c r="K348" s="11">
        <v>244.0</v>
      </c>
      <c r="L348" s="11">
        <v>464.0</v>
      </c>
      <c r="M348" s="11">
        <v>196.0</v>
      </c>
      <c r="N348" s="11">
        <v>365.0</v>
      </c>
      <c r="O348" s="11">
        <v>259.0</v>
      </c>
      <c r="P348" s="11">
        <v>480.0</v>
      </c>
      <c r="Q348" s="11">
        <f t="shared" si="1"/>
        <v>505</v>
      </c>
      <c r="R348" s="11">
        <f t="shared" si="2"/>
        <v>708</v>
      </c>
      <c r="S348" s="11">
        <f t="shared" si="3"/>
        <v>561</v>
      </c>
      <c r="T348" s="11">
        <f t="shared" si="4"/>
        <v>739</v>
      </c>
      <c r="U348" s="10">
        <f>IF(Q348&gt;0,(I348/Q348-District!$B$4)*100,"")</f>
        <v>-19.94688709</v>
      </c>
      <c r="V348" s="10">
        <f>IF(R348&gt;0,(K348/R348-District!$B$5)*100,"")</f>
        <v>-15.28669475</v>
      </c>
      <c r="W348" s="10">
        <f>IF(S348&gt;0,(M348/S348-District!$B$6)*100,"")</f>
        <v>-16.0454093</v>
      </c>
      <c r="X348" s="10">
        <f>IF(T348&gt;0,(O348/T348-District!$B$7)*100,"")</f>
        <v>-14.44906084</v>
      </c>
      <c r="Y348" s="28">
        <f t="shared" si="5"/>
        <v>19.94688638</v>
      </c>
      <c r="Z348" s="5">
        <f t="shared" si="6"/>
        <v>223</v>
      </c>
      <c r="AA348" s="28">
        <f t="shared" si="7"/>
        <v>16.04540874</v>
      </c>
      <c r="AB348" s="5">
        <f t="shared" si="8"/>
        <v>177</v>
      </c>
      <c r="AC348" s="28">
        <f t="shared" si="9"/>
        <v>16.04540856</v>
      </c>
      <c r="AD348" s="5">
        <f t="shared" si="10"/>
        <v>201</v>
      </c>
    </row>
    <row r="349" ht="15.75" customHeight="1">
      <c r="A349" s="5" t="s">
        <v>961</v>
      </c>
      <c r="B349" s="5" t="s">
        <v>445</v>
      </c>
      <c r="C349" s="5" t="s">
        <v>600</v>
      </c>
      <c r="D349" s="5">
        <v>1080.0</v>
      </c>
      <c r="E349" s="5" t="s">
        <v>122</v>
      </c>
      <c r="F349" s="5" t="s">
        <v>603</v>
      </c>
      <c r="G349" s="5" t="s">
        <v>603</v>
      </c>
      <c r="H349" s="5" t="s">
        <v>603</v>
      </c>
      <c r="I349" s="11">
        <v>154.0</v>
      </c>
      <c r="J349" s="11">
        <v>168.0</v>
      </c>
      <c r="K349" s="11">
        <v>212.0</v>
      </c>
      <c r="L349" s="11">
        <v>277.0</v>
      </c>
      <c r="M349" s="11">
        <v>145.0</v>
      </c>
      <c r="N349" s="11">
        <v>194.0</v>
      </c>
      <c r="O349" s="11">
        <v>204.0</v>
      </c>
      <c r="P349" s="11">
        <v>301.0</v>
      </c>
      <c r="Q349" s="11">
        <f t="shared" si="1"/>
        <v>322</v>
      </c>
      <c r="R349" s="11">
        <f t="shared" si="2"/>
        <v>489</v>
      </c>
      <c r="S349" s="11">
        <f t="shared" si="3"/>
        <v>339</v>
      </c>
      <c r="T349" s="11">
        <f t="shared" si="4"/>
        <v>505</v>
      </c>
      <c r="U349" s="10">
        <f>IF(Q349&gt;0,(I349/Q349-District!$B$4)*100,"")</f>
        <v>-5.586146669</v>
      </c>
      <c r="V349" s="10">
        <f>IF(R349&gt;0,(K349/R349-District!$B$5)*100,"")</f>
        <v>-6.396188357</v>
      </c>
      <c r="W349" s="10">
        <f>IF(S349&gt;0,(M349/S349-District!$B$6)*100,"")</f>
        <v>-8.210159348</v>
      </c>
      <c r="X349" s="10">
        <f>IF(T349&gt;0,(O349/T349-District!$B$7)*100,"")</f>
        <v>-9.100382539</v>
      </c>
      <c r="Y349" s="28">
        <f t="shared" si="5"/>
        <v>6.396187868</v>
      </c>
      <c r="Z349" s="5">
        <f t="shared" si="6"/>
        <v>91</v>
      </c>
      <c r="AA349" s="28">
        <f t="shared" si="7"/>
        <v>8.210159009</v>
      </c>
      <c r="AB349" s="5">
        <f t="shared" si="8"/>
        <v>107</v>
      </c>
      <c r="AC349" s="28">
        <f t="shared" si="9"/>
        <v>9.100382034</v>
      </c>
      <c r="AD349" s="5">
        <f t="shared" si="10"/>
        <v>123</v>
      </c>
    </row>
    <row r="350" ht="15.75" customHeight="1">
      <c r="A350" s="5" t="s">
        <v>962</v>
      </c>
      <c r="B350" s="5" t="s">
        <v>445</v>
      </c>
      <c r="C350" s="5" t="s">
        <v>600</v>
      </c>
      <c r="D350" s="5">
        <v>1090.0</v>
      </c>
      <c r="E350" s="5" t="s">
        <v>122</v>
      </c>
      <c r="F350" s="5" t="s">
        <v>604</v>
      </c>
      <c r="G350" s="5" t="s">
        <v>604</v>
      </c>
      <c r="H350" s="5" t="s">
        <v>604</v>
      </c>
      <c r="I350" s="11">
        <v>90.0</v>
      </c>
      <c r="J350" s="11">
        <v>94.0</v>
      </c>
      <c r="K350" s="11">
        <v>130.0</v>
      </c>
      <c r="L350" s="11">
        <v>174.0</v>
      </c>
      <c r="M350" s="11">
        <v>91.0</v>
      </c>
      <c r="N350" s="11">
        <v>105.0</v>
      </c>
      <c r="O350" s="11">
        <v>128.0</v>
      </c>
      <c r="P350" s="11">
        <v>200.0</v>
      </c>
      <c r="Q350" s="11">
        <f t="shared" si="1"/>
        <v>184</v>
      </c>
      <c r="R350" s="11">
        <f t="shared" si="2"/>
        <v>304</v>
      </c>
      <c r="S350" s="11">
        <f t="shared" si="3"/>
        <v>196</v>
      </c>
      <c r="T350" s="11">
        <f t="shared" si="4"/>
        <v>328</v>
      </c>
      <c r="U350" s="10">
        <f>IF(Q350&gt;0,(I350/Q350-District!$B$4)*100,"")</f>
        <v>-4.499190147</v>
      </c>
      <c r="V350" s="10">
        <f>IF(R350&gt;0,(K350/R350-District!$B$5)*100,"")</f>
        <v>-6.986813693</v>
      </c>
      <c r="W350" s="10">
        <f>IF(S350&gt;0,(M350/S350-District!$B$6)*100,"")</f>
        <v>-4.554449276</v>
      </c>
      <c r="X350" s="10">
        <f>IF(T350&gt;0,(O350/T350-District!$B$7)*100,"")</f>
        <v>-10.4720319</v>
      </c>
      <c r="Y350" s="28" t="str">
        <f t="shared" si="5"/>
        <v/>
      </c>
      <c r="Z350" s="5" t="str">
        <f t="shared" si="6"/>
        <v/>
      </c>
      <c r="AA350" s="28" t="str">
        <f t="shared" si="7"/>
        <v/>
      </c>
      <c r="AB350" s="5" t="str">
        <f t="shared" si="8"/>
        <v/>
      </c>
      <c r="AC350" s="28" t="str">
        <f t="shared" si="9"/>
        <v/>
      </c>
      <c r="AD350" s="5" t="str">
        <f t="shared" si="10"/>
        <v/>
      </c>
    </row>
    <row r="351" ht="15.75" customHeight="1">
      <c r="A351" s="5" t="s">
        <v>963</v>
      </c>
      <c r="B351" s="5" t="s">
        <v>445</v>
      </c>
      <c r="C351" s="5" t="s">
        <v>605</v>
      </c>
      <c r="D351" s="5">
        <v>1100.0</v>
      </c>
      <c r="E351" s="5" t="s">
        <v>122</v>
      </c>
      <c r="F351" s="5" t="s">
        <v>606</v>
      </c>
      <c r="G351" s="5" t="s">
        <v>606</v>
      </c>
      <c r="H351" s="5" t="s">
        <v>606</v>
      </c>
      <c r="I351" s="11">
        <v>324.0</v>
      </c>
      <c r="J351" s="11">
        <v>461.0</v>
      </c>
      <c r="K351" s="11">
        <v>407.0</v>
      </c>
      <c r="L351" s="11">
        <v>759.0</v>
      </c>
      <c r="M351" s="11">
        <v>319.0</v>
      </c>
      <c r="N351" s="11">
        <v>601.0</v>
      </c>
      <c r="O351" s="11">
        <v>412.0</v>
      </c>
      <c r="P351" s="11">
        <v>767.0</v>
      </c>
      <c r="Q351" s="11">
        <f t="shared" si="1"/>
        <v>785</v>
      </c>
      <c r="R351" s="11">
        <f t="shared" si="2"/>
        <v>1166</v>
      </c>
      <c r="S351" s="11">
        <f t="shared" si="3"/>
        <v>920</v>
      </c>
      <c r="T351" s="11">
        <f t="shared" si="4"/>
        <v>1179</v>
      </c>
      <c r="U351" s="10">
        <f>IF(Q351&gt;0,(I351/Q351-District!$B$4)*100,"")</f>
        <v>-12.13834828</v>
      </c>
      <c r="V351" s="10">
        <f>IF(R351&gt;0,(K351/R351-District!$B$5)*100,"")</f>
        <v>-14.84431121</v>
      </c>
      <c r="W351" s="10">
        <f>IF(S351&gt;0,(M351/S351-District!$B$6)*100,"")</f>
        <v>-16.30910766</v>
      </c>
      <c r="X351" s="10">
        <f>IF(T351&gt;0,(O351/T351-District!$B$7)*100,"")</f>
        <v>-14.55155361</v>
      </c>
      <c r="Y351" s="28">
        <f t="shared" si="5"/>
        <v>14.84431004</v>
      </c>
      <c r="Z351" s="5">
        <f t="shared" si="6"/>
        <v>173</v>
      </c>
      <c r="AA351" s="28">
        <f t="shared" si="7"/>
        <v>16.30910674</v>
      </c>
      <c r="AB351" s="5">
        <f t="shared" si="8"/>
        <v>180</v>
      </c>
      <c r="AC351" s="28">
        <f t="shared" si="9"/>
        <v>16.30910648</v>
      </c>
      <c r="AD351" s="5">
        <f t="shared" si="10"/>
        <v>205</v>
      </c>
    </row>
    <row r="352" ht="15.75" customHeight="1">
      <c r="A352" s="5" t="s">
        <v>964</v>
      </c>
      <c r="B352" s="5" t="s">
        <v>445</v>
      </c>
      <c r="C352" s="5" t="s">
        <v>605</v>
      </c>
      <c r="D352" s="5">
        <v>1110.0</v>
      </c>
      <c r="E352" s="5" t="s">
        <v>122</v>
      </c>
      <c r="F352" s="5" t="s">
        <v>607</v>
      </c>
      <c r="G352" s="5" t="s">
        <v>607</v>
      </c>
      <c r="H352" s="5" t="s">
        <v>607</v>
      </c>
      <c r="I352" s="11">
        <v>276.0</v>
      </c>
      <c r="J352" s="11">
        <v>361.0</v>
      </c>
      <c r="K352" s="11">
        <v>348.0</v>
      </c>
      <c r="L352" s="11">
        <v>591.0</v>
      </c>
      <c r="M352" s="11">
        <v>273.0</v>
      </c>
      <c r="N352" s="11">
        <v>469.0</v>
      </c>
      <c r="O352" s="11">
        <v>361.0</v>
      </c>
      <c r="P352" s="11">
        <v>633.0</v>
      </c>
      <c r="Q352" s="11">
        <f t="shared" si="1"/>
        <v>637</v>
      </c>
      <c r="R352" s="11">
        <f t="shared" si="2"/>
        <v>939</v>
      </c>
      <c r="S352" s="11">
        <f t="shared" si="3"/>
        <v>742</v>
      </c>
      <c r="T352" s="11">
        <f t="shared" si="4"/>
        <v>994</v>
      </c>
      <c r="U352" s="10">
        <f>IF(Q352&gt;0,(I352/Q352-District!$B$4)*100,"")</f>
        <v>-10.08413315</v>
      </c>
      <c r="V352" s="10">
        <f>IF(R352&gt;0,(K352/R352-District!$B$5)*100,"")</f>
        <v>-12.68926871</v>
      </c>
      <c r="W352" s="10">
        <f>IF(S352&gt;0,(M352/S352-District!$B$6)*100,"")</f>
        <v>-14.19056787</v>
      </c>
      <c r="X352" s="10">
        <f>IF(T352&gt;0,(O352/T352-District!$B$7)*100,"")</f>
        <v>-13.1785147</v>
      </c>
      <c r="Y352" s="28">
        <f t="shared" si="5"/>
        <v>12.68926777</v>
      </c>
      <c r="Z352" s="5">
        <f t="shared" si="6"/>
        <v>148</v>
      </c>
      <c r="AA352" s="28">
        <f t="shared" si="7"/>
        <v>14.19056713</v>
      </c>
      <c r="AB352" s="5">
        <f t="shared" si="8"/>
        <v>163</v>
      </c>
      <c r="AC352" s="28">
        <f t="shared" si="9"/>
        <v>14.19056688</v>
      </c>
      <c r="AD352" s="5">
        <f t="shared" si="10"/>
        <v>186</v>
      </c>
    </row>
    <row r="353" ht="15.75" customHeight="1">
      <c r="A353" s="5" t="s">
        <v>965</v>
      </c>
      <c r="B353" s="5" t="s">
        <v>445</v>
      </c>
      <c r="C353" s="5" t="s">
        <v>605</v>
      </c>
      <c r="D353" s="5">
        <v>1120.0</v>
      </c>
      <c r="E353" s="5" t="s">
        <v>122</v>
      </c>
      <c r="F353" s="5" t="s">
        <v>608</v>
      </c>
      <c r="G353" s="5" t="s">
        <v>608</v>
      </c>
      <c r="H353" s="5" t="s">
        <v>608</v>
      </c>
      <c r="I353" s="11">
        <v>188.0</v>
      </c>
      <c r="J353" s="11">
        <v>354.0</v>
      </c>
      <c r="K353" s="11">
        <v>300.0</v>
      </c>
      <c r="L353" s="11">
        <v>570.0</v>
      </c>
      <c r="M353" s="11">
        <v>243.0</v>
      </c>
      <c r="N353" s="11">
        <v>462.0</v>
      </c>
      <c r="O353" s="11">
        <v>286.0</v>
      </c>
      <c r="P353" s="11">
        <v>553.0</v>
      </c>
      <c r="Q353" s="11">
        <f t="shared" si="1"/>
        <v>542</v>
      </c>
      <c r="R353" s="11">
        <f t="shared" si="2"/>
        <v>870</v>
      </c>
      <c r="S353" s="11">
        <f t="shared" si="3"/>
        <v>705</v>
      </c>
      <c r="T353" s="11">
        <f t="shared" si="4"/>
        <v>839</v>
      </c>
      <c r="U353" s="10">
        <f>IF(Q353&gt;0,(I353/Q353-District!$B$4)*100,"")</f>
        <v>-18.72588676</v>
      </c>
      <c r="V353" s="10">
        <f>IF(R353&gt;0,(K353/R353-District!$B$5)*100,"")</f>
        <v>-15.26721297</v>
      </c>
      <c r="W353" s="10">
        <f>IF(S353&gt;0,(M353/S353-District!$B$6)*100,"")</f>
        <v>-16.5149356</v>
      </c>
      <c r="X353" s="10">
        <f>IF(T353&gt;0,(O353/T353-District!$B$7)*100,"")</f>
        <v>-15.4082219</v>
      </c>
      <c r="Y353" s="28">
        <f t="shared" si="5"/>
        <v>18.72588589</v>
      </c>
      <c r="Z353" s="5">
        <f t="shared" si="6"/>
        <v>213</v>
      </c>
      <c r="AA353" s="28">
        <f t="shared" si="7"/>
        <v>16.51493489</v>
      </c>
      <c r="AB353" s="5">
        <f t="shared" si="8"/>
        <v>182</v>
      </c>
      <c r="AC353" s="28">
        <f t="shared" si="9"/>
        <v>16.51493476</v>
      </c>
      <c r="AD353" s="5">
        <f t="shared" si="10"/>
        <v>209</v>
      </c>
    </row>
    <row r="354" ht="15.75" customHeight="1">
      <c r="A354" s="5" t="s">
        <v>966</v>
      </c>
      <c r="B354" s="5" t="s">
        <v>445</v>
      </c>
      <c r="C354" s="5" t="s">
        <v>605</v>
      </c>
      <c r="D354" s="5">
        <v>1130.0</v>
      </c>
      <c r="E354" s="5" t="s">
        <v>122</v>
      </c>
      <c r="F354" s="5" t="s">
        <v>611</v>
      </c>
      <c r="G354" s="5" t="s">
        <v>611</v>
      </c>
      <c r="H354" s="5" t="s">
        <v>611</v>
      </c>
      <c r="I354" s="11">
        <v>228.0</v>
      </c>
      <c r="J354" s="11">
        <v>355.0</v>
      </c>
      <c r="K354" s="11">
        <v>313.0</v>
      </c>
      <c r="L354" s="11">
        <v>600.0</v>
      </c>
      <c r="M354" s="11">
        <v>241.0</v>
      </c>
      <c r="N354" s="11">
        <v>466.0</v>
      </c>
      <c r="O354" s="11">
        <v>302.0</v>
      </c>
      <c r="P354" s="11">
        <v>608.0</v>
      </c>
      <c r="Q354" s="11">
        <f t="shared" si="1"/>
        <v>583</v>
      </c>
      <c r="R354" s="11">
        <f t="shared" si="2"/>
        <v>913</v>
      </c>
      <c r="S354" s="11">
        <f t="shared" si="3"/>
        <v>707</v>
      </c>
      <c r="T354" s="11">
        <f t="shared" si="4"/>
        <v>910</v>
      </c>
      <c r="U354" s="10">
        <f>IF(Q354&gt;0,(I354/Q354-District!$B$4)*100,"")</f>
        <v>-14.30417188</v>
      </c>
      <c r="V354" s="10">
        <f>IF(R354&gt;0,(K354/R354-District!$B$5)*100,"")</f>
        <v>-15.4673867</v>
      </c>
      <c r="W354" s="10">
        <f>IF(S354&gt;0,(M354/S354-District!$B$6)*100,"")</f>
        <v>-16.89532622</v>
      </c>
      <c r="X354" s="10">
        <f>IF(T354&gt;0,(O354/T354-District!$B$7)*100,"")</f>
        <v>-16.30960896</v>
      </c>
      <c r="Y354" s="28">
        <f t="shared" si="5"/>
        <v>15.46738579</v>
      </c>
      <c r="Z354" s="5">
        <f t="shared" si="6"/>
        <v>180</v>
      </c>
      <c r="AA354" s="28">
        <f t="shared" si="7"/>
        <v>16.89532551</v>
      </c>
      <c r="AB354" s="5">
        <f t="shared" si="8"/>
        <v>186</v>
      </c>
      <c r="AC354" s="28">
        <f t="shared" si="9"/>
        <v>16.89532531</v>
      </c>
      <c r="AD354" s="5">
        <f t="shared" si="10"/>
        <v>215</v>
      </c>
    </row>
    <row r="355" ht="15.75" customHeight="1">
      <c r="A355" s="5" t="s">
        <v>967</v>
      </c>
      <c r="B355" s="5" t="s">
        <v>445</v>
      </c>
      <c r="C355" s="5" t="s">
        <v>612</v>
      </c>
      <c r="D355" s="5">
        <v>1140.0</v>
      </c>
      <c r="E355" s="5" t="s">
        <v>122</v>
      </c>
      <c r="F355" s="5" t="s">
        <v>613</v>
      </c>
      <c r="G355" s="5" t="s">
        <v>613</v>
      </c>
      <c r="H355" s="5" t="s">
        <v>613</v>
      </c>
      <c r="I355" s="11">
        <v>62.0</v>
      </c>
      <c r="J355" s="11">
        <v>104.0</v>
      </c>
      <c r="K355" s="11">
        <v>82.0</v>
      </c>
      <c r="L355" s="11">
        <v>171.0</v>
      </c>
      <c r="M355" s="11">
        <v>65.0</v>
      </c>
      <c r="N355" s="11">
        <v>129.0</v>
      </c>
      <c r="O355" s="11">
        <v>92.0</v>
      </c>
      <c r="P355" s="11">
        <v>167.0</v>
      </c>
      <c r="Q355" s="11">
        <f t="shared" si="1"/>
        <v>166</v>
      </c>
      <c r="R355" s="11">
        <f t="shared" si="2"/>
        <v>253</v>
      </c>
      <c r="S355" s="11">
        <f t="shared" si="3"/>
        <v>194</v>
      </c>
      <c r="T355" s="11">
        <f t="shared" si="4"/>
        <v>259</v>
      </c>
      <c r="U355" s="10">
        <f>IF(Q355&gt;0,(I355/Q355-District!$B$4)*100,"")</f>
        <v>-16.06283604</v>
      </c>
      <c r="V355" s="10">
        <f>IF(R355&gt;0,(K355/R355-District!$B$5)*100,"")</f>
        <v>-17.33890439</v>
      </c>
      <c r="W355" s="10">
        <f>IF(S355&gt;0,(M355/S355-District!$B$6)*100,"")</f>
        <v>-17.47786607</v>
      </c>
      <c r="X355" s="10">
        <f>IF(T355&gt;0,(O355/T355-District!$B$7)*100,"")</f>
        <v>-13.97518662</v>
      </c>
      <c r="Y355" s="28" t="str">
        <f t="shared" si="5"/>
        <v/>
      </c>
      <c r="Z355" s="5" t="str">
        <f t="shared" si="6"/>
        <v/>
      </c>
      <c r="AA355" s="28" t="str">
        <f t="shared" si="7"/>
        <v/>
      </c>
      <c r="AB355" s="5" t="str">
        <f t="shared" si="8"/>
        <v/>
      </c>
      <c r="AC355" s="28" t="str">
        <f t="shared" si="9"/>
        <v/>
      </c>
      <c r="AD355" s="5" t="str">
        <f t="shared" si="10"/>
        <v/>
      </c>
    </row>
    <row r="356" ht="15.75" customHeight="1">
      <c r="A356" s="5" t="s">
        <v>968</v>
      </c>
      <c r="B356" s="5" t="s">
        <v>445</v>
      </c>
      <c r="C356" s="5" t="s">
        <v>614</v>
      </c>
      <c r="D356" s="5">
        <v>1150.0</v>
      </c>
      <c r="E356" s="5" t="s">
        <v>122</v>
      </c>
      <c r="F356" s="5" t="s">
        <v>615</v>
      </c>
      <c r="G356" s="5" t="s">
        <v>615</v>
      </c>
      <c r="H356" s="5" t="s">
        <v>615</v>
      </c>
      <c r="I356" s="11">
        <v>243.0</v>
      </c>
      <c r="J356" s="11">
        <v>335.0</v>
      </c>
      <c r="K356" s="11">
        <v>331.0</v>
      </c>
      <c r="L356" s="11">
        <v>571.0</v>
      </c>
      <c r="M356" s="11">
        <v>258.0</v>
      </c>
      <c r="N356" s="11">
        <v>418.0</v>
      </c>
      <c r="O356" s="11">
        <v>335.0</v>
      </c>
      <c r="P356" s="11">
        <v>581.0</v>
      </c>
      <c r="Q356" s="11">
        <f t="shared" si="1"/>
        <v>578</v>
      </c>
      <c r="R356" s="11">
        <f t="shared" si="2"/>
        <v>902</v>
      </c>
      <c r="S356" s="11">
        <f t="shared" si="3"/>
        <v>676</v>
      </c>
      <c r="T356" s="11">
        <f t="shared" si="4"/>
        <v>916</v>
      </c>
      <c r="U356" s="10">
        <f>IF(Q356&gt;0,(I356/Q356-District!$B$4)*100,"")</f>
        <v>-11.37071113</v>
      </c>
      <c r="V356" s="10">
        <f>IF(R356&gt;0,(K356/R356-District!$B$5)*100,"")</f>
        <v>-13.05374099</v>
      </c>
      <c r="W356" s="10">
        <f>IF(S356&gt;0,(M356/S356-District!$B$6)*100,"")</f>
        <v>-12.81734023</v>
      </c>
      <c r="X356" s="10">
        <f>IF(T356&gt;0,(O356/T356-District!$B$7)*100,"")</f>
        <v>-12.92436974</v>
      </c>
      <c r="Y356" s="28">
        <f t="shared" si="5"/>
        <v>13.05374009</v>
      </c>
      <c r="Z356" s="5">
        <f t="shared" si="6"/>
        <v>158</v>
      </c>
      <c r="AA356" s="28">
        <f t="shared" si="7"/>
        <v>13.05374031</v>
      </c>
      <c r="AB356" s="5">
        <f t="shared" si="8"/>
        <v>153</v>
      </c>
      <c r="AC356" s="28">
        <f t="shared" si="9"/>
        <v>12.92436882</v>
      </c>
      <c r="AD356" s="5">
        <f t="shared" si="10"/>
        <v>171</v>
      </c>
    </row>
    <row r="357" ht="15.75" customHeight="1">
      <c r="A357" s="5" t="s">
        <v>969</v>
      </c>
      <c r="B357" s="5" t="s">
        <v>445</v>
      </c>
      <c r="C357" s="5" t="s">
        <v>616</v>
      </c>
      <c r="D357" s="5">
        <v>1160.0</v>
      </c>
      <c r="E357" s="5" t="s">
        <v>122</v>
      </c>
      <c r="F357" s="5" t="s">
        <v>617</v>
      </c>
      <c r="G357" s="5" t="s">
        <v>617</v>
      </c>
      <c r="H357" s="5" t="s">
        <v>617</v>
      </c>
      <c r="I357" s="11">
        <v>142.0</v>
      </c>
      <c r="J357" s="11">
        <v>172.0</v>
      </c>
      <c r="K357" s="11">
        <v>212.0</v>
      </c>
      <c r="L357" s="11">
        <v>308.0</v>
      </c>
      <c r="M357" s="11">
        <v>160.0</v>
      </c>
      <c r="N357" s="11">
        <v>227.0</v>
      </c>
      <c r="O357" s="11">
        <v>210.0</v>
      </c>
      <c r="P357" s="11">
        <v>309.0</v>
      </c>
      <c r="Q357" s="11">
        <f t="shared" si="1"/>
        <v>314</v>
      </c>
      <c r="R357" s="11">
        <f t="shared" si="2"/>
        <v>520</v>
      </c>
      <c r="S357" s="11">
        <f t="shared" si="3"/>
        <v>387</v>
      </c>
      <c r="T357" s="11">
        <f t="shared" si="4"/>
        <v>519</v>
      </c>
      <c r="U357" s="10">
        <f>IF(Q357&gt;0,(I357/Q357-District!$B$4)*100,"")</f>
        <v>-8.189303689</v>
      </c>
      <c r="V357" s="10">
        <f>IF(R357&gt;0,(K357/R357-District!$B$5)*100,"")</f>
        <v>-8.980740818</v>
      </c>
      <c r="W357" s="10">
        <f>IF(S357&gt;0,(M357/S357-District!$B$6)*100,"")</f>
        <v>-9.639351454</v>
      </c>
      <c r="X357" s="10">
        <f>IF(T357&gt;0,(O357/T357-District!$B$7)*100,"")</f>
        <v>-9.033994397</v>
      </c>
      <c r="Y357" s="28">
        <f t="shared" si="5"/>
        <v>8.980740298</v>
      </c>
      <c r="Z357" s="5">
        <f t="shared" si="6"/>
        <v>115</v>
      </c>
      <c r="AA357" s="28">
        <f t="shared" si="7"/>
        <v>9.639351067</v>
      </c>
      <c r="AB357" s="5">
        <f t="shared" si="8"/>
        <v>118</v>
      </c>
      <c r="AC357" s="28">
        <f t="shared" si="9"/>
        <v>9.639350935</v>
      </c>
      <c r="AD357" s="5">
        <f t="shared" si="10"/>
        <v>127</v>
      </c>
    </row>
    <row r="358" ht="15.75" customHeight="1">
      <c r="A358" s="5" t="s">
        <v>970</v>
      </c>
      <c r="B358" s="5" t="s">
        <v>445</v>
      </c>
      <c r="C358" s="5" t="s">
        <v>618</v>
      </c>
      <c r="D358" s="5">
        <v>1170.0</v>
      </c>
      <c r="E358" s="5" t="s">
        <v>122</v>
      </c>
      <c r="F358" s="5" t="s">
        <v>619</v>
      </c>
      <c r="G358" s="5" t="s">
        <v>619</v>
      </c>
      <c r="H358" s="5" t="s">
        <v>619</v>
      </c>
      <c r="I358" s="11">
        <v>192.0</v>
      </c>
      <c r="J358" s="11">
        <v>253.0</v>
      </c>
      <c r="K358" s="11">
        <v>272.0</v>
      </c>
      <c r="L358" s="11">
        <v>400.0</v>
      </c>
      <c r="M358" s="11">
        <v>243.0</v>
      </c>
      <c r="N358" s="11">
        <v>318.0</v>
      </c>
      <c r="O358" s="11">
        <v>331.0</v>
      </c>
      <c r="P358" s="11">
        <v>458.0</v>
      </c>
      <c r="Q358" s="11">
        <f t="shared" si="1"/>
        <v>445</v>
      </c>
      <c r="R358" s="11">
        <f t="shared" si="2"/>
        <v>672</v>
      </c>
      <c r="S358" s="11">
        <f t="shared" si="3"/>
        <v>561</v>
      </c>
      <c r="T358" s="11">
        <f t="shared" si="4"/>
        <v>789</v>
      </c>
      <c r="U358" s="10">
        <f>IF(Q358&gt;0,(I358/Q358-District!$B$4)*100,"")</f>
        <v>-10.26616621</v>
      </c>
      <c r="V358" s="10">
        <f>IF(R358&gt;0,(K358/R358-District!$B$5)*100,"")</f>
        <v>-9.273781111</v>
      </c>
      <c r="W358" s="10">
        <f>IF(S358&gt;0,(M358/S358-District!$B$6)*100,"")</f>
        <v>-7.667512683</v>
      </c>
      <c r="X358" s="10">
        <f>IF(T358&gt;0,(O358/T358-District!$B$7)*100,"")</f>
        <v>-7.544584373</v>
      </c>
      <c r="Y358" s="28">
        <f t="shared" si="5"/>
        <v>10.26616554</v>
      </c>
      <c r="Z358" s="5">
        <f t="shared" si="6"/>
        <v>128</v>
      </c>
      <c r="AA358" s="28">
        <f t="shared" si="7"/>
        <v>9.27378055</v>
      </c>
      <c r="AB358" s="5">
        <f t="shared" si="8"/>
        <v>114</v>
      </c>
      <c r="AC358" s="28">
        <f t="shared" si="9"/>
        <v>7.667511894</v>
      </c>
      <c r="AD358" s="5">
        <f t="shared" si="10"/>
        <v>109</v>
      </c>
    </row>
    <row r="359" ht="15.75" customHeight="1">
      <c r="A359" s="5" t="s">
        <v>971</v>
      </c>
      <c r="B359" s="5" t="s">
        <v>445</v>
      </c>
      <c r="C359" s="5" t="s">
        <v>972</v>
      </c>
      <c r="D359" s="5">
        <v>1180.0</v>
      </c>
      <c r="E359" s="5" t="s">
        <v>122</v>
      </c>
      <c r="F359" s="5" t="s">
        <v>621</v>
      </c>
      <c r="G359" s="5" t="s">
        <v>621</v>
      </c>
      <c r="H359" s="5" t="s">
        <v>621</v>
      </c>
      <c r="I359" s="11">
        <v>229.0</v>
      </c>
      <c r="J359" s="11">
        <v>476.0</v>
      </c>
      <c r="K359" s="11">
        <v>276.0</v>
      </c>
      <c r="L359" s="11">
        <v>722.0</v>
      </c>
      <c r="M359" s="11">
        <v>242.0</v>
      </c>
      <c r="N359" s="11">
        <v>587.0</v>
      </c>
      <c r="O359" s="11">
        <v>307.0</v>
      </c>
      <c r="P359" s="11">
        <v>746.0</v>
      </c>
      <c r="Q359" s="11">
        <f t="shared" si="1"/>
        <v>705</v>
      </c>
      <c r="R359" s="11">
        <f t="shared" si="2"/>
        <v>998</v>
      </c>
      <c r="S359" s="11">
        <f t="shared" si="3"/>
        <v>829</v>
      </c>
      <c r="T359" s="11">
        <f t="shared" si="4"/>
        <v>1053</v>
      </c>
      <c r="U359" s="10">
        <f>IF(Q359&gt;0,(I359/Q359-District!$B$4)*100,"")</f>
        <v>-20.92996412</v>
      </c>
      <c r="V359" s="10">
        <f>IF(R359&gt;0,(K359/R359-District!$B$5)*100,"")</f>
        <v>-22.09466097</v>
      </c>
      <c r="W359" s="10">
        <f>IF(S359&gt;0,(M359/S359-District!$B$6)*100,"")</f>
        <v>-21.79122336</v>
      </c>
      <c r="X359" s="10">
        <f>IF(T359&gt;0,(O359/T359-District!$B$7)*100,"")</f>
        <v>-20.34162632</v>
      </c>
      <c r="Y359" s="28">
        <f t="shared" si="5"/>
        <v>22.09465997</v>
      </c>
      <c r="Z359" s="5">
        <f t="shared" si="6"/>
        <v>245</v>
      </c>
      <c r="AA359" s="28">
        <f t="shared" si="7"/>
        <v>22.09466014</v>
      </c>
      <c r="AB359" s="5">
        <f t="shared" si="8"/>
        <v>226</v>
      </c>
      <c r="AC359" s="28">
        <f t="shared" si="9"/>
        <v>21.79122231</v>
      </c>
      <c r="AD359" s="5">
        <f t="shared" si="10"/>
        <v>255</v>
      </c>
    </row>
    <row r="360" ht="15.75" customHeight="1">
      <c r="A360" s="5" t="s">
        <v>973</v>
      </c>
      <c r="B360" s="5" t="s">
        <v>445</v>
      </c>
      <c r="C360" s="5" t="s">
        <v>972</v>
      </c>
      <c r="D360" s="5">
        <v>1190.0</v>
      </c>
      <c r="E360" s="5" t="s">
        <v>122</v>
      </c>
      <c r="F360" s="5" t="s">
        <v>622</v>
      </c>
      <c r="G360" s="5" t="s">
        <v>622</v>
      </c>
      <c r="H360" s="5" t="s">
        <v>622</v>
      </c>
      <c r="I360" s="11">
        <v>193.0</v>
      </c>
      <c r="J360" s="11">
        <v>317.0</v>
      </c>
      <c r="K360" s="11">
        <v>227.0</v>
      </c>
      <c r="L360" s="11">
        <v>473.0</v>
      </c>
      <c r="M360" s="11">
        <v>194.0</v>
      </c>
      <c r="N360" s="11">
        <v>394.0</v>
      </c>
      <c r="O360" s="11">
        <v>232.0</v>
      </c>
      <c r="P360" s="11">
        <v>487.0</v>
      </c>
      <c r="Q360" s="11">
        <f t="shared" si="1"/>
        <v>510</v>
      </c>
      <c r="R360" s="11">
        <f t="shared" si="2"/>
        <v>700</v>
      </c>
      <c r="S360" s="11">
        <f t="shared" si="3"/>
        <v>588</v>
      </c>
      <c r="T360" s="11">
        <f t="shared" si="4"/>
        <v>719</v>
      </c>
      <c r="U360" s="10">
        <f>IF(Q360&gt;0,(I360/Q360-District!$B$4)*100,"")</f>
        <v>-15.56909637</v>
      </c>
      <c r="V360" s="10">
        <f>IF(R360&gt;0,(K360/R360-District!$B$5)*100,"")</f>
        <v>-17.32140016</v>
      </c>
      <c r="W360" s="10">
        <f>IF(S360&gt;0,(M360/S360-District!$B$6)*100,"")</f>
        <v>-17.98982343</v>
      </c>
      <c r="X360" s="10">
        <f>IF(T360&gt;0,(O360/T360-District!$B$7)*100,"")</f>
        <v>-17.22938459</v>
      </c>
      <c r="Y360" s="28">
        <f t="shared" si="5"/>
        <v>17.32139946</v>
      </c>
      <c r="Z360" s="5">
        <f t="shared" si="6"/>
        <v>201</v>
      </c>
      <c r="AA360" s="28">
        <f t="shared" si="7"/>
        <v>17.98982284</v>
      </c>
      <c r="AB360" s="5">
        <f t="shared" si="8"/>
        <v>194</v>
      </c>
      <c r="AC360" s="28">
        <f t="shared" si="9"/>
        <v>17.98982271</v>
      </c>
      <c r="AD360" s="5">
        <f t="shared" si="10"/>
        <v>222</v>
      </c>
    </row>
    <row r="361" ht="15.75" customHeight="1">
      <c r="A361" s="5" t="s">
        <v>974</v>
      </c>
      <c r="B361" s="5" t="s">
        <v>445</v>
      </c>
      <c r="C361" s="5" t="s">
        <v>972</v>
      </c>
      <c r="D361" s="5">
        <v>1200.0</v>
      </c>
      <c r="E361" s="5" t="s">
        <v>122</v>
      </c>
      <c r="F361" s="5" t="s">
        <v>623</v>
      </c>
      <c r="G361" s="5" t="s">
        <v>623</v>
      </c>
      <c r="H361" s="5" t="s">
        <v>623</v>
      </c>
      <c r="I361" s="11">
        <v>137.0</v>
      </c>
      <c r="J361" s="11">
        <v>266.0</v>
      </c>
      <c r="K361" s="11">
        <v>171.0</v>
      </c>
      <c r="L361" s="11">
        <v>435.0</v>
      </c>
      <c r="M361" s="11">
        <v>151.0</v>
      </c>
      <c r="N361" s="11">
        <v>358.0</v>
      </c>
      <c r="O361" s="11">
        <v>178.0</v>
      </c>
      <c r="P361" s="11">
        <v>480.0</v>
      </c>
      <c r="Q361" s="11">
        <f t="shared" si="1"/>
        <v>403</v>
      </c>
      <c r="R361" s="11">
        <f t="shared" si="2"/>
        <v>606</v>
      </c>
      <c r="S361" s="11">
        <f t="shared" si="3"/>
        <v>509</v>
      </c>
      <c r="T361" s="11">
        <f t="shared" si="4"/>
        <v>658</v>
      </c>
      <c r="U361" s="10">
        <f>IF(Q361&gt;0,(I361/Q361-District!$B$4)*100,"")</f>
        <v>-19.4171964</v>
      </c>
      <c r="V361" s="10">
        <f>IF(R361&gt;0,(K361/R361-District!$B$5)*100,"")</f>
        <v>-21.53214981</v>
      </c>
      <c r="W361" s="10">
        <f>IF(S361&gt;0,(M361/S361-District!$B$6)*100,"")</f>
        <v>-21.31700892</v>
      </c>
      <c r="X361" s="10">
        <f>IF(T361&gt;0,(O361/T361-District!$B$7)*100,"")</f>
        <v>-22.44475041</v>
      </c>
      <c r="Y361" s="28">
        <f t="shared" si="5"/>
        <v>21.5321492</v>
      </c>
      <c r="Z361" s="5">
        <f t="shared" si="6"/>
        <v>240</v>
      </c>
      <c r="AA361" s="28">
        <f t="shared" si="7"/>
        <v>21.5321493</v>
      </c>
      <c r="AB361" s="5">
        <f t="shared" si="8"/>
        <v>221</v>
      </c>
      <c r="AC361" s="28">
        <f t="shared" si="9"/>
        <v>22.44474975</v>
      </c>
      <c r="AD361" s="5">
        <f t="shared" si="10"/>
        <v>260</v>
      </c>
    </row>
    <row r="362" ht="15.75" customHeight="1">
      <c r="A362" s="5" t="s">
        <v>975</v>
      </c>
      <c r="B362" s="5" t="s">
        <v>445</v>
      </c>
      <c r="C362" s="5" t="s">
        <v>972</v>
      </c>
      <c r="D362" s="5">
        <v>1210.0</v>
      </c>
      <c r="E362" s="5" t="s">
        <v>122</v>
      </c>
      <c r="F362" s="5" t="s">
        <v>624</v>
      </c>
      <c r="G362" s="5" t="s">
        <v>624</v>
      </c>
      <c r="H362" s="5" t="s">
        <v>624</v>
      </c>
      <c r="I362" s="11">
        <v>145.0</v>
      </c>
      <c r="J362" s="11">
        <v>270.0</v>
      </c>
      <c r="K362" s="11">
        <v>197.0</v>
      </c>
      <c r="L362" s="11">
        <v>397.0</v>
      </c>
      <c r="M362" s="11">
        <v>161.0</v>
      </c>
      <c r="N362" s="11">
        <v>314.0</v>
      </c>
      <c r="O362" s="11">
        <v>180.0</v>
      </c>
      <c r="P362" s="11">
        <v>430.0</v>
      </c>
      <c r="Q362" s="11">
        <f t="shared" si="1"/>
        <v>415</v>
      </c>
      <c r="R362" s="11">
        <f t="shared" si="2"/>
        <v>594</v>
      </c>
      <c r="S362" s="11">
        <f t="shared" si="3"/>
        <v>475</v>
      </c>
      <c r="T362" s="11">
        <f t="shared" si="4"/>
        <v>610</v>
      </c>
      <c r="U362" s="10">
        <f>IF(Q362&gt;0,(I362/Q362-District!$B$4)*100,"")</f>
        <v>-18.47247459</v>
      </c>
      <c r="V362" s="10">
        <f>IF(R362&gt;0,(K362/R362-District!$B$5)*100,"")</f>
        <v>-16.58498842</v>
      </c>
      <c r="W362" s="10">
        <f>IF(S362&gt;0,(M362/S362-District!$B$6)*100,"")</f>
        <v>-17.08828386</v>
      </c>
      <c r="X362" s="10">
        <f>IF(T362&gt;0,(O362/T362-District!$B$7)*100,"")</f>
        <v>-19.98822542</v>
      </c>
      <c r="Y362" s="28">
        <f t="shared" si="5"/>
        <v>18.472474</v>
      </c>
      <c r="Z362" s="5">
        <f t="shared" si="6"/>
        <v>212</v>
      </c>
      <c r="AA362" s="28">
        <f t="shared" si="7"/>
        <v>17.08828339</v>
      </c>
      <c r="AB362" s="5">
        <f t="shared" si="8"/>
        <v>190</v>
      </c>
      <c r="AC362" s="28">
        <f t="shared" si="9"/>
        <v>19.98822481</v>
      </c>
      <c r="AD362" s="5">
        <f t="shared" si="10"/>
        <v>240</v>
      </c>
    </row>
    <row r="363" ht="15.75" customHeight="1">
      <c r="A363" s="5" t="s">
        <v>976</v>
      </c>
      <c r="B363" s="5" t="s">
        <v>445</v>
      </c>
      <c r="C363" s="5" t="s">
        <v>972</v>
      </c>
      <c r="D363" s="5">
        <v>1220.0</v>
      </c>
      <c r="E363" s="5" t="s">
        <v>122</v>
      </c>
      <c r="F363" s="5" t="s">
        <v>626</v>
      </c>
      <c r="G363" s="5" t="s">
        <v>626</v>
      </c>
      <c r="H363" s="5" t="s">
        <v>626</v>
      </c>
      <c r="I363" s="11">
        <v>263.0</v>
      </c>
      <c r="J363" s="11">
        <v>380.0</v>
      </c>
      <c r="K363" s="11">
        <v>336.0</v>
      </c>
      <c r="L363" s="11">
        <v>577.0</v>
      </c>
      <c r="M363" s="11">
        <v>282.0</v>
      </c>
      <c r="N363" s="11">
        <v>442.0</v>
      </c>
      <c r="O363" s="11">
        <v>345.0</v>
      </c>
      <c r="P363" s="11">
        <v>573.0</v>
      </c>
      <c r="Q363" s="11">
        <f t="shared" si="1"/>
        <v>643</v>
      </c>
      <c r="R363" s="11">
        <f t="shared" si="2"/>
        <v>913</v>
      </c>
      <c r="S363" s="11">
        <f t="shared" si="3"/>
        <v>724</v>
      </c>
      <c r="T363" s="11">
        <f t="shared" si="4"/>
        <v>918</v>
      </c>
      <c r="U363" s="10">
        <f>IF(Q363&gt;0,(I363/Q363-District!$B$4)*100,"")</f>
        <v>-12.51021185</v>
      </c>
      <c r="V363" s="10">
        <f>IF(R363&gt;0,(K363/R363-District!$B$5)*100,"")</f>
        <v>-12.94821912</v>
      </c>
      <c r="W363" s="10">
        <f>IF(S363&gt;0,(M363/S363-District!$B$6)*100,"")</f>
        <v>-12.03274446</v>
      </c>
      <c r="X363" s="10">
        <f>IF(T363&gt;0,(O363/T363-District!$B$7)*100,"")</f>
        <v>-11.9147228</v>
      </c>
      <c r="Y363" s="28">
        <f t="shared" si="5"/>
        <v>12.94821821</v>
      </c>
      <c r="Z363" s="5">
        <f t="shared" si="6"/>
        <v>154</v>
      </c>
      <c r="AA363" s="28">
        <f t="shared" si="7"/>
        <v>12.9482184</v>
      </c>
      <c r="AB363" s="5">
        <f t="shared" si="8"/>
        <v>150</v>
      </c>
      <c r="AC363" s="28">
        <f t="shared" si="9"/>
        <v>12.03274354</v>
      </c>
      <c r="AD363" s="5">
        <f t="shared" si="10"/>
        <v>161</v>
      </c>
    </row>
    <row r="364" ht="15.75" customHeight="1">
      <c r="A364" s="5" t="s">
        <v>977</v>
      </c>
      <c r="B364" s="5" t="s">
        <v>445</v>
      </c>
      <c r="C364" s="5" t="s">
        <v>627</v>
      </c>
      <c r="D364" s="5">
        <v>1230.0</v>
      </c>
      <c r="E364" s="5" t="s">
        <v>829</v>
      </c>
      <c r="F364" s="5" t="s">
        <v>628</v>
      </c>
      <c r="G364" s="5" t="s">
        <v>628</v>
      </c>
      <c r="H364" s="5" t="s">
        <v>628</v>
      </c>
      <c r="I364" s="11">
        <v>690.0</v>
      </c>
      <c r="J364" s="11">
        <v>687.0</v>
      </c>
      <c r="K364" s="11">
        <v>993.0</v>
      </c>
      <c r="L364" s="11">
        <v>1180.0</v>
      </c>
      <c r="M364" s="11">
        <v>922.0</v>
      </c>
      <c r="N364" s="11">
        <v>894.0</v>
      </c>
      <c r="O364" s="11">
        <v>1084.0</v>
      </c>
      <c r="P364" s="11">
        <v>1187.0</v>
      </c>
      <c r="Q364" s="11">
        <f t="shared" si="1"/>
        <v>1377</v>
      </c>
      <c r="R364" s="11">
        <f t="shared" si="2"/>
        <v>2173</v>
      </c>
      <c r="S364" s="11">
        <f t="shared" si="3"/>
        <v>1816</v>
      </c>
      <c r="T364" s="11">
        <f t="shared" si="4"/>
        <v>2271</v>
      </c>
      <c r="U364" s="10">
        <f>IF(Q364&gt;0,(I364/Q364-District!$B$4)*100,"")</f>
        <v>-3.303301164</v>
      </c>
      <c r="V364" s="10">
        <f>IF(R364&gt;0,(K364/R364-District!$B$5)*100,"")</f>
        <v>-4.052778767</v>
      </c>
      <c r="W364" s="10">
        <f>IF(S364&gt;0,(M364/S364-District!$B$6)*100,"")</f>
        <v>-0.2120955944</v>
      </c>
      <c r="X364" s="10">
        <f>IF(T364&gt;0,(O364/T364-District!$B$7)*100,"")</f>
        <v>-1.764145612</v>
      </c>
      <c r="Y364" s="28" t="str">
        <f t="shared" si="5"/>
        <v/>
      </c>
      <c r="Z364" s="5" t="str">
        <f t="shared" si="6"/>
        <v/>
      </c>
      <c r="AA364" s="28" t="str">
        <f t="shared" si="7"/>
        <v/>
      </c>
      <c r="AB364" s="5" t="str">
        <f t="shared" si="8"/>
        <v/>
      </c>
      <c r="AC364" s="28" t="str">
        <f t="shared" si="9"/>
        <v/>
      </c>
      <c r="AD364" s="5" t="str">
        <f t="shared" si="10"/>
        <v/>
      </c>
    </row>
    <row r="365" ht="15.75" customHeight="1">
      <c r="A365" s="5" t="s">
        <v>978</v>
      </c>
      <c r="B365" s="5" t="s">
        <v>445</v>
      </c>
      <c r="C365" s="5" t="s">
        <v>627</v>
      </c>
      <c r="D365" s="5">
        <v>1235.0</v>
      </c>
      <c r="E365" s="5" t="s">
        <v>829</v>
      </c>
      <c r="F365" s="5"/>
      <c r="G365" s="5"/>
      <c r="H365" s="5"/>
      <c r="I365" s="11"/>
      <c r="J365" s="11"/>
      <c r="K365" s="11"/>
      <c r="L365" s="11"/>
      <c r="M365" s="11"/>
      <c r="N365" s="11"/>
      <c r="O365" s="11"/>
      <c r="P365" s="11"/>
      <c r="Q365" s="11">
        <f t="shared" si="1"/>
        <v>0</v>
      </c>
      <c r="R365" s="11">
        <f t="shared" si="2"/>
        <v>0</v>
      </c>
      <c r="S365" s="11">
        <f t="shared" si="3"/>
        <v>0</v>
      </c>
      <c r="T365" s="11">
        <f t="shared" si="4"/>
        <v>0</v>
      </c>
      <c r="U365" s="10" t="str">
        <f>IF(Q365&gt;0,(I365/Q365-District!$B$4)*100,"")</f>
        <v/>
      </c>
      <c r="V365" s="10" t="str">
        <f>IF(R365&gt;0,(K365/R365-District!$B$5)*100,"")</f>
        <v/>
      </c>
      <c r="W365" s="10" t="str">
        <f>IF(S365&gt;0,(M365/S365-District!$B$6)*100,"")</f>
        <v/>
      </c>
      <c r="X365" s="10" t="str">
        <f>IF(T365&gt;0,(O365/T365-District!$B$7)*100,"")</f>
        <v/>
      </c>
      <c r="Y365" s="28" t="str">
        <f t="shared" si="5"/>
        <v/>
      </c>
      <c r="Z365" s="5" t="str">
        <f t="shared" si="6"/>
        <v/>
      </c>
      <c r="AA365" s="28" t="str">
        <f t="shared" si="7"/>
        <v/>
      </c>
      <c r="AB365" s="5" t="str">
        <f t="shared" si="8"/>
        <v/>
      </c>
      <c r="AC365" s="28" t="str">
        <f t="shared" si="9"/>
        <v/>
      </c>
      <c r="AD365" s="5" t="str">
        <f t="shared" si="10"/>
        <v/>
      </c>
    </row>
    <row r="366" ht="15.75" customHeight="1">
      <c r="A366" s="5" t="s">
        <v>979</v>
      </c>
      <c r="B366" s="5" t="s">
        <v>445</v>
      </c>
      <c r="C366" s="5" t="s">
        <v>627</v>
      </c>
      <c r="D366" s="5">
        <v>1240.0</v>
      </c>
      <c r="E366" s="5" t="s">
        <v>829</v>
      </c>
      <c r="F366" s="5" t="s">
        <v>629</v>
      </c>
      <c r="G366" s="5" t="s">
        <v>629</v>
      </c>
      <c r="H366" s="5" t="s">
        <v>629</v>
      </c>
      <c r="I366" s="11">
        <v>571.0</v>
      </c>
      <c r="J366" s="11">
        <v>575.0</v>
      </c>
      <c r="K366" s="11">
        <v>845.0</v>
      </c>
      <c r="L366" s="11">
        <v>932.0</v>
      </c>
      <c r="M366" s="11">
        <v>653.0</v>
      </c>
      <c r="N366" s="11">
        <v>694.0</v>
      </c>
      <c r="O366" s="11">
        <v>880.0</v>
      </c>
      <c r="P366" s="11">
        <v>960.0</v>
      </c>
      <c r="Q366" s="11">
        <f t="shared" si="1"/>
        <v>1146</v>
      </c>
      <c r="R366" s="11">
        <f t="shared" si="2"/>
        <v>1777</v>
      </c>
      <c r="S366" s="11">
        <f t="shared" si="3"/>
        <v>1347</v>
      </c>
      <c r="T366" s="11">
        <f t="shared" si="4"/>
        <v>1840</v>
      </c>
      <c r="U366" s="10">
        <f>IF(Q366&gt;0,(I366/Q366-District!$B$4)*100,"")</f>
        <v>-3.586753695</v>
      </c>
      <c r="V366" s="10">
        <f>IF(R366&gt;0,(K366/R366-District!$B$5)*100,"")</f>
        <v>-2.197917564</v>
      </c>
      <c r="W366" s="10">
        <f>IF(S366&gt;0,(M366/S366-District!$B$6)*100,"")</f>
        <v>-2.504921224</v>
      </c>
      <c r="X366" s="10">
        <f>IF(T366&gt;0,(O366/T366-District!$B$7)*100,"")</f>
        <v>-1.670335186</v>
      </c>
      <c r="Y366" s="28" t="str">
        <f t="shared" si="5"/>
        <v/>
      </c>
      <c r="Z366" s="5" t="str">
        <f t="shared" si="6"/>
        <v/>
      </c>
      <c r="AA366" s="28" t="str">
        <f t="shared" si="7"/>
        <v/>
      </c>
      <c r="AB366" s="5" t="str">
        <f t="shared" si="8"/>
        <v/>
      </c>
      <c r="AC366" s="28" t="str">
        <f t="shared" si="9"/>
        <v/>
      </c>
      <c r="AD366" s="5" t="str">
        <f t="shared" si="10"/>
        <v/>
      </c>
    </row>
    <row r="367" ht="15.75" customHeight="1">
      <c r="A367" s="5" t="s">
        <v>980</v>
      </c>
      <c r="B367" s="5" t="s">
        <v>445</v>
      </c>
      <c r="C367" s="5" t="s">
        <v>627</v>
      </c>
      <c r="D367" s="5">
        <v>1245.0</v>
      </c>
      <c r="E367" s="5" t="s">
        <v>829</v>
      </c>
      <c r="F367" s="5"/>
      <c r="G367" s="5"/>
      <c r="H367" s="5"/>
      <c r="I367" s="11"/>
      <c r="J367" s="11"/>
      <c r="K367" s="11"/>
      <c r="L367" s="11"/>
      <c r="M367" s="11"/>
      <c r="N367" s="11"/>
      <c r="O367" s="11"/>
      <c r="P367" s="11"/>
      <c r="Q367" s="11">
        <f t="shared" si="1"/>
        <v>0</v>
      </c>
      <c r="R367" s="11">
        <f t="shared" si="2"/>
        <v>0</v>
      </c>
      <c r="S367" s="11">
        <f t="shared" si="3"/>
        <v>0</v>
      </c>
      <c r="T367" s="11">
        <f t="shared" si="4"/>
        <v>0</v>
      </c>
      <c r="U367" s="10" t="str">
        <f>IF(Q367&gt;0,(I367/Q367-District!$B$4)*100,"")</f>
        <v/>
      </c>
      <c r="V367" s="10" t="str">
        <f>IF(R367&gt;0,(K367/R367-District!$B$5)*100,"")</f>
        <v/>
      </c>
      <c r="W367" s="10" t="str">
        <f>IF(S367&gt;0,(M367/S367-District!$B$6)*100,"")</f>
        <v/>
      </c>
      <c r="X367" s="10" t="str">
        <f>IF(T367&gt;0,(O367/T367-District!$B$7)*100,"")</f>
        <v/>
      </c>
      <c r="Y367" s="28" t="str">
        <f t="shared" si="5"/>
        <v/>
      </c>
      <c r="Z367" s="5" t="str">
        <f t="shared" si="6"/>
        <v/>
      </c>
      <c r="AA367" s="28" t="str">
        <f t="shared" si="7"/>
        <v/>
      </c>
      <c r="AB367" s="5" t="str">
        <f t="shared" si="8"/>
        <v/>
      </c>
      <c r="AC367" s="28" t="str">
        <f t="shared" si="9"/>
        <v/>
      </c>
      <c r="AD367" s="5" t="str">
        <f t="shared" si="10"/>
        <v/>
      </c>
    </row>
    <row r="368" ht="15.75" customHeight="1">
      <c r="A368" s="5" t="s">
        <v>981</v>
      </c>
      <c r="B368" s="5" t="s">
        <v>445</v>
      </c>
      <c r="C368" s="5" t="s">
        <v>630</v>
      </c>
      <c r="D368" s="5">
        <v>1250.0</v>
      </c>
      <c r="E368" s="5" t="s">
        <v>122</v>
      </c>
      <c r="F368" s="5" t="s">
        <v>631</v>
      </c>
      <c r="G368" s="5" t="s">
        <v>631</v>
      </c>
      <c r="H368" s="5" t="s">
        <v>631</v>
      </c>
      <c r="I368" s="11">
        <v>250.0</v>
      </c>
      <c r="J368" s="11">
        <v>344.0</v>
      </c>
      <c r="K368" s="11">
        <v>379.0</v>
      </c>
      <c r="L368" s="11">
        <v>605.0</v>
      </c>
      <c r="M368" s="11">
        <v>305.0</v>
      </c>
      <c r="N368" s="11">
        <v>419.0</v>
      </c>
      <c r="O368" s="11">
        <v>416.0</v>
      </c>
      <c r="P368" s="11">
        <v>658.0</v>
      </c>
      <c r="Q368" s="11">
        <f t="shared" si="1"/>
        <v>594</v>
      </c>
      <c r="R368" s="11">
        <f t="shared" si="2"/>
        <v>984</v>
      </c>
      <c r="S368" s="11">
        <f t="shared" si="3"/>
        <v>724</v>
      </c>
      <c r="T368" s="11">
        <f t="shared" si="4"/>
        <v>1074</v>
      </c>
      <c r="U368" s="10">
        <f>IF(Q368&gt;0,(I368/Q368-District!$B$4)*100,"")</f>
        <v>-11.32469154</v>
      </c>
      <c r="V368" s="10">
        <f>IF(R368&gt;0,(K368/R368-District!$B$5)*100,"")</f>
        <v>-11.23371143</v>
      </c>
      <c r="W368" s="10">
        <f>IF(S368&gt;0,(M368/S368-District!$B$6)*100,"")</f>
        <v>-8.855948881</v>
      </c>
      <c r="X368" s="10">
        <f>IF(T368&gt;0,(O368/T368-District!$B$7)*100,"")</f>
        <v>-10.76271637</v>
      </c>
      <c r="Y368" s="28">
        <f t="shared" si="5"/>
        <v>11.32469055</v>
      </c>
      <c r="Z368" s="5">
        <f t="shared" si="6"/>
        <v>139</v>
      </c>
      <c r="AA368" s="28">
        <f t="shared" si="7"/>
        <v>11.2337107</v>
      </c>
      <c r="AB368" s="5">
        <f t="shared" si="8"/>
        <v>135</v>
      </c>
      <c r="AC368" s="28">
        <f t="shared" si="9"/>
        <v>10.7627153</v>
      </c>
      <c r="AD368" s="5">
        <f t="shared" si="10"/>
        <v>145</v>
      </c>
    </row>
    <row r="369" ht="15.75" customHeight="1">
      <c r="A369" s="5" t="s">
        <v>982</v>
      </c>
      <c r="B369" s="5" t="s">
        <v>445</v>
      </c>
      <c r="C369" s="5" t="s">
        <v>418</v>
      </c>
      <c r="D369" s="5">
        <v>1260.0</v>
      </c>
      <c r="E369" s="5" t="s">
        <v>829</v>
      </c>
      <c r="F369" s="5" t="s">
        <v>632</v>
      </c>
      <c r="G369" s="5" t="s">
        <v>632</v>
      </c>
      <c r="H369" s="5" t="s">
        <v>632</v>
      </c>
      <c r="I369" s="11">
        <v>548.0</v>
      </c>
      <c r="J369" s="11">
        <v>870.0</v>
      </c>
      <c r="K369" s="11">
        <v>786.0</v>
      </c>
      <c r="L369" s="11">
        <v>1523.0</v>
      </c>
      <c r="M369" s="11">
        <v>628.0</v>
      </c>
      <c r="N369" s="11">
        <v>1170.0</v>
      </c>
      <c r="O369" s="11">
        <v>541.0</v>
      </c>
      <c r="P369" s="11">
        <v>1106.0</v>
      </c>
      <c r="Q369" s="11">
        <f t="shared" si="1"/>
        <v>1418</v>
      </c>
      <c r="R369" s="11">
        <f t="shared" si="2"/>
        <v>2309</v>
      </c>
      <c r="S369" s="11">
        <f t="shared" si="3"/>
        <v>1798</v>
      </c>
      <c r="T369" s="11">
        <f t="shared" si="4"/>
        <v>1647</v>
      </c>
      <c r="U369" s="10">
        <f>IF(Q369&gt;0,(I369/Q369-District!$B$4)*100,"")</f>
        <v>-14.76625337</v>
      </c>
      <c r="V369" s="10">
        <f>IF(R369&gt;0,(K369/R369-District!$B$5)*100,"")</f>
        <v>-15.70926132</v>
      </c>
      <c r="W369" s="10">
        <f>IF(S369&gt;0,(M369/S369-District!$B$6)*100,"")</f>
        <v>-16.05532326</v>
      </c>
      <c r="X369" s="10">
        <f>IF(T369&gt;0,(O369/T369-District!$B$7)*100,"")</f>
        <v>-16.64882044</v>
      </c>
      <c r="Y369" s="28" t="str">
        <f t="shared" si="5"/>
        <v/>
      </c>
      <c r="Z369" s="5" t="str">
        <f t="shared" si="6"/>
        <v/>
      </c>
      <c r="AA369" s="28" t="str">
        <f t="shared" si="7"/>
        <v/>
      </c>
      <c r="AB369" s="5" t="str">
        <f t="shared" si="8"/>
        <v/>
      </c>
      <c r="AC369" s="28" t="str">
        <f t="shared" si="9"/>
        <v/>
      </c>
      <c r="AD369" s="5" t="str">
        <f t="shared" si="10"/>
        <v/>
      </c>
    </row>
    <row r="370" ht="15.75" customHeight="1">
      <c r="A370" s="5" t="s">
        <v>983</v>
      </c>
      <c r="B370" s="5" t="s">
        <v>445</v>
      </c>
      <c r="C370" s="5" t="s">
        <v>418</v>
      </c>
      <c r="D370" s="5">
        <v>1270.0</v>
      </c>
      <c r="E370" s="5" t="s">
        <v>829</v>
      </c>
      <c r="F370" s="5"/>
      <c r="G370" s="5" t="s">
        <v>633</v>
      </c>
      <c r="H370" s="5" t="s">
        <v>633</v>
      </c>
      <c r="I370" s="11">
        <v>176.0</v>
      </c>
      <c r="J370" s="11">
        <v>268.0</v>
      </c>
      <c r="K370" s="11">
        <v>246.0</v>
      </c>
      <c r="L370" s="11">
        <v>448.0</v>
      </c>
      <c r="M370" s="11">
        <v>212.0</v>
      </c>
      <c r="N370" s="11">
        <v>363.0</v>
      </c>
      <c r="O370" s="11">
        <v>500.0</v>
      </c>
      <c r="P370" s="11">
        <v>982.0</v>
      </c>
      <c r="Q370" s="11">
        <f t="shared" si="1"/>
        <v>444</v>
      </c>
      <c r="R370" s="11">
        <f t="shared" si="2"/>
        <v>694</v>
      </c>
      <c r="S370" s="11">
        <f t="shared" si="3"/>
        <v>575</v>
      </c>
      <c r="T370" s="11">
        <f t="shared" si="4"/>
        <v>1482</v>
      </c>
      <c r="U370" s="10">
        <f>IF(Q370&gt;0,(I370/Q370-District!$B$4)*100,"")</f>
        <v>-13.77259399</v>
      </c>
      <c r="V370" s="10">
        <f>IF(R370&gt;0,(K370/R370-District!$B$5)*100,"")</f>
        <v>-14.30328571</v>
      </c>
      <c r="W370" s="10">
        <f>IF(S370&gt;0,(M370/S370-District!$B$6)*100,"")</f>
        <v>-14.11345549</v>
      </c>
      <c r="X370" s="10">
        <f>IF(T370&gt;0,(O370/T370-District!$B$7)*100,"")</f>
        <v>-15.75823051</v>
      </c>
      <c r="Y370" s="28" t="str">
        <f t="shared" si="5"/>
        <v/>
      </c>
      <c r="Z370" s="5" t="str">
        <f t="shared" si="6"/>
        <v/>
      </c>
      <c r="AA370" s="28" t="str">
        <f t="shared" si="7"/>
        <v/>
      </c>
      <c r="AB370" s="5" t="str">
        <f t="shared" si="8"/>
        <v/>
      </c>
      <c r="AC370" s="28" t="str">
        <f t="shared" si="9"/>
        <v/>
      </c>
      <c r="AD370" s="5" t="str">
        <f t="shared" si="10"/>
        <v/>
      </c>
    </row>
    <row r="371" ht="15.75" customHeight="1">
      <c r="A371" s="5" t="s">
        <v>984</v>
      </c>
      <c r="B371" s="5" t="s">
        <v>445</v>
      </c>
      <c r="C371" s="5" t="s">
        <v>634</v>
      </c>
      <c r="D371" s="5">
        <v>1280.0</v>
      </c>
      <c r="E371" s="5" t="s">
        <v>122</v>
      </c>
      <c r="F371" s="5" t="s">
        <v>634</v>
      </c>
      <c r="G371" s="5" t="s">
        <v>634</v>
      </c>
      <c r="H371" s="5" t="s">
        <v>634</v>
      </c>
      <c r="I371" s="11">
        <v>190.0</v>
      </c>
      <c r="J371" s="11">
        <v>165.0</v>
      </c>
      <c r="K371" s="11">
        <v>249.0</v>
      </c>
      <c r="L371" s="11">
        <v>326.0</v>
      </c>
      <c r="M371" s="11">
        <v>199.0</v>
      </c>
      <c r="N371" s="11">
        <v>215.0</v>
      </c>
      <c r="O371" s="11">
        <v>281.0</v>
      </c>
      <c r="P371" s="11">
        <v>310.0</v>
      </c>
      <c r="Q371" s="11">
        <f t="shared" si="1"/>
        <v>355</v>
      </c>
      <c r="R371" s="11">
        <f t="shared" si="2"/>
        <v>575</v>
      </c>
      <c r="S371" s="11">
        <f t="shared" si="3"/>
        <v>414</v>
      </c>
      <c r="T371" s="11">
        <f t="shared" si="4"/>
        <v>591</v>
      </c>
      <c r="U371" s="10">
        <f>IF(Q371&gt;0,(I371/Q371-District!$B$4)*100,"")</f>
        <v>0.1088931351</v>
      </c>
      <c r="V371" s="10">
        <f>IF(R371&gt;0,(K371/R371-District!$B$5)*100,"")</f>
        <v>-6.445623762</v>
      </c>
      <c r="W371" s="10">
        <f>IF(S371&gt;0,(M371/S371-District!$B$6)*100,"")</f>
        <v>-2.915387854</v>
      </c>
      <c r="X371" s="10">
        <f>IF(T371&gt;0,(O371/T371-District!$B$7)*100,"")</f>
        <v>-1.94989084</v>
      </c>
      <c r="Y371" s="28">
        <f t="shared" si="5"/>
        <v>6.445623187</v>
      </c>
      <c r="Z371" s="5">
        <f t="shared" si="6"/>
        <v>92</v>
      </c>
      <c r="AA371" s="28">
        <f t="shared" si="7"/>
        <v>6.445623348</v>
      </c>
      <c r="AB371" s="5">
        <f t="shared" si="8"/>
        <v>90</v>
      </c>
      <c r="AC371" s="28">
        <f t="shared" si="9"/>
        <v>2.915387263</v>
      </c>
      <c r="AD371" s="5">
        <f t="shared" si="10"/>
        <v>52</v>
      </c>
    </row>
    <row r="372" ht="15.75" customHeight="1">
      <c r="A372" s="5" t="s">
        <v>985</v>
      </c>
      <c r="B372" s="5" t="s">
        <v>445</v>
      </c>
      <c r="C372" s="5" t="s">
        <v>986</v>
      </c>
      <c r="D372" s="5">
        <v>1290.0</v>
      </c>
      <c r="E372" s="5" t="s">
        <v>122</v>
      </c>
      <c r="F372" s="5" t="s">
        <v>636</v>
      </c>
      <c r="G372" s="5" t="s">
        <v>636</v>
      </c>
      <c r="H372" s="5" t="s">
        <v>636</v>
      </c>
      <c r="I372" s="11">
        <v>372.0</v>
      </c>
      <c r="J372" s="11">
        <v>432.0</v>
      </c>
      <c r="K372" s="11">
        <v>467.0</v>
      </c>
      <c r="L372" s="11">
        <v>684.0</v>
      </c>
      <c r="M372" s="11">
        <v>427.0</v>
      </c>
      <c r="N372" s="11">
        <v>553.0</v>
      </c>
      <c r="O372" s="11">
        <v>514.0</v>
      </c>
      <c r="P372" s="11">
        <v>713.0</v>
      </c>
      <c r="Q372" s="11">
        <f t="shared" si="1"/>
        <v>804</v>
      </c>
      <c r="R372" s="11">
        <f t="shared" si="2"/>
        <v>1151</v>
      </c>
      <c r="S372" s="11">
        <f t="shared" si="3"/>
        <v>980</v>
      </c>
      <c r="T372" s="11">
        <f t="shared" si="4"/>
        <v>1227</v>
      </c>
      <c r="U372" s="10">
        <f>IF(Q372&gt;0,(I372/Q372-District!$B$4)*100,"")</f>
        <v>-7.143576909</v>
      </c>
      <c r="V372" s="10">
        <f>IF(R372&gt;0,(K372/R372-District!$B$5)*100,"")</f>
        <v>-9.176557165</v>
      </c>
      <c r="W372" s="10">
        <f>IF(S372&gt;0,(M372/S372-District!$B$6)*100,"")</f>
        <v>-7.411592133</v>
      </c>
      <c r="X372" s="10">
        <f>IF(T372&gt;0,(O372/T372-District!$B$7)*100,"")</f>
        <v>-7.605631597</v>
      </c>
      <c r="Y372" s="28">
        <f t="shared" si="5"/>
        <v>9.176556014</v>
      </c>
      <c r="Z372" s="5">
        <f t="shared" si="6"/>
        <v>118</v>
      </c>
      <c r="AA372" s="28">
        <f t="shared" si="7"/>
        <v>9.176556185</v>
      </c>
      <c r="AB372" s="5">
        <f t="shared" si="8"/>
        <v>113</v>
      </c>
      <c r="AC372" s="28">
        <f t="shared" si="9"/>
        <v>7.60563037</v>
      </c>
      <c r="AD372" s="5">
        <f t="shared" si="10"/>
        <v>108</v>
      </c>
    </row>
    <row r="373" ht="15.75" customHeight="1">
      <c r="A373" s="5" t="s">
        <v>987</v>
      </c>
      <c r="B373" s="5" t="s">
        <v>445</v>
      </c>
      <c r="C373" s="5" t="s">
        <v>986</v>
      </c>
      <c r="D373" s="5">
        <v>1300.0</v>
      </c>
      <c r="E373" s="5" t="s">
        <v>122</v>
      </c>
      <c r="F373" s="5" t="s">
        <v>637</v>
      </c>
      <c r="G373" s="5" t="s">
        <v>637</v>
      </c>
      <c r="H373" s="5" t="s">
        <v>637</v>
      </c>
      <c r="I373" s="11">
        <v>292.0</v>
      </c>
      <c r="J373" s="11">
        <v>408.0</v>
      </c>
      <c r="K373" s="11">
        <v>385.0</v>
      </c>
      <c r="L373" s="11">
        <v>656.0</v>
      </c>
      <c r="M373" s="11">
        <v>338.0</v>
      </c>
      <c r="N373" s="11">
        <v>507.0</v>
      </c>
      <c r="O373" s="11">
        <v>425.0</v>
      </c>
      <c r="P373" s="11">
        <v>656.0</v>
      </c>
      <c r="Q373" s="11">
        <f t="shared" si="1"/>
        <v>700</v>
      </c>
      <c r="R373" s="11">
        <f t="shared" si="2"/>
        <v>1041</v>
      </c>
      <c r="S373" s="11">
        <f t="shared" si="3"/>
        <v>845</v>
      </c>
      <c r="T373" s="11">
        <f t="shared" si="4"/>
        <v>1081</v>
      </c>
      <c r="U373" s="10">
        <f>IF(Q373&gt;0,(I373/Q373-District!$B$4)*100,"")</f>
        <v>-11.69794791</v>
      </c>
      <c r="V373" s="10">
        <f>IF(R373&gt;0,(K373/R373-District!$B$5)*100,"")</f>
        <v>-12.76630204</v>
      </c>
      <c r="W373" s="10">
        <f>IF(S373&gt;0,(M373/S373-District!$B$6)*100,"")</f>
        <v>-10.9830207</v>
      </c>
      <c r="X373" s="10">
        <f>IF(T373&gt;0,(O373/T373-District!$B$7)*100,"")</f>
        <v>-10.18097348</v>
      </c>
      <c r="Y373" s="28">
        <f t="shared" si="5"/>
        <v>12.766301</v>
      </c>
      <c r="Z373" s="5">
        <f t="shared" si="6"/>
        <v>149</v>
      </c>
      <c r="AA373" s="28">
        <f t="shared" si="7"/>
        <v>12.76630119</v>
      </c>
      <c r="AB373" s="5">
        <f t="shared" si="8"/>
        <v>146</v>
      </c>
      <c r="AC373" s="28">
        <f t="shared" si="9"/>
        <v>10.98301962</v>
      </c>
      <c r="AD373" s="5">
        <f t="shared" si="10"/>
        <v>149</v>
      </c>
    </row>
    <row r="374" ht="15.75" customHeight="1">
      <c r="A374" s="5" t="s">
        <v>988</v>
      </c>
      <c r="B374" s="5" t="s">
        <v>445</v>
      </c>
      <c r="C374" s="5" t="s">
        <v>986</v>
      </c>
      <c r="D374" s="5">
        <v>1310.0</v>
      </c>
      <c r="E374" s="5" t="s">
        <v>122</v>
      </c>
      <c r="F374" s="5" t="s">
        <v>639</v>
      </c>
      <c r="G374" s="5" t="s">
        <v>639</v>
      </c>
      <c r="H374" s="5" t="s">
        <v>639</v>
      </c>
      <c r="I374" s="11">
        <v>383.0</v>
      </c>
      <c r="J374" s="11">
        <v>419.0</v>
      </c>
      <c r="K374" s="11">
        <v>620.0</v>
      </c>
      <c r="L374" s="11">
        <v>647.0</v>
      </c>
      <c r="M374" s="11">
        <v>444.0</v>
      </c>
      <c r="N374" s="11">
        <v>467.0</v>
      </c>
      <c r="O374" s="11">
        <v>624.0</v>
      </c>
      <c r="P374" s="11">
        <v>618.0</v>
      </c>
      <c r="Q374" s="11">
        <f t="shared" si="1"/>
        <v>802</v>
      </c>
      <c r="R374" s="11">
        <f t="shared" si="2"/>
        <v>1267</v>
      </c>
      <c r="S374" s="11">
        <f t="shared" si="3"/>
        <v>911</v>
      </c>
      <c r="T374" s="11">
        <f t="shared" si="4"/>
        <v>1242</v>
      </c>
      <c r="U374" s="10">
        <f>IF(Q374&gt;0,(I374/Q374-District!$B$4)*100,"")</f>
        <v>-5.656622653</v>
      </c>
      <c r="V374" s="10">
        <f>IF(R374&gt;0,(K374/R374-District!$B$5)*100,"")</f>
        <v>-0.8154806642</v>
      </c>
      <c r="W374" s="10">
        <f>IF(S374&gt;0,(M374/S374-District!$B$6)*100,"")</f>
        <v>-2.245369772</v>
      </c>
      <c r="X374" s="10">
        <f>IF(T374&gt;0,(O374/T374-District!$B$7)*100,"")</f>
        <v>0.7451237512</v>
      </c>
      <c r="Y374" s="28">
        <f t="shared" si="5"/>
        <v>5.656621386</v>
      </c>
      <c r="Z374" s="5">
        <f t="shared" si="6"/>
        <v>80</v>
      </c>
      <c r="AA374" s="28">
        <f t="shared" si="7"/>
        <v>2.245368861</v>
      </c>
      <c r="AB374" s="5">
        <f t="shared" si="8"/>
        <v>32</v>
      </c>
      <c r="AC374" s="28">
        <f t="shared" si="9"/>
        <v>2.24536853</v>
      </c>
      <c r="AD374" s="5">
        <f t="shared" si="10"/>
        <v>37</v>
      </c>
    </row>
    <row r="375" ht="15.75" customHeight="1">
      <c r="A375" s="5" t="s">
        <v>989</v>
      </c>
      <c r="B375" s="5" t="s">
        <v>445</v>
      </c>
      <c r="C375" s="5" t="s">
        <v>986</v>
      </c>
      <c r="D375" s="5">
        <v>1320.0</v>
      </c>
      <c r="E375" s="5" t="s">
        <v>122</v>
      </c>
      <c r="F375" s="5" t="s">
        <v>640</v>
      </c>
      <c r="G375" s="5" t="s">
        <v>640</v>
      </c>
      <c r="H375" s="5" t="s">
        <v>640</v>
      </c>
      <c r="I375" s="11">
        <v>249.0</v>
      </c>
      <c r="J375" s="11">
        <v>275.0</v>
      </c>
      <c r="K375" s="11">
        <v>295.0</v>
      </c>
      <c r="L375" s="11">
        <v>392.0</v>
      </c>
      <c r="M375" s="11">
        <v>247.0</v>
      </c>
      <c r="N375" s="11">
        <v>333.0</v>
      </c>
      <c r="O375" s="11">
        <v>284.0</v>
      </c>
      <c r="P375" s="11">
        <v>414.0</v>
      </c>
      <c r="Q375" s="11">
        <f t="shared" si="1"/>
        <v>524</v>
      </c>
      <c r="R375" s="11">
        <f t="shared" si="2"/>
        <v>687</v>
      </c>
      <c r="S375" s="11">
        <f t="shared" si="3"/>
        <v>580</v>
      </c>
      <c r="T375" s="11">
        <f t="shared" si="4"/>
        <v>698</v>
      </c>
      <c r="U375" s="10">
        <f>IF(Q375&gt;0,(I375/Q375-District!$B$4)*100,"")</f>
        <v>-5.893149656</v>
      </c>
      <c r="V375" s="10">
        <f>IF(R375&gt;0,(K375/R375-District!$B$5)*100,"")</f>
        <v>-6.809651355</v>
      </c>
      <c r="W375" s="10">
        <f>IF(S375&gt;0,(M375/S375-District!$B$6)*100,"")</f>
        <v>-8.396813808</v>
      </c>
      <c r="X375" s="10">
        <f>IF(T375&gt;0,(O375/T375-District!$B$7)*100,"")</f>
        <v>-8.808743059</v>
      </c>
      <c r="Y375" s="28">
        <f t="shared" si="5"/>
        <v>6.809650668</v>
      </c>
      <c r="Z375" s="5">
        <f t="shared" si="6"/>
        <v>97</v>
      </c>
      <c r="AA375" s="28">
        <f t="shared" si="7"/>
        <v>8.396813228</v>
      </c>
      <c r="AB375" s="5">
        <f t="shared" si="8"/>
        <v>108</v>
      </c>
      <c r="AC375" s="28">
        <f t="shared" si="9"/>
        <v>8.808742361</v>
      </c>
      <c r="AD375" s="5">
        <f t="shared" si="10"/>
        <v>121</v>
      </c>
    </row>
    <row r="376" ht="15.75" customHeight="1">
      <c r="A376" s="5" t="s">
        <v>990</v>
      </c>
      <c r="B376" s="5" t="s">
        <v>445</v>
      </c>
      <c r="C376" s="5" t="s">
        <v>641</v>
      </c>
      <c r="D376" s="5">
        <v>1330.0</v>
      </c>
      <c r="E376" s="5" t="s">
        <v>122</v>
      </c>
      <c r="F376" s="5" t="s">
        <v>642</v>
      </c>
      <c r="G376" s="5" t="s">
        <v>642</v>
      </c>
      <c r="H376" s="5" t="s">
        <v>642</v>
      </c>
      <c r="I376" s="11">
        <v>404.0</v>
      </c>
      <c r="J376" s="11">
        <v>245.0</v>
      </c>
      <c r="K376" s="11">
        <v>625.0</v>
      </c>
      <c r="L376" s="11">
        <v>447.0</v>
      </c>
      <c r="M376" s="11">
        <v>457.0</v>
      </c>
      <c r="N376" s="11">
        <v>286.0</v>
      </c>
      <c r="O376" s="11">
        <v>648.0</v>
      </c>
      <c r="P376" s="11">
        <v>462.0</v>
      </c>
      <c r="Q376" s="11">
        <f t="shared" si="1"/>
        <v>649</v>
      </c>
      <c r="R376" s="11">
        <f t="shared" si="2"/>
        <v>1072</v>
      </c>
      <c r="S376" s="11">
        <f t="shared" si="3"/>
        <v>743</v>
      </c>
      <c r="T376" s="11">
        <f t="shared" si="4"/>
        <v>1110</v>
      </c>
      <c r="U376" s="10">
        <f>IF(Q376&gt;0,(I376/Q376-District!$B$4)*100,"")</f>
        <v>8.837381167</v>
      </c>
      <c r="V376" s="10">
        <f>IF(R376&gt;0,(K376/R376-District!$B$5)*100,"")</f>
        <v>8.552267218</v>
      </c>
      <c r="W376" s="10">
        <f>IF(S376&gt;0,(M376/S376-District!$B$6)*100,"")</f>
        <v>10.52438172</v>
      </c>
      <c r="X376" s="10">
        <f>IF(T376&gt;0,(O376/T376-District!$B$7)*100,"")</f>
        <v>8.881956236</v>
      </c>
      <c r="Y376" s="28">
        <f t="shared" si="5"/>
        <v>8.837380095</v>
      </c>
      <c r="Z376" s="5">
        <f t="shared" si="6"/>
        <v>111</v>
      </c>
      <c r="AA376" s="28">
        <f t="shared" si="7"/>
        <v>10.52438098</v>
      </c>
      <c r="AB376" s="5">
        <f t="shared" si="8"/>
        <v>128</v>
      </c>
      <c r="AC376" s="28">
        <f t="shared" si="9"/>
        <v>10.52438061</v>
      </c>
      <c r="AD376" s="5">
        <f t="shared" si="10"/>
        <v>138</v>
      </c>
    </row>
    <row r="377" ht="15.75" customHeight="1">
      <c r="A377" s="5" t="s">
        <v>991</v>
      </c>
      <c r="B377" s="5" t="s">
        <v>445</v>
      </c>
      <c r="C377" s="5" t="s">
        <v>641</v>
      </c>
      <c r="D377" s="5">
        <v>1340.0</v>
      </c>
      <c r="E377" s="5" t="s">
        <v>122</v>
      </c>
      <c r="F377" s="5" t="s">
        <v>643</v>
      </c>
      <c r="G377" s="5" t="s">
        <v>643</v>
      </c>
      <c r="H377" s="5" t="s">
        <v>643</v>
      </c>
      <c r="I377" s="11">
        <v>346.0</v>
      </c>
      <c r="J377" s="11">
        <v>192.0</v>
      </c>
      <c r="K377" s="11">
        <v>518.0</v>
      </c>
      <c r="L377" s="11">
        <v>384.0</v>
      </c>
      <c r="M377" s="11">
        <v>353.0</v>
      </c>
      <c r="N377" s="11">
        <v>251.0</v>
      </c>
      <c r="O377" s="11">
        <v>491.0</v>
      </c>
      <c r="P377" s="11">
        <v>402.0</v>
      </c>
      <c r="Q377" s="11">
        <f t="shared" si="1"/>
        <v>538</v>
      </c>
      <c r="R377" s="11">
        <f t="shared" si="2"/>
        <v>902</v>
      </c>
      <c r="S377" s="11">
        <f t="shared" si="3"/>
        <v>604</v>
      </c>
      <c r="T377" s="11">
        <f t="shared" si="4"/>
        <v>893</v>
      </c>
      <c r="U377" s="10">
        <f>IF(Q377&gt;0,(I377/Q377-District!$B$4)*100,"")</f>
        <v>10.90003403</v>
      </c>
      <c r="V377" s="10">
        <f>IF(R377&gt;0,(K377/R377-District!$B$5)*100,"")</f>
        <v>7.677966328</v>
      </c>
      <c r="W377" s="10">
        <f>IF(S377&gt;0,(M377/S377-District!$B$6)*100,"")</f>
        <v>7.460687905</v>
      </c>
      <c r="X377" s="10">
        <f>IF(T377&gt;0,(O377/T377-District!$B$7)*100,"")</f>
        <v>5.486780545</v>
      </c>
      <c r="Y377" s="28">
        <f t="shared" si="5"/>
        <v>10.90003313</v>
      </c>
      <c r="Z377" s="5">
        <f t="shared" si="6"/>
        <v>135</v>
      </c>
      <c r="AA377" s="28">
        <f t="shared" si="7"/>
        <v>7.677965724</v>
      </c>
      <c r="AB377" s="5">
        <f t="shared" si="8"/>
        <v>99</v>
      </c>
      <c r="AC377" s="28">
        <f t="shared" si="9"/>
        <v>7.460687012</v>
      </c>
      <c r="AD377" s="5">
        <f t="shared" si="10"/>
        <v>107</v>
      </c>
    </row>
    <row r="378" ht="15.75" customHeight="1">
      <c r="A378" s="5" t="s">
        <v>992</v>
      </c>
      <c r="B378" s="5" t="s">
        <v>445</v>
      </c>
      <c r="C378" s="5" t="s">
        <v>641</v>
      </c>
      <c r="D378" s="5">
        <v>1350.0</v>
      </c>
      <c r="E378" s="5" t="s">
        <v>122</v>
      </c>
      <c r="F378" s="5" t="s">
        <v>644</v>
      </c>
      <c r="G378" s="5" t="s">
        <v>644</v>
      </c>
      <c r="H378" s="5" t="s">
        <v>644</v>
      </c>
      <c r="I378" s="11">
        <v>497.0</v>
      </c>
      <c r="J378" s="11">
        <v>373.0</v>
      </c>
      <c r="K378" s="11">
        <v>735.0</v>
      </c>
      <c r="L378" s="11">
        <v>687.0</v>
      </c>
      <c r="M378" s="11">
        <v>530.0</v>
      </c>
      <c r="N378" s="11">
        <v>416.0</v>
      </c>
      <c r="O378" s="11">
        <v>758.0</v>
      </c>
      <c r="P378" s="11">
        <v>674.0</v>
      </c>
      <c r="Q378" s="11">
        <f t="shared" si="1"/>
        <v>870</v>
      </c>
      <c r="R378" s="11">
        <f t="shared" si="2"/>
        <v>1422</v>
      </c>
      <c r="S378" s="11">
        <f t="shared" si="3"/>
        <v>946</v>
      </c>
      <c r="T378" s="11">
        <f t="shared" si="4"/>
        <v>1432</v>
      </c>
      <c r="U378" s="10">
        <f>IF(Q378&gt;0,(I378/Q378-District!$B$4)*100,"")</f>
        <v>3.714203156</v>
      </c>
      <c r="V378" s="10">
        <f>IF(R378&gt;0,(K378/R378-District!$B$5)*100,"")</f>
        <v>1.937792125</v>
      </c>
      <c r="W378" s="10">
        <f>IF(S378&gt;0,(M378/S378-District!$B$6)*100,"")</f>
        <v>5.042349274</v>
      </c>
      <c r="X378" s="10">
        <f>IF(T378&gt;0,(O378/T378-District!$B$7)*100,"")</f>
        <v>3.436538751</v>
      </c>
      <c r="Y378" s="28">
        <f t="shared" si="5"/>
        <v>3.714201734</v>
      </c>
      <c r="Z378" s="5">
        <f t="shared" si="6"/>
        <v>52</v>
      </c>
      <c r="AA378" s="28">
        <f t="shared" si="7"/>
        <v>5.042348328</v>
      </c>
      <c r="AB378" s="5">
        <f t="shared" si="8"/>
        <v>76</v>
      </c>
      <c r="AC378" s="28">
        <f t="shared" si="9"/>
        <v>5.042347842</v>
      </c>
      <c r="AD378" s="5">
        <f t="shared" si="10"/>
        <v>82</v>
      </c>
    </row>
    <row r="379" ht="15.75" customHeight="1">
      <c r="A379" s="5" t="s">
        <v>993</v>
      </c>
      <c r="B379" s="5" t="s">
        <v>445</v>
      </c>
      <c r="C379" s="5" t="s">
        <v>645</v>
      </c>
      <c r="D379" s="5">
        <v>1360.0</v>
      </c>
      <c r="E379" s="5" t="s">
        <v>122</v>
      </c>
      <c r="F379" s="5" t="s">
        <v>645</v>
      </c>
      <c r="G379" s="5" t="s">
        <v>645</v>
      </c>
      <c r="H379" s="5" t="s">
        <v>645</v>
      </c>
      <c r="I379" s="11">
        <v>362.0</v>
      </c>
      <c r="J379" s="11">
        <v>437.0</v>
      </c>
      <c r="K379" s="11">
        <v>508.0</v>
      </c>
      <c r="L379" s="11">
        <v>791.0</v>
      </c>
      <c r="M379" s="11">
        <v>494.0</v>
      </c>
      <c r="N379" s="11">
        <v>601.0</v>
      </c>
      <c r="O379" s="11">
        <v>634.0</v>
      </c>
      <c r="P379" s="11">
        <v>856.0</v>
      </c>
      <c r="Q379" s="11">
        <f t="shared" si="1"/>
        <v>799</v>
      </c>
      <c r="R379" s="11">
        <f t="shared" si="2"/>
        <v>1299</v>
      </c>
      <c r="S379" s="11">
        <f t="shared" si="3"/>
        <v>1095</v>
      </c>
      <c r="T379" s="11">
        <f t="shared" si="4"/>
        <v>1490</v>
      </c>
      <c r="U379" s="10">
        <f>IF(Q379&gt;0,(I379/Q379-District!$B$4)*100,"")</f>
        <v>-8.105600334</v>
      </c>
      <c r="V379" s="10">
        <f>IF(R379&gt;0,(K379/R379-District!$B$5)*100,"")</f>
        <v>-10.6429662</v>
      </c>
      <c r="W379" s="10">
        <f>IF(S379&gt;0,(M379/S379-District!$B$6)*100,"")</f>
        <v>-5.868865453</v>
      </c>
      <c r="X379" s="10">
        <f>IF(T379&gt;0,(O379/T379-District!$B$7)*100,"")</f>
        <v>-6.946086572</v>
      </c>
      <c r="Y379" s="28">
        <f t="shared" si="5"/>
        <v>10.6429649</v>
      </c>
      <c r="Z379" s="5">
        <f t="shared" si="6"/>
        <v>132</v>
      </c>
      <c r="AA379" s="28">
        <f t="shared" si="7"/>
        <v>10.6429651</v>
      </c>
      <c r="AB379" s="5">
        <f t="shared" si="8"/>
        <v>130</v>
      </c>
      <c r="AC379" s="28">
        <f t="shared" si="9"/>
        <v>6.946085082</v>
      </c>
      <c r="AD379" s="5">
        <f t="shared" si="10"/>
        <v>101</v>
      </c>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2.0"/>
    <col customWidth="1" min="2" max="2" width="24.0"/>
    <col customWidth="1" min="3" max="3" width="40.0"/>
    <col customWidth="1" min="4" max="15" width="11.0"/>
    <col customWidth="1" min="16" max="26" width="8.71"/>
  </cols>
  <sheetData>
    <row r="1" ht="42.0" customHeight="1">
      <c r="A1" s="7" t="s">
        <v>32</v>
      </c>
      <c r="B1" s="7" t="s">
        <v>94</v>
      </c>
      <c r="C1" s="7" t="s">
        <v>30</v>
      </c>
      <c r="D1" s="7" t="s">
        <v>135</v>
      </c>
      <c r="E1" s="7" t="s">
        <v>136</v>
      </c>
      <c r="F1" s="7" t="s">
        <v>137</v>
      </c>
      <c r="G1" s="7" t="s">
        <v>138</v>
      </c>
      <c r="H1" s="7" t="s">
        <v>139</v>
      </c>
      <c r="I1" s="7" t="s">
        <v>140</v>
      </c>
      <c r="J1" s="7" t="s">
        <v>141</v>
      </c>
      <c r="K1" s="7" t="s">
        <v>142</v>
      </c>
      <c r="L1" s="7" t="s">
        <v>143</v>
      </c>
      <c r="M1" s="7" t="s">
        <v>144</v>
      </c>
      <c r="N1" s="7" t="s">
        <v>145</v>
      </c>
      <c r="O1" s="7" t="s">
        <v>146</v>
      </c>
    </row>
    <row r="2">
      <c r="A2" s="5" t="s">
        <v>120</v>
      </c>
      <c r="B2" s="5" t="s">
        <v>123</v>
      </c>
      <c r="C2" s="5" t="s">
        <v>123</v>
      </c>
      <c r="D2" s="11">
        <v>133.0</v>
      </c>
      <c r="E2" s="11">
        <v>212.0</v>
      </c>
      <c r="F2" s="11">
        <v>137.0</v>
      </c>
      <c r="G2" s="11">
        <v>249.0</v>
      </c>
      <c r="H2" s="11" t="b">
        <f t="shared" ref="H2:H366" si="1">AND(ISNUMBER(F2),ISNUMBER(D2))</f>
        <v>1</v>
      </c>
      <c r="I2" s="11">
        <v>154.0</v>
      </c>
      <c r="J2" s="11">
        <v>284.0</v>
      </c>
      <c r="K2" s="11">
        <v>181.0</v>
      </c>
      <c r="L2" s="11">
        <v>284.0</v>
      </c>
      <c r="M2" s="11" t="b">
        <f t="shared" ref="M2:M366" si="2">AND(ISNUMBER(K2),ISNUMBER(I2))</f>
        <v>1</v>
      </c>
      <c r="N2" s="11">
        <v>141.0</v>
      </c>
      <c r="O2" s="11">
        <v>223.0</v>
      </c>
    </row>
    <row r="3">
      <c r="A3" s="5" t="s">
        <v>120</v>
      </c>
      <c r="B3" s="5" t="s">
        <v>131</v>
      </c>
      <c r="C3" s="5" t="s">
        <v>131</v>
      </c>
      <c r="D3" s="11">
        <v>83.0</v>
      </c>
      <c r="E3" s="11">
        <v>195.0</v>
      </c>
      <c r="F3" s="11">
        <v>84.0</v>
      </c>
      <c r="G3" s="11">
        <v>230.0</v>
      </c>
      <c r="H3" s="11" t="b">
        <f t="shared" si="1"/>
        <v>1</v>
      </c>
      <c r="I3" s="11">
        <v>104.0</v>
      </c>
      <c r="J3" s="11">
        <v>300.0</v>
      </c>
      <c r="K3" s="11">
        <v>118.0</v>
      </c>
      <c r="L3" s="11">
        <v>298.0</v>
      </c>
      <c r="M3" s="11" t="b">
        <f t="shared" si="2"/>
        <v>1</v>
      </c>
      <c r="N3" s="11">
        <v>92.0</v>
      </c>
      <c r="O3" s="11">
        <v>238.0</v>
      </c>
    </row>
    <row r="4">
      <c r="A4" s="5" t="s">
        <v>120</v>
      </c>
      <c r="B4" s="5" t="s">
        <v>134</v>
      </c>
      <c r="C4" s="5" t="s">
        <v>134</v>
      </c>
      <c r="D4" s="11">
        <v>92.0</v>
      </c>
      <c r="E4" s="11">
        <v>196.0</v>
      </c>
      <c r="F4" s="11">
        <v>125.0</v>
      </c>
      <c r="G4" s="11">
        <v>223.0</v>
      </c>
      <c r="H4" s="11" t="b">
        <f t="shared" si="1"/>
        <v>1</v>
      </c>
      <c r="I4" s="11">
        <v>125.0</v>
      </c>
      <c r="J4" s="11">
        <v>278.0</v>
      </c>
      <c r="K4" s="11">
        <v>143.0</v>
      </c>
      <c r="L4" s="11">
        <v>309.0</v>
      </c>
      <c r="M4" s="11" t="b">
        <f t="shared" si="2"/>
        <v>1</v>
      </c>
      <c r="N4" s="11">
        <v>118.0</v>
      </c>
      <c r="O4" s="11">
        <v>238.0</v>
      </c>
    </row>
    <row r="5">
      <c r="A5" s="5" t="s">
        <v>120</v>
      </c>
      <c r="B5" s="5" t="s">
        <v>153</v>
      </c>
      <c r="C5" s="5" t="s">
        <v>154</v>
      </c>
      <c r="D5" s="11">
        <v>174.0</v>
      </c>
      <c r="E5" s="11">
        <v>447.0</v>
      </c>
      <c r="F5" s="11">
        <v>195.0</v>
      </c>
      <c r="G5" s="11">
        <v>503.0</v>
      </c>
      <c r="H5" s="11" t="b">
        <f t="shared" si="1"/>
        <v>1</v>
      </c>
      <c r="I5" s="11">
        <v>208.0</v>
      </c>
      <c r="J5" s="11">
        <v>584.0</v>
      </c>
      <c r="K5" s="11">
        <v>202.0</v>
      </c>
      <c r="L5" s="11">
        <v>640.0</v>
      </c>
      <c r="M5" s="11" t="b">
        <f t="shared" si="2"/>
        <v>1</v>
      </c>
      <c r="N5" s="11">
        <v>198.0</v>
      </c>
      <c r="O5" s="11">
        <v>526.0</v>
      </c>
    </row>
    <row r="6">
      <c r="A6" s="5" t="s">
        <v>120</v>
      </c>
      <c r="B6" s="5" t="s">
        <v>153</v>
      </c>
      <c r="C6" s="5" t="s">
        <v>156</v>
      </c>
      <c r="D6" s="11">
        <v>141.0</v>
      </c>
      <c r="E6" s="11">
        <v>370.0</v>
      </c>
      <c r="F6" s="11">
        <v>177.0</v>
      </c>
      <c r="G6" s="11">
        <v>422.0</v>
      </c>
      <c r="H6" s="11" t="b">
        <f t="shared" si="1"/>
        <v>1</v>
      </c>
      <c r="I6" s="11">
        <v>209.0</v>
      </c>
      <c r="J6" s="11">
        <v>574.0</v>
      </c>
      <c r="K6" s="11">
        <v>232.0</v>
      </c>
      <c r="L6" s="11">
        <v>603.0</v>
      </c>
      <c r="M6" s="11" t="b">
        <f t="shared" si="2"/>
        <v>1</v>
      </c>
      <c r="N6" s="11">
        <v>172.0</v>
      </c>
      <c r="O6" s="11">
        <v>439.0</v>
      </c>
    </row>
    <row r="7">
      <c r="A7" s="5" t="s">
        <v>120</v>
      </c>
      <c r="B7" s="5" t="s">
        <v>159</v>
      </c>
      <c r="C7" s="5" t="s">
        <v>159</v>
      </c>
      <c r="D7" s="11">
        <v>31.0</v>
      </c>
      <c r="E7" s="11">
        <v>45.0</v>
      </c>
      <c r="F7" s="11">
        <v>33.0</v>
      </c>
      <c r="G7" s="11">
        <v>61.0</v>
      </c>
      <c r="H7" s="11" t="b">
        <f t="shared" si="1"/>
        <v>1</v>
      </c>
      <c r="I7" s="11">
        <v>40.0</v>
      </c>
      <c r="J7" s="11">
        <v>72.0</v>
      </c>
      <c r="K7" s="11">
        <v>38.0</v>
      </c>
      <c r="L7" s="11">
        <v>78.0</v>
      </c>
      <c r="M7" s="11" t="b">
        <f t="shared" si="2"/>
        <v>1</v>
      </c>
      <c r="N7" s="11">
        <v>33.0</v>
      </c>
      <c r="O7" s="11">
        <v>60.0</v>
      </c>
    </row>
    <row r="8">
      <c r="A8" s="5" t="s">
        <v>120</v>
      </c>
      <c r="B8" s="5" t="s">
        <v>160</v>
      </c>
      <c r="C8" s="5" t="s">
        <v>161</v>
      </c>
      <c r="D8" s="11">
        <v>226.0</v>
      </c>
      <c r="E8" s="11">
        <v>522.0</v>
      </c>
      <c r="F8" s="11">
        <v>250.0</v>
      </c>
      <c r="G8" s="11">
        <v>589.0</v>
      </c>
      <c r="H8" s="11" t="b">
        <f t="shared" si="1"/>
        <v>1</v>
      </c>
      <c r="I8" s="11">
        <v>271.0</v>
      </c>
      <c r="J8" s="11">
        <v>738.0</v>
      </c>
      <c r="K8" s="11">
        <v>301.0</v>
      </c>
      <c r="L8" s="11">
        <v>760.0</v>
      </c>
      <c r="M8" s="11" t="b">
        <f t="shared" si="2"/>
        <v>1</v>
      </c>
      <c r="N8" s="11">
        <v>242.0</v>
      </c>
      <c r="O8" s="11">
        <v>611.0</v>
      </c>
    </row>
    <row r="9">
      <c r="A9" s="5" t="s">
        <v>120</v>
      </c>
      <c r="B9" s="5" t="s">
        <v>160</v>
      </c>
      <c r="C9" s="5" t="s">
        <v>162</v>
      </c>
      <c r="D9" s="11">
        <v>112.0</v>
      </c>
      <c r="E9" s="11">
        <v>286.0</v>
      </c>
      <c r="F9" s="11">
        <v>133.0</v>
      </c>
      <c r="G9" s="11">
        <v>321.0</v>
      </c>
      <c r="H9" s="11" t="b">
        <f t="shared" si="1"/>
        <v>1</v>
      </c>
      <c r="I9" s="11">
        <v>157.0</v>
      </c>
      <c r="J9" s="11">
        <v>431.0</v>
      </c>
      <c r="K9" s="11">
        <v>164.0</v>
      </c>
      <c r="L9" s="11">
        <v>450.0</v>
      </c>
      <c r="M9" s="11" t="b">
        <f t="shared" si="2"/>
        <v>1</v>
      </c>
      <c r="N9" s="11">
        <v>125.0</v>
      </c>
      <c r="O9" s="11">
        <v>323.0</v>
      </c>
    </row>
    <row r="10">
      <c r="A10" s="5" t="s">
        <v>120</v>
      </c>
      <c r="B10" s="5" t="s">
        <v>160</v>
      </c>
      <c r="C10" s="5" t="s">
        <v>165</v>
      </c>
      <c r="D10" s="11">
        <v>154.0</v>
      </c>
      <c r="E10" s="11">
        <v>429.0</v>
      </c>
      <c r="F10" s="11">
        <v>177.0</v>
      </c>
      <c r="G10" s="11">
        <v>488.0</v>
      </c>
      <c r="H10" s="11" t="b">
        <f t="shared" si="1"/>
        <v>1</v>
      </c>
      <c r="I10" s="11">
        <v>210.0</v>
      </c>
      <c r="J10" s="11">
        <v>628.0</v>
      </c>
      <c r="K10" s="11">
        <v>235.0</v>
      </c>
      <c r="L10" s="11">
        <v>626.0</v>
      </c>
      <c r="M10" s="11" t="b">
        <f t="shared" si="2"/>
        <v>1</v>
      </c>
      <c r="N10" s="11">
        <v>186.0</v>
      </c>
      <c r="O10" s="11">
        <v>497.0</v>
      </c>
    </row>
    <row r="11">
      <c r="A11" s="5" t="s">
        <v>120</v>
      </c>
      <c r="B11" s="5" t="s">
        <v>166</v>
      </c>
      <c r="C11" s="5" t="s">
        <v>167</v>
      </c>
      <c r="D11" s="11">
        <v>187.0</v>
      </c>
      <c r="E11" s="11">
        <v>206.0</v>
      </c>
      <c r="F11" s="11">
        <v>200.0</v>
      </c>
      <c r="G11" s="11">
        <v>240.0</v>
      </c>
      <c r="H11" s="11" t="b">
        <f t="shared" si="1"/>
        <v>1</v>
      </c>
      <c r="I11" s="11">
        <v>216.0</v>
      </c>
      <c r="J11" s="11">
        <v>279.0</v>
      </c>
      <c r="K11" s="11">
        <v>229.0</v>
      </c>
      <c r="L11" s="11">
        <v>297.0</v>
      </c>
      <c r="M11" s="11" t="b">
        <f t="shared" si="2"/>
        <v>1</v>
      </c>
      <c r="N11" s="11">
        <v>198.0</v>
      </c>
      <c r="O11" s="11">
        <v>238.0</v>
      </c>
    </row>
    <row r="12">
      <c r="A12" s="5" t="s">
        <v>120</v>
      </c>
      <c r="B12" s="5" t="s">
        <v>166</v>
      </c>
      <c r="C12" s="5" t="s">
        <v>168</v>
      </c>
      <c r="D12" s="11">
        <v>109.0</v>
      </c>
      <c r="E12" s="11">
        <v>149.0</v>
      </c>
      <c r="F12" s="11">
        <v>136.0</v>
      </c>
      <c r="G12" s="11">
        <v>161.0</v>
      </c>
      <c r="H12" s="11" t="b">
        <f t="shared" si="1"/>
        <v>1</v>
      </c>
      <c r="I12" s="11">
        <v>151.0</v>
      </c>
      <c r="J12" s="11">
        <v>219.0</v>
      </c>
      <c r="K12" s="11">
        <v>163.0</v>
      </c>
      <c r="L12" s="11">
        <v>226.0</v>
      </c>
      <c r="M12" s="11" t="b">
        <f t="shared" si="2"/>
        <v>1</v>
      </c>
      <c r="N12" s="11">
        <v>118.0</v>
      </c>
      <c r="O12" s="11">
        <v>162.0</v>
      </c>
    </row>
    <row r="13">
      <c r="A13" s="5" t="s">
        <v>120</v>
      </c>
      <c r="B13" s="5" t="s">
        <v>166</v>
      </c>
      <c r="C13" s="5" t="s">
        <v>169</v>
      </c>
      <c r="D13" s="11">
        <v>241.0</v>
      </c>
      <c r="E13" s="11">
        <v>336.0</v>
      </c>
      <c r="F13" s="11">
        <v>244.0</v>
      </c>
      <c r="G13" s="11">
        <v>381.0</v>
      </c>
      <c r="H13" s="11" t="b">
        <f t="shared" si="1"/>
        <v>1</v>
      </c>
      <c r="I13" s="11">
        <v>281.0</v>
      </c>
      <c r="J13" s="11">
        <v>444.0</v>
      </c>
      <c r="K13" s="11">
        <v>286.0</v>
      </c>
      <c r="L13" s="11">
        <v>464.0</v>
      </c>
      <c r="M13" s="11" t="b">
        <f t="shared" si="2"/>
        <v>1</v>
      </c>
      <c r="N13" s="11">
        <v>253.0</v>
      </c>
      <c r="O13" s="11">
        <v>393.0</v>
      </c>
    </row>
    <row r="14">
      <c r="A14" s="5" t="s">
        <v>120</v>
      </c>
      <c r="B14" s="5" t="s">
        <v>166</v>
      </c>
      <c r="C14" s="5" t="s">
        <v>174</v>
      </c>
      <c r="D14" s="11">
        <v>108.0</v>
      </c>
      <c r="E14" s="11">
        <v>94.0</v>
      </c>
      <c r="F14" s="11">
        <v>141.0</v>
      </c>
      <c r="G14" s="11">
        <v>108.0</v>
      </c>
      <c r="H14" s="11" t="b">
        <f t="shared" si="1"/>
        <v>1</v>
      </c>
      <c r="I14" s="11">
        <v>131.0</v>
      </c>
      <c r="J14" s="11">
        <v>118.0</v>
      </c>
      <c r="K14" s="11">
        <v>138.0</v>
      </c>
      <c r="L14" s="11">
        <v>134.0</v>
      </c>
      <c r="M14" s="11" t="b">
        <f t="shared" si="2"/>
        <v>1</v>
      </c>
      <c r="N14" s="11">
        <v>120.0</v>
      </c>
      <c r="O14" s="11">
        <v>109.0</v>
      </c>
    </row>
    <row r="15">
      <c r="A15" s="5" t="s">
        <v>120</v>
      </c>
      <c r="B15" s="5" t="s">
        <v>166</v>
      </c>
      <c r="C15" s="5" t="s">
        <v>178</v>
      </c>
      <c r="D15" s="11">
        <v>181.0</v>
      </c>
      <c r="E15" s="11">
        <v>243.0</v>
      </c>
      <c r="F15" s="11">
        <v>258.0</v>
      </c>
      <c r="G15" s="11">
        <v>267.0</v>
      </c>
      <c r="H15" s="11" t="b">
        <f t="shared" si="1"/>
        <v>1</v>
      </c>
      <c r="I15" s="11">
        <v>253.0</v>
      </c>
      <c r="J15" s="11">
        <v>339.0</v>
      </c>
      <c r="K15" s="11">
        <v>275.0</v>
      </c>
      <c r="L15" s="11">
        <v>352.0</v>
      </c>
      <c r="M15" s="11" t="b">
        <f t="shared" si="2"/>
        <v>1</v>
      </c>
      <c r="N15" s="11">
        <v>227.0</v>
      </c>
      <c r="O15" s="11">
        <v>292.0</v>
      </c>
    </row>
    <row r="16">
      <c r="A16" s="5" t="s">
        <v>120</v>
      </c>
      <c r="B16" s="5" t="s">
        <v>183</v>
      </c>
      <c r="C16" s="5" t="s">
        <v>184</v>
      </c>
      <c r="D16" s="11">
        <v>84.0</v>
      </c>
      <c r="E16" s="11">
        <v>157.0</v>
      </c>
      <c r="F16" s="11">
        <v>89.0</v>
      </c>
      <c r="G16" s="11">
        <v>161.0</v>
      </c>
      <c r="H16" s="11" t="b">
        <f t="shared" si="1"/>
        <v>1</v>
      </c>
      <c r="I16" s="11">
        <v>108.0</v>
      </c>
      <c r="J16" s="11">
        <v>218.0</v>
      </c>
      <c r="K16" s="11">
        <v>120.0</v>
      </c>
      <c r="L16" s="11">
        <v>202.0</v>
      </c>
      <c r="M16" s="11" t="b">
        <f t="shared" si="2"/>
        <v>1</v>
      </c>
      <c r="N16" s="11">
        <v>96.0</v>
      </c>
      <c r="O16" s="11">
        <v>171.0</v>
      </c>
    </row>
    <row r="17">
      <c r="A17" s="5" t="s">
        <v>120</v>
      </c>
      <c r="B17" s="5" t="s">
        <v>183</v>
      </c>
      <c r="C17" s="5" t="s">
        <v>185</v>
      </c>
      <c r="D17" s="11">
        <v>177.0</v>
      </c>
      <c r="E17" s="11">
        <v>393.0</v>
      </c>
      <c r="F17" s="11">
        <v>188.0</v>
      </c>
      <c r="G17" s="11">
        <v>399.0</v>
      </c>
      <c r="H17" s="11" t="b">
        <f t="shared" si="1"/>
        <v>1</v>
      </c>
      <c r="I17" s="11">
        <v>214.0</v>
      </c>
      <c r="J17" s="11">
        <v>502.0</v>
      </c>
      <c r="K17" s="11">
        <v>227.0</v>
      </c>
      <c r="L17" s="11">
        <v>484.0</v>
      </c>
      <c r="M17" s="11" t="b">
        <f t="shared" si="2"/>
        <v>1</v>
      </c>
      <c r="N17" s="11">
        <v>169.0</v>
      </c>
      <c r="O17" s="11">
        <v>373.0</v>
      </c>
    </row>
    <row r="18">
      <c r="A18" s="5" t="s">
        <v>120</v>
      </c>
      <c r="B18" s="5" t="s">
        <v>186</v>
      </c>
      <c r="C18" s="5" t="s">
        <v>187</v>
      </c>
      <c r="D18" s="11">
        <v>185.0</v>
      </c>
      <c r="E18" s="11">
        <v>234.0</v>
      </c>
      <c r="F18" s="11">
        <v>190.0</v>
      </c>
      <c r="G18" s="11">
        <v>293.0</v>
      </c>
      <c r="H18" s="11" t="b">
        <f t="shared" si="1"/>
        <v>1</v>
      </c>
      <c r="I18" s="11">
        <v>272.0</v>
      </c>
      <c r="J18" s="11">
        <v>381.0</v>
      </c>
      <c r="K18" s="11">
        <v>249.0</v>
      </c>
      <c r="L18" s="11">
        <v>392.0</v>
      </c>
      <c r="M18" s="11" t="b">
        <f t="shared" si="2"/>
        <v>1</v>
      </c>
      <c r="N18" s="11">
        <v>218.0</v>
      </c>
      <c r="O18" s="11">
        <v>306.0</v>
      </c>
    </row>
    <row r="19">
      <c r="A19" s="5" t="s">
        <v>120</v>
      </c>
      <c r="B19" s="5" t="s">
        <v>186</v>
      </c>
      <c r="C19" s="5" t="s">
        <v>188</v>
      </c>
      <c r="D19" s="11">
        <v>124.0</v>
      </c>
      <c r="E19" s="11">
        <v>164.0</v>
      </c>
      <c r="F19" s="11">
        <v>122.0</v>
      </c>
      <c r="G19" s="11">
        <v>165.0</v>
      </c>
      <c r="H19" s="11" t="b">
        <f t="shared" si="1"/>
        <v>1</v>
      </c>
      <c r="I19" s="11">
        <v>171.0</v>
      </c>
      <c r="J19" s="11">
        <v>238.0</v>
      </c>
      <c r="K19" s="11">
        <v>152.0</v>
      </c>
      <c r="L19" s="11">
        <v>246.0</v>
      </c>
      <c r="M19" s="11" t="b">
        <f t="shared" si="2"/>
        <v>1</v>
      </c>
      <c r="N19" s="11">
        <v>123.0</v>
      </c>
      <c r="O19" s="11">
        <v>175.0</v>
      </c>
    </row>
    <row r="20">
      <c r="A20" s="5" t="s">
        <v>120</v>
      </c>
      <c r="B20" s="5" t="s">
        <v>186</v>
      </c>
      <c r="C20" s="5" t="s">
        <v>189</v>
      </c>
      <c r="D20" s="11">
        <v>92.0</v>
      </c>
      <c r="E20" s="11">
        <v>115.0</v>
      </c>
      <c r="F20" s="11">
        <v>108.0</v>
      </c>
      <c r="G20" s="11">
        <v>122.0</v>
      </c>
      <c r="H20" s="11" t="b">
        <f t="shared" si="1"/>
        <v>1</v>
      </c>
      <c r="I20" s="11">
        <v>153.0</v>
      </c>
      <c r="J20" s="11">
        <v>194.0</v>
      </c>
      <c r="K20" s="11">
        <v>165.0</v>
      </c>
      <c r="L20" s="11">
        <v>237.0</v>
      </c>
      <c r="M20" s="11" t="b">
        <f t="shared" si="2"/>
        <v>1</v>
      </c>
      <c r="N20" s="11">
        <v>116.0</v>
      </c>
      <c r="O20" s="11">
        <v>145.0</v>
      </c>
    </row>
    <row r="21" ht="15.75" customHeight="1">
      <c r="A21" s="5" t="s">
        <v>120</v>
      </c>
      <c r="B21" s="5" t="s">
        <v>190</v>
      </c>
      <c r="C21" s="5" t="s">
        <v>190</v>
      </c>
      <c r="D21" s="11">
        <v>26.0</v>
      </c>
      <c r="E21" s="11">
        <v>65.0</v>
      </c>
      <c r="F21" s="11">
        <v>36.0</v>
      </c>
      <c r="G21" s="11">
        <v>79.0</v>
      </c>
      <c r="H21" s="11" t="b">
        <f t="shared" si="1"/>
        <v>1</v>
      </c>
      <c r="I21" s="11">
        <v>40.0</v>
      </c>
      <c r="J21" s="11">
        <v>99.0</v>
      </c>
      <c r="K21" s="11">
        <v>38.0</v>
      </c>
      <c r="L21" s="11">
        <v>106.0</v>
      </c>
      <c r="M21" s="11" t="b">
        <f t="shared" si="2"/>
        <v>1</v>
      </c>
      <c r="N21" s="11">
        <v>33.0</v>
      </c>
      <c r="O21" s="11">
        <v>85.0</v>
      </c>
    </row>
    <row r="22" ht="15.75" customHeight="1">
      <c r="A22" s="5" t="s">
        <v>120</v>
      </c>
      <c r="B22" s="5" t="s">
        <v>191</v>
      </c>
      <c r="C22" s="5" t="s">
        <v>191</v>
      </c>
      <c r="D22" s="11">
        <v>52.0</v>
      </c>
      <c r="E22" s="11">
        <v>147.0</v>
      </c>
      <c r="F22" s="11">
        <v>52.0</v>
      </c>
      <c r="G22" s="11">
        <v>189.0</v>
      </c>
      <c r="H22" s="11" t="b">
        <f t="shared" si="1"/>
        <v>1</v>
      </c>
      <c r="I22" s="11">
        <v>48.0</v>
      </c>
      <c r="J22" s="11">
        <v>216.0</v>
      </c>
      <c r="K22" s="11">
        <v>58.0</v>
      </c>
      <c r="L22" s="11">
        <v>214.0</v>
      </c>
      <c r="M22" s="11" t="b">
        <f t="shared" si="2"/>
        <v>1</v>
      </c>
      <c r="N22" s="11">
        <v>49.0</v>
      </c>
      <c r="O22" s="11">
        <v>188.0</v>
      </c>
    </row>
    <row r="23" ht="15.75" customHeight="1">
      <c r="A23" s="5" t="s">
        <v>120</v>
      </c>
      <c r="B23" s="5" t="s">
        <v>192</v>
      </c>
      <c r="C23" s="5" t="s">
        <v>193</v>
      </c>
      <c r="D23" s="11">
        <v>207.0</v>
      </c>
      <c r="E23" s="11">
        <v>301.0</v>
      </c>
      <c r="F23" s="11">
        <v>233.0</v>
      </c>
      <c r="G23" s="11">
        <v>333.0</v>
      </c>
      <c r="H23" s="11" t="b">
        <f t="shared" si="1"/>
        <v>1</v>
      </c>
      <c r="I23" s="11">
        <v>305.0</v>
      </c>
      <c r="J23" s="11">
        <v>480.0</v>
      </c>
      <c r="K23" s="11">
        <v>321.0</v>
      </c>
      <c r="L23" s="11">
        <v>498.0</v>
      </c>
      <c r="M23" s="11" t="b">
        <f t="shared" si="2"/>
        <v>1</v>
      </c>
      <c r="N23" s="11">
        <v>239.0</v>
      </c>
      <c r="O23" s="11">
        <v>357.0</v>
      </c>
    </row>
    <row r="24" ht="15.75" customHeight="1">
      <c r="A24" s="5" t="s">
        <v>120</v>
      </c>
      <c r="B24" s="5" t="s">
        <v>192</v>
      </c>
      <c r="C24" s="5" t="s">
        <v>194</v>
      </c>
      <c r="D24" s="11">
        <v>186.0</v>
      </c>
      <c r="E24" s="11">
        <v>271.0</v>
      </c>
      <c r="F24" s="11">
        <v>242.0</v>
      </c>
      <c r="G24" s="11">
        <v>285.0</v>
      </c>
      <c r="H24" s="11" t="b">
        <f t="shared" si="1"/>
        <v>1</v>
      </c>
      <c r="I24" s="11">
        <v>289.0</v>
      </c>
      <c r="J24" s="11">
        <v>415.0</v>
      </c>
      <c r="K24" s="11">
        <v>288.0</v>
      </c>
      <c r="L24" s="11">
        <v>448.0</v>
      </c>
      <c r="M24" s="11" t="b">
        <f t="shared" si="2"/>
        <v>1</v>
      </c>
      <c r="N24" s="11">
        <v>230.0</v>
      </c>
      <c r="O24" s="11">
        <v>333.0</v>
      </c>
    </row>
    <row r="25" ht="15.75" customHeight="1">
      <c r="A25" s="5" t="s">
        <v>120</v>
      </c>
      <c r="B25" s="5" t="s">
        <v>192</v>
      </c>
      <c r="C25" s="5" t="s">
        <v>195</v>
      </c>
      <c r="D25" s="11">
        <v>217.0</v>
      </c>
      <c r="E25" s="11">
        <v>295.0</v>
      </c>
      <c r="F25" s="11">
        <v>244.0</v>
      </c>
      <c r="G25" s="11">
        <v>330.0</v>
      </c>
      <c r="H25" s="11" t="b">
        <f t="shared" si="1"/>
        <v>1</v>
      </c>
      <c r="I25" s="11">
        <v>309.0</v>
      </c>
      <c r="J25" s="11">
        <v>466.0</v>
      </c>
      <c r="K25" s="11">
        <v>317.0</v>
      </c>
      <c r="L25" s="11">
        <v>527.0</v>
      </c>
      <c r="M25" s="11" t="b">
        <f t="shared" si="2"/>
        <v>1</v>
      </c>
      <c r="N25" s="11">
        <v>240.0</v>
      </c>
      <c r="O25" s="11">
        <v>354.0</v>
      </c>
    </row>
    <row r="26" ht="15.75" customHeight="1">
      <c r="A26" s="5" t="s">
        <v>120</v>
      </c>
      <c r="B26" s="5" t="s">
        <v>196</v>
      </c>
      <c r="C26" s="5" t="s">
        <v>197</v>
      </c>
      <c r="D26" s="11">
        <v>221.0</v>
      </c>
      <c r="E26" s="11">
        <v>474.0</v>
      </c>
      <c r="F26" s="11">
        <v>246.0</v>
      </c>
      <c r="G26" s="11">
        <v>553.0</v>
      </c>
      <c r="H26" s="11" t="b">
        <f t="shared" si="1"/>
        <v>1</v>
      </c>
      <c r="I26" s="11">
        <v>295.0</v>
      </c>
      <c r="J26" s="11">
        <v>710.0</v>
      </c>
      <c r="K26" s="11">
        <v>285.0</v>
      </c>
      <c r="L26" s="11">
        <v>760.0</v>
      </c>
      <c r="M26" s="11" t="b">
        <f t="shared" si="2"/>
        <v>1</v>
      </c>
      <c r="N26" s="11">
        <v>245.0</v>
      </c>
      <c r="O26" s="11">
        <v>585.0</v>
      </c>
    </row>
    <row r="27" ht="15.75" customHeight="1">
      <c r="A27" s="5" t="s">
        <v>120</v>
      </c>
      <c r="B27" s="5" t="s">
        <v>196</v>
      </c>
      <c r="C27" s="5" t="s">
        <v>199</v>
      </c>
      <c r="D27" s="11">
        <v>154.0</v>
      </c>
      <c r="E27" s="11">
        <v>308.0</v>
      </c>
      <c r="F27" s="11">
        <v>184.0</v>
      </c>
      <c r="G27" s="11">
        <v>363.0</v>
      </c>
      <c r="H27" s="11" t="b">
        <f t="shared" si="1"/>
        <v>1</v>
      </c>
      <c r="I27" s="11">
        <v>219.0</v>
      </c>
      <c r="J27" s="11">
        <v>456.0</v>
      </c>
      <c r="K27" s="11">
        <v>228.0</v>
      </c>
      <c r="L27" s="11">
        <v>522.0</v>
      </c>
      <c r="M27" s="11" t="b">
        <f t="shared" si="2"/>
        <v>1</v>
      </c>
      <c r="N27" s="11">
        <v>182.0</v>
      </c>
      <c r="O27" s="11">
        <v>389.0</v>
      </c>
    </row>
    <row r="28" ht="15.75" customHeight="1">
      <c r="A28" s="5" t="s">
        <v>120</v>
      </c>
      <c r="B28" s="5" t="s">
        <v>200</v>
      </c>
      <c r="C28" s="5" t="s">
        <v>201</v>
      </c>
      <c r="D28" s="11">
        <v>90.0</v>
      </c>
      <c r="E28" s="11">
        <v>254.0</v>
      </c>
      <c r="F28" s="11">
        <v>101.0</v>
      </c>
      <c r="G28" s="11">
        <v>288.0</v>
      </c>
      <c r="H28" s="11" t="b">
        <f t="shared" si="1"/>
        <v>1</v>
      </c>
      <c r="I28" s="11">
        <v>126.0</v>
      </c>
      <c r="J28" s="11">
        <v>391.0</v>
      </c>
      <c r="K28" s="11">
        <v>135.0</v>
      </c>
      <c r="L28" s="11">
        <v>395.0</v>
      </c>
      <c r="M28" s="11" t="b">
        <f t="shared" si="2"/>
        <v>1</v>
      </c>
      <c r="N28" s="11">
        <v>111.0</v>
      </c>
      <c r="O28" s="11">
        <v>335.0</v>
      </c>
    </row>
    <row r="29" ht="15.75" customHeight="1">
      <c r="A29" s="5" t="s">
        <v>120</v>
      </c>
      <c r="B29" s="5" t="s">
        <v>200</v>
      </c>
      <c r="C29" s="5" t="s">
        <v>202</v>
      </c>
      <c r="D29" s="11">
        <v>83.0</v>
      </c>
      <c r="E29" s="11">
        <v>181.0</v>
      </c>
      <c r="F29" s="11">
        <v>95.0</v>
      </c>
      <c r="G29" s="11">
        <v>211.0</v>
      </c>
      <c r="H29" s="11" t="b">
        <f t="shared" si="1"/>
        <v>1</v>
      </c>
      <c r="I29" s="11">
        <v>118.0</v>
      </c>
      <c r="J29" s="11">
        <v>277.0</v>
      </c>
      <c r="K29" s="11">
        <v>124.0</v>
      </c>
      <c r="L29" s="11">
        <v>298.0</v>
      </c>
      <c r="M29" s="11" t="b">
        <f t="shared" si="2"/>
        <v>1</v>
      </c>
      <c r="N29" s="11">
        <v>91.0</v>
      </c>
      <c r="O29" s="11">
        <v>210.0</v>
      </c>
    </row>
    <row r="30" ht="15.75" customHeight="1">
      <c r="A30" s="5" t="s">
        <v>120</v>
      </c>
      <c r="B30" s="5" t="s">
        <v>200</v>
      </c>
      <c r="C30" s="5" t="s">
        <v>203</v>
      </c>
      <c r="D30" s="11">
        <v>272.0</v>
      </c>
      <c r="E30" s="11">
        <v>677.0</v>
      </c>
      <c r="F30" s="11">
        <v>350.0</v>
      </c>
      <c r="G30" s="11">
        <v>728.0</v>
      </c>
      <c r="H30" s="11" t="b">
        <f t="shared" si="1"/>
        <v>1</v>
      </c>
      <c r="I30" s="11">
        <v>376.0</v>
      </c>
      <c r="J30" s="11">
        <v>901.0</v>
      </c>
      <c r="K30" s="11">
        <v>424.0</v>
      </c>
      <c r="L30" s="11">
        <v>988.0</v>
      </c>
      <c r="M30" s="11" t="b">
        <f t="shared" si="2"/>
        <v>1</v>
      </c>
      <c r="N30" s="11">
        <v>346.0</v>
      </c>
      <c r="O30" s="11">
        <v>790.0</v>
      </c>
    </row>
    <row r="31" ht="15.75" customHeight="1">
      <c r="A31" s="5" t="s">
        <v>120</v>
      </c>
      <c r="B31" s="5" t="s">
        <v>204</v>
      </c>
      <c r="C31" s="5" t="s">
        <v>205</v>
      </c>
      <c r="D31" s="11">
        <v>211.0</v>
      </c>
      <c r="E31" s="11">
        <v>281.0</v>
      </c>
      <c r="F31" s="11">
        <v>245.0</v>
      </c>
      <c r="G31" s="11">
        <v>317.0</v>
      </c>
      <c r="H31" s="11" t="b">
        <f t="shared" si="1"/>
        <v>1</v>
      </c>
      <c r="I31" s="11">
        <v>288.0</v>
      </c>
      <c r="J31" s="11">
        <v>416.0</v>
      </c>
      <c r="K31" s="11">
        <v>279.0</v>
      </c>
      <c r="L31" s="11">
        <v>445.0</v>
      </c>
      <c r="M31" s="11" t="b">
        <f t="shared" si="2"/>
        <v>1</v>
      </c>
      <c r="N31" s="11">
        <v>241.0</v>
      </c>
      <c r="O31" s="11">
        <v>345.0</v>
      </c>
    </row>
    <row r="32" ht="15.75" customHeight="1">
      <c r="A32" s="5" t="s">
        <v>120</v>
      </c>
      <c r="B32" s="5" t="s">
        <v>204</v>
      </c>
      <c r="C32" s="5" t="s">
        <v>206</v>
      </c>
      <c r="D32" s="11">
        <v>224.0</v>
      </c>
      <c r="E32" s="11">
        <v>308.0</v>
      </c>
      <c r="F32" s="11">
        <v>243.0</v>
      </c>
      <c r="G32" s="11">
        <v>389.0</v>
      </c>
      <c r="H32" s="11" t="b">
        <f t="shared" si="1"/>
        <v>1</v>
      </c>
      <c r="I32" s="11">
        <v>293.0</v>
      </c>
      <c r="J32" s="11">
        <v>460.0</v>
      </c>
      <c r="K32" s="11">
        <v>309.0</v>
      </c>
      <c r="L32" s="11">
        <v>488.0</v>
      </c>
      <c r="M32" s="11" t="b">
        <f t="shared" si="2"/>
        <v>1</v>
      </c>
      <c r="N32" s="11">
        <v>250.0</v>
      </c>
      <c r="O32" s="11">
        <v>379.0</v>
      </c>
    </row>
    <row r="33" ht="15.75" customHeight="1">
      <c r="A33" s="5" t="s">
        <v>120</v>
      </c>
      <c r="B33" s="5" t="s">
        <v>207</v>
      </c>
      <c r="C33" s="5" t="s">
        <v>207</v>
      </c>
      <c r="D33" s="11">
        <v>128.0</v>
      </c>
      <c r="E33" s="11">
        <v>364.0</v>
      </c>
      <c r="F33" s="11">
        <v>96.0</v>
      </c>
      <c r="G33" s="11">
        <v>444.0</v>
      </c>
      <c r="H33" s="11" t="b">
        <f t="shared" si="1"/>
        <v>1</v>
      </c>
      <c r="I33" s="11">
        <v>109.0</v>
      </c>
      <c r="J33" s="11">
        <v>486.0</v>
      </c>
      <c r="K33" s="11">
        <v>134.0</v>
      </c>
      <c r="L33" s="11">
        <v>503.0</v>
      </c>
      <c r="M33" s="11" t="b">
        <f t="shared" si="2"/>
        <v>1</v>
      </c>
      <c r="N33" s="11">
        <v>108.0</v>
      </c>
      <c r="O33" s="11">
        <v>422.0</v>
      </c>
    </row>
    <row r="34" ht="15.75" customHeight="1">
      <c r="A34" s="5" t="s">
        <v>120</v>
      </c>
      <c r="B34" s="5" t="s">
        <v>208</v>
      </c>
      <c r="C34" s="5" t="s">
        <v>209</v>
      </c>
      <c r="D34" s="11">
        <v>211.0</v>
      </c>
      <c r="E34" s="11">
        <v>408.0</v>
      </c>
      <c r="F34" s="11">
        <v>241.0</v>
      </c>
      <c r="G34" s="11">
        <v>438.0</v>
      </c>
      <c r="H34" s="11" t="b">
        <f t="shared" si="1"/>
        <v>1</v>
      </c>
      <c r="I34" s="11">
        <v>289.0</v>
      </c>
      <c r="J34" s="11">
        <v>580.0</v>
      </c>
      <c r="K34" s="11">
        <v>281.0</v>
      </c>
      <c r="L34" s="11">
        <v>592.0</v>
      </c>
      <c r="M34" s="11" t="b">
        <f t="shared" si="2"/>
        <v>1</v>
      </c>
      <c r="N34" s="11">
        <v>237.0</v>
      </c>
      <c r="O34" s="11">
        <v>458.0</v>
      </c>
    </row>
    <row r="35" ht="15.75" customHeight="1">
      <c r="A35" s="5" t="s">
        <v>120</v>
      </c>
      <c r="B35" s="5" t="s">
        <v>208</v>
      </c>
      <c r="C35" s="5" t="s">
        <v>210</v>
      </c>
      <c r="D35" s="11">
        <v>349.0</v>
      </c>
      <c r="E35" s="11">
        <v>513.0</v>
      </c>
      <c r="F35" s="11">
        <v>392.0</v>
      </c>
      <c r="G35" s="11">
        <v>544.0</v>
      </c>
      <c r="H35" s="11" t="b">
        <f t="shared" si="1"/>
        <v>1</v>
      </c>
      <c r="I35" s="11">
        <v>486.0</v>
      </c>
      <c r="J35" s="11">
        <v>790.0</v>
      </c>
      <c r="K35" s="11">
        <v>467.0</v>
      </c>
      <c r="L35" s="11">
        <v>782.0</v>
      </c>
      <c r="M35" s="11" t="b">
        <f t="shared" si="2"/>
        <v>1</v>
      </c>
      <c r="N35" s="11">
        <v>381.0</v>
      </c>
      <c r="O35" s="11">
        <v>603.0</v>
      </c>
    </row>
    <row r="36" ht="15.75" customHeight="1">
      <c r="A36" s="5" t="s">
        <v>120</v>
      </c>
      <c r="B36" s="5" t="s">
        <v>208</v>
      </c>
      <c r="C36" s="5" t="s">
        <v>211</v>
      </c>
      <c r="D36" s="11">
        <v>88.0</v>
      </c>
      <c r="E36" s="11">
        <v>165.0</v>
      </c>
      <c r="F36" s="11">
        <v>104.0</v>
      </c>
      <c r="G36" s="11">
        <v>190.0</v>
      </c>
      <c r="H36" s="11" t="b">
        <f t="shared" si="1"/>
        <v>1</v>
      </c>
      <c r="I36" s="11">
        <v>139.0</v>
      </c>
      <c r="J36" s="11">
        <v>276.0</v>
      </c>
      <c r="K36" s="11">
        <v>136.0</v>
      </c>
      <c r="L36" s="11">
        <v>278.0</v>
      </c>
      <c r="M36" s="11" t="b">
        <f t="shared" si="2"/>
        <v>1</v>
      </c>
      <c r="N36" s="11">
        <v>107.0</v>
      </c>
      <c r="O36" s="11">
        <v>204.0</v>
      </c>
    </row>
    <row r="37" ht="15.75" customHeight="1">
      <c r="A37" s="5" t="s">
        <v>120</v>
      </c>
      <c r="B37" s="5" t="s">
        <v>212</v>
      </c>
      <c r="C37" s="5" t="s">
        <v>212</v>
      </c>
      <c r="D37" s="11">
        <v>52.0</v>
      </c>
      <c r="E37" s="11">
        <v>123.0</v>
      </c>
      <c r="F37" s="11">
        <v>51.0</v>
      </c>
      <c r="G37" s="11">
        <v>136.0</v>
      </c>
      <c r="H37" s="11" t="b">
        <f t="shared" si="1"/>
        <v>1</v>
      </c>
      <c r="I37" s="11">
        <v>57.0</v>
      </c>
      <c r="J37" s="11">
        <v>158.0</v>
      </c>
      <c r="K37" s="11">
        <v>68.0</v>
      </c>
      <c r="L37" s="11">
        <v>153.0</v>
      </c>
      <c r="M37" s="11" t="b">
        <f t="shared" si="2"/>
        <v>1</v>
      </c>
      <c r="N37" s="11">
        <v>53.0</v>
      </c>
      <c r="O37" s="11">
        <v>132.0</v>
      </c>
    </row>
    <row r="38" ht="15.75" customHeight="1">
      <c r="A38" s="5" t="s">
        <v>120</v>
      </c>
      <c r="B38" s="5" t="s">
        <v>213</v>
      </c>
      <c r="C38" s="5" t="s">
        <v>214</v>
      </c>
      <c r="D38" s="11">
        <v>284.0</v>
      </c>
      <c r="E38" s="11">
        <v>404.0</v>
      </c>
      <c r="F38" s="11">
        <v>321.0</v>
      </c>
      <c r="G38" s="11">
        <v>505.0</v>
      </c>
      <c r="H38" s="11" t="b">
        <f t="shared" si="1"/>
        <v>1</v>
      </c>
      <c r="I38" s="11">
        <v>399.0</v>
      </c>
      <c r="J38" s="11">
        <v>637.0</v>
      </c>
      <c r="K38" s="11">
        <v>432.0</v>
      </c>
      <c r="L38" s="11">
        <v>705.0</v>
      </c>
      <c r="M38" s="11" t="b">
        <f t="shared" si="2"/>
        <v>1</v>
      </c>
      <c r="N38" s="11">
        <v>323.0</v>
      </c>
      <c r="O38" s="11">
        <v>516.0</v>
      </c>
    </row>
    <row r="39" ht="15.75" customHeight="1">
      <c r="A39" s="5" t="s">
        <v>120</v>
      </c>
      <c r="B39" s="5" t="s">
        <v>213</v>
      </c>
      <c r="C39" s="5" t="s">
        <v>215</v>
      </c>
      <c r="D39" s="11">
        <v>213.0</v>
      </c>
      <c r="E39" s="11">
        <v>325.0</v>
      </c>
      <c r="F39" s="11">
        <v>237.0</v>
      </c>
      <c r="G39" s="11">
        <v>381.0</v>
      </c>
      <c r="H39" s="11" t="b">
        <f t="shared" si="1"/>
        <v>1</v>
      </c>
      <c r="I39" s="11">
        <v>292.0</v>
      </c>
      <c r="J39" s="11">
        <v>513.0</v>
      </c>
      <c r="K39" s="11">
        <v>296.0</v>
      </c>
      <c r="L39" s="11">
        <v>529.0</v>
      </c>
      <c r="M39" s="11" t="b">
        <f t="shared" si="2"/>
        <v>1</v>
      </c>
      <c r="N39" s="11">
        <v>241.0</v>
      </c>
      <c r="O39" s="11">
        <v>410.0</v>
      </c>
    </row>
    <row r="40" ht="15.75" customHeight="1">
      <c r="A40" s="5" t="s">
        <v>120</v>
      </c>
      <c r="B40" s="5" t="s">
        <v>213</v>
      </c>
      <c r="C40" s="5" t="s">
        <v>216</v>
      </c>
      <c r="D40" s="11">
        <v>338.0</v>
      </c>
      <c r="E40" s="11">
        <v>500.0</v>
      </c>
      <c r="F40" s="11">
        <v>378.0</v>
      </c>
      <c r="G40" s="11">
        <v>574.0</v>
      </c>
      <c r="H40" s="11" t="b">
        <f t="shared" si="1"/>
        <v>1</v>
      </c>
      <c r="I40" s="11">
        <v>429.0</v>
      </c>
      <c r="J40" s="11">
        <v>731.0</v>
      </c>
      <c r="K40" s="11">
        <v>460.0</v>
      </c>
      <c r="L40" s="11">
        <v>791.0</v>
      </c>
      <c r="M40" s="11" t="b">
        <f t="shared" si="2"/>
        <v>1</v>
      </c>
      <c r="N40" s="11">
        <v>358.0</v>
      </c>
      <c r="O40" s="11">
        <v>587.0</v>
      </c>
    </row>
    <row r="41" ht="15.75" customHeight="1">
      <c r="A41" s="5" t="s">
        <v>120</v>
      </c>
      <c r="B41" s="5" t="s">
        <v>213</v>
      </c>
      <c r="C41" s="5" t="s">
        <v>217</v>
      </c>
      <c r="D41" s="11">
        <v>283.0</v>
      </c>
      <c r="E41" s="11">
        <v>545.0</v>
      </c>
      <c r="F41" s="11">
        <v>322.0</v>
      </c>
      <c r="G41" s="11">
        <v>710.0</v>
      </c>
      <c r="H41" s="11" t="b">
        <f t="shared" si="1"/>
        <v>1</v>
      </c>
      <c r="I41" s="11">
        <v>382.0</v>
      </c>
      <c r="J41" s="11">
        <v>813.0</v>
      </c>
      <c r="K41" s="11">
        <v>425.0</v>
      </c>
      <c r="L41" s="11">
        <v>920.0</v>
      </c>
      <c r="M41" s="11" t="b">
        <f t="shared" si="2"/>
        <v>1</v>
      </c>
      <c r="N41" s="11">
        <v>363.0</v>
      </c>
      <c r="O41" s="11">
        <v>753.0</v>
      </c>
    </row>
    <row r="42" ht="15.75" customHeight="1">
      <c r="A42" s="5" t="s">
        <v>120</v>
      </c>
      <c r="B42" s="5" t="s">
        <v>213</v>
      </c>
      <c r="C42" s="5" t="s">
        <v>218</v>
      </c>
      <c r="D42" s="11">
        <v>260.0</v>
      </c>
      <c r="E42" s="11">
        <v>490.0</v>
      </c>
      <c r="F42" s="11">
        <v>316.0</v>
      </c>
      <c r="G42" s="11">
        <v>580.0</v>
      </c>
      <c r="H42" s="11" t="b">
        <f t="shared" si="1"/>
        <v>1</v>
      </c>
      <c r="I42" s="11">
        <v>346.0</v>
      </c>
      <c r="J42" s="11">
        <v>703.0</v>
      </c>
      <c r="K42" s="11">
        <v>397.0</v>
      </c>
      <c r="L42" s="11">
        <v>692.0</v>
      </c>
      <c r="M42" s="11" t="b">
        <f t="shared" si="2"/>
        <v>1</v>
      </c>
      <c r="N42" s="11">
        <v>338.0</v>
      </c>
      <c r="O42" s="11">
        <v>594.0</v>
      </c>
    </row>
    <row r="43" ht="15.75" customHeight="1">
      <c r="A43" s="5" t="s">
        <v>120</v>
      </c>
      <c r="B43" s="5" t="s">
        <v>219</v>
      </c>
      <c r="C43" s="5" t="s">
        <v>220</v>
      </c>
      <c r="D43" s="11">
        <v>139.0</v>
      </c>
      <c r="E43" s="11">
        <v>138.0</v>
      </c>
      <c r="F43" s="11">
        <v>138.0</v>
      </c>
      <c r="G43" s="11">
        <v>150.0</v>
      </c>
      <c r="H43" s="11" t="b">
        <f t="shared" si="1"/>
        <v>1</v>
      </c>
      <c r="I43" s="11">
        <v>179.0</v>
      </c>
      <c r="J43" s="11">
        <v>201.0</v>
      </c>
      <c r="K43" s="11">
        <v>175.0</v>
      </c>
      <c r="L43" s="11">
        <v>212.0</v>
      </c>
      <c r="M43" s="11" t="b">
        <f t="shared" si="2"/>
        <v>1</v>
      </c>
      <c r="N43" s="11">
        <v>144.0</v>
      </c>
      <c r="O43" s="11">
        <v>160.0</v>
      </c>
    </row>
    <row r="44" ht="15.75" customHeight="1">
      <c r="A44" s="5" t="s">
        <v>120</v>
      </c>
      <c r="B44" s="5" t="s">
        <v>219</v>
      </c>
      <c r="C44" s="5" t="s">
        <v>221</v>
      </c>
      <c r="D44" s="11">
        <v>146.0</v>
      </c>
      <c r="E44" s="11">
        <v>147.0</v>
      </c>
      <c r="F44" s="11">
        <v>162.0</v>
      </c>
      <c r="G44" s="11">
        <v>150.0</v>
      </c>
      <c r="H44" s="11" t="b">
        <f t="shared" si="1"/>
        <v>1</v>
      </c>
      <c r="I44" s="11">
        <v>191.0</v>
      </c>
      <c r="J44" s="11">
        <v>200.0</v>
      </c>
      <c r="K44" s="11">
        <v>184.0</v>
      </c>
      <c r="L44" s="11">
        <v>208.0</v>
      </c>
      <c r="M44" s="11" t="b">
        <f t="shared" si="2"/>
        <v>1</v>
      </c>
      <c r="N44" s="11">
        <v>164.0</v>
      </c>
      <c r="O44" s="11">
        <v>175.0</v>
      </c>
    </row>
    <row r="45" ht="15.75" customHeight="1">
      <c r="A45" s="5" t="s">
        <v>120</v>
      </c>
      <c r="B45" s="5" t="s">
        <v>219</v>
      </c>
      <c r="C45" s="5" t="s">
        <v>222</v>
      </c>
      <c r="D45" s="11">
        <v>86.0</v>
      </c>
      <c r="E45" s="11">
        <v>158.0</v>
      </c>
      <c r="F45" s="11">
        <v>98.0</v>
      </c>
      <c r="G45" s="11">
        <v>153.0</v>
      </c>
      <c r="H45" s="11" t="b">
        <f t="shared" si="1"/>
        <v>1</v>
      </c>
      <c r="I45" s="11">
        <v>108.0</v>
      </c>
      <c r="J45" s="11">
        <v>197.0</v>
      </c>
      <c r="K45" s="11">
        <v>102.0</v>
      </c>
      <c r="L45" s="11">
        <v>192.0</v>
      </c>
      <c r="M45" s="11" t="b">
        <f t="shared" si="2"/>
        <v>1</v>
      </c>
      <c r="N45" s="11">
        <v>87.0</v>
      </c>
      <c r="O45" s="11">
        <v>156.0</v>
      </c>
    </row>
    <row r="46" ht="15.75" customHeight="1">
      <c r="A46" s="5" t="s">
        <v>120</v>
      </c>
      <c r="B46" s="5" t="s">
        <v>219</v>
      </c>
      <c r="C46" s="5" t="s">
        <v>223</v>
      </c>
      <c r="D46" s="11">
        <v>142.0</v>
      </c>
      <c r="E46" s="11">
        <v>189.0</v>
      </c>
      <c r="F46" s="11">
        <v>159.0</v>
      </c>
      <c r="G46" s="11">
        <v>225.0</v>
      </c>
      <c r="H46" s="11" t="b">
        <f t="shared" si="1"/>
        <v>1</v>
      </c>
      <c r="I46" s="11">
        <v>185.0</v>
      </c>
      <c r="J46" s="11">
        <v>278.0</v>
      </c>
      <c r="K46" s="11">
        <v>194.0</v>
      </c>
      <c r="L46" s="11">
        <v>296.0</v>
      </c>
      <c r="M46" s="11" t="b">
        <f t="shared" si="2"/>
        <v>1</v>
      </c>
      <c r="N46" s="11">
        <v>166.0</v>
      </c>
      <c r="O46" s="11">
        <v>239.0</v>
      </c>
    </row>
    <row r="47" ht="15.75" customHeight="1">
      <c r="A47" s="5" t="s">
        <v>120</v>
      </c>
      <c r="B47" s="5" t="s">
        <v>226</v>
      </c>
      <c r="C47" s="5" t="s">
        <v>227</v>
      </c>
      <c r="D47" s="11">
        <v>190.0</v>
      </c>
      <c r="E47" s="11">
        <v>426.0</v>
      </c>
      <c r="F47" s="11">
        <v>209.0</v>
      </c>
      <c r="G47" s="11">
        <v>498.0</v>
      </c>
      <c r="H47" s="11" t="b">
        <f t="shared" si="1"/>
        <v>1</v>
      </c>
      <c r="I47" s="11">
        <v>267.0</v>
      </c>
      <c r="J47" s="11">
        <v>657.0</v>
      </c>
      <c r="K47" s="11">
        <v>298.0</v>
      </c>
      <c r="L47" s="11">
        <v>649.0</v>
      </c>
      <c r="M47" s="11" t="b">
        <f t="shared" si="2"/>
        <v>1</v>
      </c>
      <c r="N47" s="11">
        <v>240.0</v>
      </c>
      <c r="O47" s="11">
        <v>530.0</v>
      </c>
    </row>
    <row r="48" ht="15.75" customHeight="1">
      <c r="A48" s="5" t="s">
        <v>120</v>
      </c>
      <c r="B48" s="5" t="s">
        <v>226</v>
      </c>
      <c r="C48" s="5" t="s">
        <v>228</v>
      </c>
      <c r="D48" s="11">
        <v>187.0</v>
      </c>
      <c r="E48" s="11">
        <v>450.0</v>
      </c>
      <c r="F48" s="11">
        <v>210.0</v>
      </c>
      <c r="G48" s="11">
        <v>536.0</v>
      </c>
      <c r="H48" s="11" t="b">
        <f t="shared" si="1"/>
        <v>1</v>
      </c>
      <c r="I48" s="11">
        <v>240.0</v>
      </c>
      <c r="J48" s="11">
        <v>661.0</v>
      </c>
      <c r="K48" s="11">
        <v>253.0</v>
      </c>
      <c r="L48" s="11">
        <v>710.0</v>
      </c>
      <c r="M48" s="11" t="b">
        <f t="shared" si="2"/>
        <v>1</v>
      </c>
      <c r="N48" s="11">
        <v>213.0</v>
      </c>
      <c r="O48" s="11">
        <v>573.0</v>
      </c>
    </row>
    <row r="49" ht="15.75" customHeight="1">
      <c r="A49" s="5" t="s">
        <v>120</v>
      </c>
      <c r="B49" s="5" t="s">
        <v>226</v>
      </c>
      <c r="C49" s="5" t="s">
        <v>229</v>
      </c>
      <c r="D49" s="11">
        <v>180.0</v>
      </c>
      <c r="E49" s="11">
        <v>414.0</v>
      </c>
      <c r="F49" s="11">
        <v>206.0</v>
      </c>
      <c r="G49" s="11">
        <v>472.0</v>
      </c>
      <c r="H49" s="11" t="b">
        <f t="shared" si="1"/>
        <v>1</v>
      </c>
      <c r="I49" s="11">
        <v>232.0</v>
      </c>
      <c r="J49" s="11">
        <v>586.0</v>
      </c>
      <c r="K49" s="11">
        <v>238.0</v>
      </c>
      <c r="L49" s="11">
        <v>586.0</v>
      </c>
      <c r="M49" s="11" t="b">
        <f t="shared" si="2"/>
        <v>1</v>
      </c>
      <c r="N49" s="11">
        <v>209.0</v>
      </c>
      <c r="O49" s="11">
        <v>492.0</v>
      </c>
    </row>
    <row r="50" ht="15.75" customHeight="1">
      <c r="A50" s="5" t="s">
        <v>120</v>
      </c>
      <c r="B50" s="5" t="s">
        <v>230</v>
      </c>
      <c r="C50" s="5" t="s">
        <v>231</v>
      </c>
      <c r="D50" s="11">
        <v>157.0</v>
      </c>
      <c r="E50" s="11">
        <v>405.0</v>
      </c>
      <c r="F50" s="11">
        <v>167.0</v>
      </c>
      <c r="G50" s="11">
        <v>435.0</v>
      </c>
      <c r="H50" s="11" t="b">
        <f t="shared" si="1"/>
        <v>1</v>
      </c>
      <c r="I50" s="11">
        <v>213.0</v>
      </c>
      <c r="J50" s="11">
        <v>580.0</v>
      </c>
      <c r="K50" s="11">
        <v>238.0</v>
      </c>
      <c r="L50" s="11">
        <v>541.0</v>
      </c>
      <c r="M50" s="11" t="b">
        <f t="shared" si="2"/>
        <v>1</v>
      </c>
      <c r="N50" s="11">
        <v>171.0</v>
      </c>
      <c r="O50" s="11">
        <v>430.0</v>
      </c>
    </row>
    <row r="51" ht="15.75" customHeight="1">
      <c r="A51" s="5" t="s">
        <v>120</v>
      </c>
      <c r="B51" s="5" t="s">
        <v>230</v>
      </c>
      <c r="C51" s="5" t="s">
        <v>232</v>
      </c>
      <c r="D51" s="11">
        <v>84.0</v>
      </c>
      <c r="E51" s="11">
        <v>204.0</v>
      </c>
      <c r="F51" s="11">
        <v>78.0</v>
      </c>
      <c r="G51" s="11">
        <v>221.0</v>
      </c>
      <c r="H51" s="11" t="b">
        <f t="shared" si="1"/>
        <v>1</v>
      </c>
      <c r="I51" s="11">
        <v>104.0</v>
      </c>
      <c r="J51" s="11">
        <v>292.0</v>
      </c>
      <c r="K51" s="11">
        <v>103.0</v>
      </c>
      <c r="L51" s="11">
        <v>292.0</v>
      </c>
      <c r="M51" s="11" t="b">
        <f t="shared" si="2"/>
        <v>1</v>
      </c>
      <c r="N51" s="11">
        <v>85.0</v>
      </c>
      <c r="O51" s="11">
        <v>227.0</v>
      </c>
    </row>
    <row r="52" ht="15.75" customHeight="1">
      <c r="A52" s="5" t="s">
        <v>120</v>
      </c>
      <c r="B52" s="5" t="s">
        <v>233</v>
      </c>
      <c r="C52" s="5" t="s">
        <v>233</v>
      </c>
      <c r="D52" s="11">
        <v>40.0</v>
      </c>
      <c r="E52" s="11">
        <v>52.0</v>
      </c>
      <c r="F52" s="11">
        <v>46.0</v>
      </c>
      <c r="G52" s="11">
        <v>54.0</v>
      </c>
      <c r="H52" s="11" t="b">
        <f t="shared" si="1"/>
        <v>1</v>
      </c>
      <c r="I52" s="11">
        <v>61.0</v>
      </c>
      <c r="J52" s="11">
        <v>82.0</v>
      </c>
      <c r="K52" s="11">
        <v>53.0</v>
      </c>
      <c r="L52" s="11">
        <v>99.0</v>
      </c>
      <c r="M52" s="11" t="b">
        <f t="shared" si="2"/>
        <v>1</v>
      </c>
      <c r="N52" s="11">
        <v>42.0</v>
      </c>
      <c r="O52" s="11">
        <v>65.0</v>
      </c>
    </row>
    <row r="53" ht="15.75" customHeight="1">
      <c r="A53" s="5" t="s">
        <v>234</v>
      </c>
      <c r="B53" s="5" t="s">
        <v>235</v>
      </c>
      <c r="C53" s="5" t="s">
        <v>235</v>
      </c>
      <c r="D53" s="11">
        <v>454.0</v>
      </c>
      <c r="E53" s="11">
        <v>472.0</v>
      </c>
      <c r="F53" s="11">
        <v>494.0</v>
      </c>
      <c r="G53" s="11">
        <v>519.0</v>
      </c>
      <c r="H53" s="11" t="b">
        <f t="shared" si="1"/>
        <v>1</v>
      </c>
      <c r="I53" s="11">
        <v>663.0</v>
      </c>
      <c r="J53" s="11">
        <v>756.0</v>
      </c>
      <c r="K53" s="11">
        <v>601.0</v>
      </c>
      <c r="L53" s="11">
        <v>766.0</v>
      </c>
      <c r="M53" s="11" t="b">
        <f t="shared" si="2"/>
        <v>1</v>
      </c>
      <c r="N53" s="11">
        <v>492.0</v>
      </c>
      <c r="O53" s="11">
        <v>569.0</v>
      </c>
    </row>
    <row r="54" ht="15.75" customHeight="1">
      <c r="A54" s="5" t="s">
        <v>234</v>
      </c>
      <c r="B54" s="5" t="s">
        <v>236</v>
      </c>
      <c r="C54" s="5" t="s">
        <v>237</v>
      </c>
      <c r="D54" s="11">
        <v>328.0</v>
      </c>
      <c r="E54" s="11">
        <v>74.0</v>
      </c>
      <c r="F54" s="11">
        <v>264.0</v>
      </c>
      <c r="G54" s="11">
        <v>71.0</v>
      </c>
      <c r="H54" s="11" t="b">
        <f t="shared" si="1"/>
        <v>1</v>
      </c>
      <c r="I54" s="11">
        <v>544.0</v>
      </c>
      <c r="J54" s="11">
        <v>170.0</v>
      </c>
      <c r="K54" s="11">
        <v>437.0</v>
      </c>
      <c r="L54" s="11">
        <v>173.0</v>
      </c>
      <c r="M54" s="11" t="b">
        <f t="shared" si="2"/>
        <v>1</v>
      </c>
      <c r="N54" s="11">
        <v>251.0</v>
      </c>
      <c r="O54" s="11">
        <v>88.0</v>
      </c>
    </row>
    <row r="55" ht="15.75" customHeight="1">
      <c r="A55" s="5" t="s">
        <v>234</v>
      </c>
      <c r="B55" s="5" t="s">
        <v>236</v>
      </c>
      <c r="C55" s="5" t="s">
        <v>238</v>
      </c>
      <c r="D55" s="11">
        <v>228.0</v>
      </c>
      <c r="E55" s="11">
        <v>69.0</v>
      </c>
      <c r="F55" s="11">
        <v>152.0</v>
      </c>
      <c r="G55" s="11">
        <v>57.0</v>
      </c>
      <c r="H55" s="11" t="b">
        <f t="shared" si="1"/>
        <v>1</v>
      </c>
      <c r="I55" s="11">
        <v>342.0</v>
      </c>
      <c r="J55" s="11">
        <v>134.0</v>
      </c>
      <c r="K55" s="11">
        <v>328.0</v>
      </c>
      <c r="L55" s="11">
        <v>173.0</v>
      </c>
      <c r="M55" s="11" t="b">
        <f t="shared" si="2"/>
        <v>1</v>
      </c>
      <c r="N55" s="11">
        <v>136.0</v>
      </c>
      <c r="O55" s="11">
        <v>65.0</v>
      </c>
    </row>
    <row r="56" ht="15.75" customHeight="1">
      <c r="A56" s="5" t="s">
        <v>234</v>
      </c>
      <c r="B56" s="5" t="s">
        <v>236</v>
      </c>
      <c r="C56" s="5" t="s">
        <v>239</v>
      </c>
      <c r="D56" s="11">
        <v>256.0</v>
      </c>
      <c r="E56" s="11">
        <v>58.0</v>
      </c>
      <c r="F56" s="11">
        <v>191.0</v>
      </c>
      <c r="G56" s="11">
        <v>48.0</v>
      </c>
      <c r="H56" s="11" t="b">
        <f t="shared" si="1"/>
        <v>1</v>
      </c>
      <c r="I56" s="11">
        <v>391.0</v>
      </c>
      <c r="J56" s="11">
        <v>122.0</v>
      </c>
      <c r="K56" s="11">
        <v>347.0</v>
      </c>
      <c r="L56" s="11">
        <v>147.0</v>
      </c>
      <c r="M56" s="11" t="b">
        <f t="shared" si="2"/>
        <v>1</v>
      </c>
      <c r="N56" s="11">
        <v>170.0</v>
      </c>
      <c r="O56" s="11">
        <v>63.0</v>
      </c>
    </row>
    <row r="57" ht="15.75" customHeight="1">
      <c r="A57" s="5" t="s">
        <v>234</v>
      </c>
      <c r="B57" s="5" t="s">
        <v>236</v>
      </c>
      <c r="C57" s="5" t="s">
        <v>240</v>
      </c>
      <c r="D57" s="11">
        <v>225.0</v>
      </c>
      <c r="E57" s="11">
        <v>72.0</v>
      </c>
      <c r="F57" s="11">
        <v>182.0</v>
      </c>
      <c r="G57" s="11">
        <v>56.0</v>
      </c>
      <c r="H57" s="11" t="b">
        <f t="shared" si="1"/>
        <v>1</v>
      </c>
      <c r="I57" s="11">
        <v>347.0</v>
      </c>
      <c r="J57" s="11">
        <v>127.0</v>
      </c>
      <c r="K57" s="11">
        <v>314.0</v>
      </c>
      <c r="L57" s="11">
        <v>149.0</v>
      </c>
      <c r="M57" s="11" t="b">
        <f t="shared" si="2"/>
        <v>1</v>
      </c>
      <c r="N57" s="11">
        <v>163.0</v>
      </c>
      <c r="O57" s="11">
        <v>72.0</v>
      </c>
    </row>
    <row r="58" ht="15.75" customHeight="1">
      <c r="A58" s="5" t="s">
        <v>234</v>
      </c>
      <c r="B58" s="5" t="s">
        <v>236</v>
      </c>
      <c r="C58" s="5" t="s">
        <v>241</v>
      </c>
      <c r="D58" s="11">
        <v>263.0</v>
      </c>
      <c r="E58" s="11">
        <v>58.0</v>
      </c>
      <c r="F58" s="11">
        <v>182.0</v>
      </c>
      <c r="G58" s="11">
        <v>50.0</v>
      </c>
      <c r="H58" s="11" t="b">
        <f t="shared" si="1"/>
        <v>1</v>
      </c>
      <c r="I58" s="11">
        <v>389.0</v>
      </c>
      <c r="J58" s="11">
        <v>131.0</v>
      </c>
      <c r="K58" s="11">
        <v>364.0</v>
      </c>
      <c r="L58" s="11">
        <v>137.0</v>
      </c>
      <c r="M58" s="11" t="b">
        <f t="shared" si="2"/>
        <v>1</v>
      </c>
      <c r="N58" s="11">
        <v>172.0</v>
      </c>
      <c r="O58" s="11">
        <v>55.0</v>
      </c>
    </row>
    <row r="59" ht="15.75" customHeight="1">
      <c r="A59" s="5" t="s">
        <v>234</v>
      </c>
      <c r="B59" s="5" t="s">
        <v>236</v>
      </c>
      <c r="C59" s="5" t="s">
        <v>242</v>
      </c>
      <c r="D59" s="11">
        <v>329.0</v>
      </c>
      <c r="E59" s="11">
        <v>101.0</v>
      </c>
      <c r="F59" s="11">
        <v>258.0</v>
      </c>
      <c r="G59" s="11">
        <v>100.0</v>
      </c>
      <c r="H59" s="11" t="b">
        <f t="shared" si="1"/>
        <v>1</v>
      </c>
      <c r="I59" s="11">
        <v>457.0</v>
      </c>
      <c r="J59" s="11">
        <v>180.0</v>
      </c>
      <c r="K59" s="11">
        <v>399.0</v>
      </c>
      <c r="L59" s="11">
        <v>171.0</v>
      </c>
      <c r="M59" s="11" t="b">
        <f t="shared" si="2"/>
        <v>1</v>
      </c>
      <c r="N59" s="11">
        <v>248.0</v>
      </c>
      <c r="O59" s="11">
        <v>113.0</v>
      </c>
    </row>
    <row r="60" ht="15.75" customHeight="1">
      <c r="A60" s="5" t="s">
        <v>234</v>
      </c>
      <c r="B60" s="5" t="s">
        <v>236</v>
      </c>
      <c r="C60" s="5" t="s">
        <v>243</v>
      </c>
      <c r="D60" s="11">
        <v>806.0</v>
      </c>
      <c r="E60" s="11">
        <v>196.0</v>
      </c>
      <c r="F60" s="11">
        <v>611.0</v>
      </c>
      <c r="G60" s="11">
        <v>154.0</v>
      </c>
      <c r="H60" s="11" t="b">
        <f t="shared" si="1"/>
        <v>1</v>
      </c>
      <c r="I60" s="11">
        <v>979.0</v>
      </c>
      <c r="J60" s="11">
        <v>294.0</v>
      </c>
      <c r="K60" s="11">
        <v>1034.0</v>
      </c>
      <c r="L60" s="11">
        <v>285.0</v>
      </c>
      <c r="M60" s="11" t="b">
        <f t="shared" si="2"/>
        <v>1</v>
      </c>
      <c r="N60" s="11">
        <v>590.0</v>
      </c>
      <c r="O60" s="11">
        <v>168.0</v>
      </c>
    </row>
    <row r="61" ht="15.75" customHeight="1">
      <c r="A61" s="5" t="s">
        <v>234</v>
      </c>
      <c r="B61" s="5" t="s">
        <v>236</v>
      </c>
      <c r="C61" s="5" t="s">
        <v>244</v>
      </c>
      <c r="D61" s="11">
        <v>282.0</v>
      </c>
      <c r="E61" s="11">
        <v>144.0</v>
      </c>
      <c r="F61" s="11">
        <v>280.0</v>
      </c>
      <c r="G61" s="11">
        <v>119.0</v>
      </c>
      <c r="H61" s="11" t="b">
        <f t="shared" si="1"/>
        <v>1</v>
      </c>
      <c r="I61" s="11">
        <v>393.0</v>
      </c>
      <c r="J61" s="11">
        <v>212.0</v>
      </c>
      <c r="K61" s="11">
        <v>377.0</v>
      </c>
      <c r="L61" s="11">
        <v>190.0</v>
      </c>
      <c r="M61" s="11" t="b">
        <f t="shared" si="2"/>
        <v>1</v>
      </c>
      <c r="N61" s="11">
        <v>270.0</v>
      </c>
      <c r="O61" s="11">
        <v>141.0</v>
      </c>
    </row>
    <row r="62" ht="15.75" customHeight="1">
      <c r="A62" s="5" t="s">
        <v>234</v>
      </c>
      <c r="B62" s="5" t="s">
        <v>236</v>
      </c>
      <c r="C62" s="5" t="s">
        <v>245</v>
      </c>
      <c r="D62" s="11">
        <v>489.0</v>
      </c>
      <c r="E62" s="11">
        <v>259.0</v>
      </c>
      <c r="F62" s="11">
        <v>425.0</v>
      </c>
      <c r="G62" s="11">
        <v>264.0</v>
      </c>
      <c r="H62" s="11" t="b">
        <f t="shared" si="1"/>
        <v>1</v>
      </c>
      <c r="I62" s="11">
        <v>601.0</v>
      </c>
      <c r="J62" s="11">
        <v>397.0</v>
      </c>
      <c r="K62" s="11">
        <v>619.0</v>
      </c>
      <c r="L62" s="11">
        <v>400.0</v>
      </c>
      <c r="M62" s="11" t="b">
        <f t="shared" si="2"/>
        <v>1</v>
      </c>
      <c r="N62" s="11">
        <v>410.0</v>
      </c>
      <c r="O62" s="11">
        <v>260.0</v>
      </c>
    </row>
    <row r="63" ht="15.75" customHeight="1">
      <c r="A63" s="5" t="s">
        <v>234</v>
      </c>
      <c r="B63" s="5" t="s">
        <v>236</v>
      </c>
      <c r="C63" s="5" t="s">
        <v>246</v>
      </c>
      <c r="D63" s="11">
        <v>365.0</v>
      </c>
      <c r="E63" s="11">
        <v>201.0</v>
      </c>
      <c r="F63" s="11">
        <v>339.0</v>
      </c>
      <c r="G63" s="11">
        <v>205.0</v>
      </c>
      <c r="H63" s="11" t="b">
        <f t="shared" si="1"/>
        <v>1</v>
      </c>
      <c r="I63" s="11">
        <v>436.0</v>
      </c>
      <c r="J63" s="11">
        <v>280.0</v>
      </c>
      <c r="K63" s="11">
        <v>438.0</v>
      </c>
      <c r="L63" s="11">
        <v>259.0</v>
      </c>
      <c r="M63" s="11" t="b">
        <f t="shared" si="2"/>
        <v>1</v>
      </c>
      <c r="N63" s="11">
        <v>343.0</v>
      </c>
      <c r="O63" s="11">
        <v>206.0</v>
      </c>
    </row>
    <row r="64" ht="15.75" customHeight="1">
      <c r="A64" s="5" t="s">
        <v>234</v>
      </c>
      <c r="B64" s="5" t="s">
        <v>236</v>
      </c>
      <c r="C64" s="5" t="s">
        <v>248</v>
      </c>
      <c r="D64" s="11">
        <v>339.0</v>
      </c>
      <c r="E64" s="11">
        <v>121.0</v>
      </c>
      <c r="F64" s="11">
        <v>287.0</v>
      </c>
      <c r="G64" s="11">
        <v>97.0</v>
      </c>
      <c r="H64" s="11" t="b">
        <f t="shared" si="1"/>
        <v>1</v>
      </c>
      <c r="I64" s="11">
        <v>473.0</v>
      </c>
      <c r="J64" s="11">
        <v>187.0</v>
      </c>
      <c r="K64" s="11">
        <v>428.0</v>
      </c>
      <c r="L64" s="11">
        <v>195.0</v>
      </c>
      <c r="M64" s="11" t="b">
        <f t="shared" si="2"/>
        <v>1</v>
      </c>
      <c r="N64" s="11">
        <v>258.0</v>
      </c>
      <c r="O64" s="11">
        <v>120.0</v>
      </c>
    </row>
    <row r="65" ht="15.75" customHeight="1">
      <c r="A65" s="5" t="s">
        <v>234</v>
      </c>
      <c r="B65" s="5" t="s">
        <v>236</v>
      </c>
      <c r="C65" s="5" t="s">
        <v>250</v>
      </c>
      <c r="D65" s="11">
        <v>410.0</v>
      </c>
      <c r="E65" s="11">
        <v>158.0</v>
      </c>
      <c r="F65" s="11">
        <v>327.0</v>
      </c>
      <c r="G65" s="11">
        <v>159.0</v>
      </c>
      <c r="H65" s="11" t="b">
        <f t="shared" si="1"/>
        <v>1</v>
      </c>
      <c r="I65" s="11">
        <v>561.0</v>
      </c>
      <c r="J65" s="11">
        <v>286.0</v>
      </c>
      <c r="K65" s="11">
        <v>563.0</v>
      </c>
      <c r="L65" s="11">
        <v>322.0</v>
      </c>
      <c r="M65" s="11" t="b">
        <f t="shared" si="2"/>
        <v>1</v>
      </c>
      <c r="N65" s="11">
        <v>313.0</v>
      </c>
      <c r="O65" s="11">
        <v>172.0</v>
      </c>
    </row>
    <row r="66" ht="15.75" customHeight="1">
      <c r="A66" s="5" t="s">
        <v>234</v>
      </c>
      <c r="B66" s="5" t="s">
        <v>236</v>
      </c>
      <c r="C66" s="5" t="s">
        <v>251</v>
      </c>
      <c r="D66" s="11">
        <v>343.0</v>
      </c>
      <c r="E66" s="11">
        <v>185.0</v>
      </c>
      <c r="F66" s="11">
        <v>309.0</v>
      </c>
      <c r="G66" s="11">
        <v>187.0</v>
      </c>
      <c r="H66" s="11" t="b">
        <f t="shared" si="1"/>
        <v>1</v>
      </c>
      <c r="I66" s="11">
        <v>471.0</v>
      </c>
      <c r="J66" s="11">
        <v>297.0</v>
      </c>
      <c r="K66" s="11">
        <v>472.0</v>
      </c>
      <c r="L66" s="11">
        <v>273.0</v>
      </c>
      <c r="M66" s="11" t="b">
        <f t="shared" si="2"/>
        <v>1</v>
      </c>
      <c r="N66" s="11">
        <v>362.0</v>
      </c>
      <c r="O66" s="11">
        <v>212.0</v>
      </c>
    </row>
    <row r="67" ht="15.75" customHeight="1">
      <c r="A67" s="5" t="s">
        <v>234</v>
      </c>
      <c r="B67" s="5" t="s">
        <v>236</v>
      </c>
      <c r="C67" s="5" t="s">
        <v>252</v>
      </c>
      <c r="D67" s="11">
        <v>310.0</v>
      </c>
      <c r="E67" s="11">
        <v>213.0</v>
      </c>
      <c r="F67" s="11">
        <v>334.0</v>
      </c>
      <c r="G67" s="11">
        <v>232.0</v>
      </c>
      <c r="H67" s="11" t="b">
        <f t="shared" si="1"/>
        <v>1</v>
      </c>
      <c r="I67" s="11">
        <v>425.0</v>
      </c>
      <c r="J67" s="11">
        <v>333.0</v>
      </c>
      <c r="K67" s="11">
        <v>426.0</v>
      </c>
      <c r="L67" s="11">
        <v>331.0</v>
      </c>
      <c r="M67" s="11" t="b">
        <f t="shared" si="2"/>
        <v>1</v>
      </c>
      <c r="N67" s="11">
        <v>327.0</v>
      </c>
      <c r="O67" s="11">
        <v>252.0</v>
      </c>
    </row>
    <row r="68" ht="15.75" customHeight="1">
      <c r="A68" s="5" t="s">
        <v>234</v>
      </c>
      <c r="B68" s="5" t="s">
        <v>236</v>
      </c>
      <c r="C68" s="5" t="s">
        <v>253</v>
      </c>
      <c r="D68" s="11">
        <v>318.0</v>
      </c>
      <c r="E68" s="11">
        <v>150.0</v>
      </c>
      <c r="F68" s="11">
        <v>256.0</v>
      </c>
      <c r="G68" s="11">
        <v>154.0</v>
      </c>
      <c r="H68" s="11" t="b">
        <f t="shared" si="1"/>
        <v>1</v>
      </c>
      <c r="I68" s="11">
        <v>448.0</v>
      </c>
      <c r="J68" s="11">
        <v>269.0</v>
      </c>
      <c r="K68" s="11">
        <v>418.0</v>
      </c>
      <c r="L68" s="11">
        <v>278.0</v>
      </c>
      <c r="M68" s="11" t="b">
        <f t="shared" si="2"/>
        <v>1</v>
      </c>
      <c r="N68" s="11">
        <v>267.0</v>
      </c>
      <c r="O68" s="11">
        <v>165.0</v>
      </c>
    </row>
    <row r="69" ht="15.75" customHeight="1">
      <c r="A69" s="5" t="s">
        <v>234</v>
      </c>
      <c r="B69" s="5" t="s">
        <v>236</v>
      </c>
      <c r="C69" s="5" t="s">
        <v>254</v>
      </c>
      <c r="D69" s="11">
        <v>340.0</v>
      </c>
      <c r="E69" s="11">
        <v>84.0</v>
      </c>
      <c r="F69" s="11">
        <v>274.0</v>
      </c>
      <c r="G69" s="11">
        <v>74.0</v>
      </c>
      <c r="H69" s="11" t="b">
        <f t="shared" si="1"/>
        <v>1</v>
      </c>
      <c r="I69" s="11">
        <v>471.0</v>
      </c>
      <c r="J69" s="11">
        <v>157.0</v>
      </c>
      <c r="K69" s="11">
        <v>424.0</v>
      </c>
      <c r="L69" s="11">
        <v>188.0</v>
      </c>
      <c r="M69" s="11" t="b">
        <f t="shared" si="2"/>
        <v>1</v>
      </c>
      <c r="N69" s="11">
        <v>260.0</v>
      </c>
      <c r="O69" s="11">
        <v>104.0</v>
      </c>
    </row>
    <row r="70" ht="15.75" customHeight="1">
      <c r="A70" s="5" t="s">
        <v>234</v>
      </c>
      <c r="B70" s="5" t="s">
        <v>236</v>
      </c>
      <c r="C70" s="5" t="s">
        <v>255</v>
      </c>
      <c r="D70" s="11">
        <v>259.0</v>
      </c>
      <c r="E70" s="11">
        <v>111.0</v>
      </c>
      <c r="F70" s="11">
        <v>211.0</v>
      </c>
      <c r="G70" s="11">
        <v>83.0</v>
      </c>
      <c r="H70" s="11" t="b">
        <f t="shared" si="1"/>
        <v>1</v>
      </c>
      <c r="I70" s="11">
        <v>371.0</v>
      </c>
      <c r="J70" s="11">
        <v>172.0</v>
      </c>
      <c r="K70" s="11">
        <v>330.0</v>
      </c>
      <c r="L70" s="11">
        <v>195.0</v>
      </c>
      <c r="M70" s="11" t="b">
        <f t="shared" si="2"/>
        <v>1</v>
      </c>
      <c r="N70" s="11">
        <v>197.0</v>
      </c>
      <c r="O70" s="11">
        <v>107.0</v>
      </c>
    </row>
    <row r="71" ht="15.75" customHeight="1">
      <c r="A71" s="5" t="s">
        <v>234</v>
      </c>
      <c r="B71" s="5" t="s">
        <v>236</v>
      </c>
      <c r="C71" s="5" t="s">
        <v>256</v>
      </c>
      <c r="D71" s="11">
        <v>324.0</v>
      </c>
      <c r="E71" s="11">
        <v>126.0</v>
      </c>
      <c r="F71" s="11">
        <v>256.0</v>
      </c>
      <c r="G71" s="11">
        <v>123.0</v>
      </c>
      <c r="H71" s="11" t="b">
        <f t="shared" si="1"/>
        <v>1</v>
      </c>
      <c r="I71" s="11">
        <v>455.0</v>
      </c>
      <c r="J71" s="11">
        <v>235.0</v>
      </c>
      <c r="K71" s="11">
        <v>441.0</v>
      </c>
      <c r="L71" s="11">
        <v>232.0</v>
      </c>
      <c r="M71" s="11" t="b">
        <f t="shared" si="2"/>
        <v>1</v>
      </c>
      <c r="N71" s="11">
        <v>259.0</v>
      </c>
      <c r="O71" s="11">
        <v>136.0</v>
      </c>
    </row>
    <row r="72" ht="15.75" customHeight="1">
      <c r="A72" s="5" t="s">
        <v>234</v>
      </c>
      <c r="B72" s="5" t="s">
        <v>236</v>
      </c>
      <c r="C72" s="5" t="s">
        <v>257</v>
      </c>
      <c r="D72" s="11">
        <v>236.0</v>
      </c>
      <c r="E72" s="11">
        <v>99.0</v>
      </c>
      <c r="F72" s="11">
        <v>209.0</v>
      </c>
      <c r="G72" s="11">
        <v>82.0</v>
      </c>
      <c r="H72" s="11" t="b">
        <f t="shared" si="1"/>
        <v>1</v>
      </c>
      <c r="I72" s="11">
        <v>316.0</v>
      </c>
      <c r="J72" s="11">
        <v>142.0</v>
      </c>
      <c r="K72" s="11">
        <v>313.0</v>
      </c>
      <c r="L72" s="11">
        <v>155.0</v>
      </c>
      <c r="M72" s="11" t="b">
        <f t="shared" si="2"/>
        <v>1</v>
      </c>
      <c r="N72" s="11">
        <v>205.0</v>
      </c>
      <c r="O72" s="11">
        <v>96.0</v>
      </c>
    </row>
    <row r="73" ht="15.75" customHeight="1">
      <c r="A73" s="5" t="s">
        <v>234</v>
      </c>
      <c r="B73" s="5" t="s">
        <v>236</v>
      </c>
      <c r="C73" s="5" t="s">
        <v>258</v>
      </c>
      <c r="D73" s="11">
        <v>444.0</v>
      </c>
      <c r="E73" s="11">
        <v>190.0</v>
      </c>
      <c r="F73" s="11">
        <v>368.0</v>
      </c>
      <c r="G73" s="11">
        <v>206.0</v>
      </c>
      <c r="H73" s="11" t="b">
        <f t="shared" si="1"/>
        <v>1</v>
      </c>
      <c r="I73" s="11">
        <v>680.0</v>
      </c>
      <c r="J73" s="11">
        <v>390.0</v>
      </c>
      <c r="K73" s="11">
        <v>658.0</v>
      </c>
      <c r="L73" s="11">
        <v>375.0</v>
      </c>
      <c r="M73" s="11" t="b">
        <f t="shared" si="2"/>
        <v>1</v>
      </c>
      <c r="N73" s="11">
        <v>379.0</v>
      </c>
      <c r="O73" s="11">
        <v>207.0</v>
      </c>
    </row>
    <row r="74" ht="15.75" customHeight="1">
      <c r="A74" s="5" t="s">
        <v>234</v>
      </c>
      <c r="B74" s="5" t="s">
        <v>236</v>
      </c>
      <c r="C74" s="5" t="s">
        <v>259</v>
      </c>
      <c r="D74" s="11">
        <v>486.0</v>
      </c>
      <c r="E74" s="11">
        <v>149.0</v>
      </c>
      <c r="F74" s="11">
        <v>385.0</v>
      </c>
      <c r="G74" s="11">
        <v>168.0</v>
      </c>
      <c r="H74" s="11" t="b">
        <f t="shared" si="1"/>
        <v>1</v>
      </c>
      <c r="I74" s="11">
        <v>792.0</v>
      </c>
      <c r="J74" s="11">
        <v>358.0</v>
      </c>
      <c r="K74" s="11">
        <v>693.0</v>
      </c>
      <c r="L74" s="11">
        <v>389.0</v>
      </c>
      <c r="M74" s="11" t="b">
        <f t="shared" si="2"/>
        <v>1</v>
      </c>
      <c r="N74" s="11">
        <v>375.0</v>
      </c>
      <c r="O74" s="11">
        <v>196.0</v>
      </c>
    </row>
    <row r="75" ht="15.75" customHeight="1">
      <c r="A75" s="5" t="s">
        <v>234</v>
      </c>
      <c r="B75" s="5" t="s">
        <v>236</v>
      </c>
      <c r="C75" s="5" t="s">
        <v>261</v>
      </c>
      <c r="D75" s="11">
        <v>350.0</v>
      </c>
      <c r="E75" s="11">
        <v>183.0</v>
      </c>
      <c r="F75" s="11">
        <v>308.0</v>
      </c>
      <c r="G75" s="11">
        <v>215.0</v>
      </c>
      <c r="H75" s="11" t="b">
        <f t="shared" si="1"/>
        <v>1</v>
      </c>
      <c r="I75" s="11">
        <v>493.0</v>
      </c>
      <c r="J75" s="11">
        <v>340.0</v>
      </c>
      <c r="K75" s="11">
        <v>446.0</v>
      </c>
      <c r="L75" s="11">
        <v>382.0</v>
      </c>
      <c r="M75" s="11" t="b">
        <f t="shared" si="2"/>
        <v>1</v>
      </c>
      <c r="N75" s="11">
        <v>299.0</v>
      </c>
      <c r="O75" s="11">
        <v>224.0</v>
      </c>
    </row>
    <row r="76" ht="15.75" customHeight="1">
      <c r="A76" s="5" t="s">
        <v>234</v>
      </c>
      <c r="B76" s="5" t="s">
        <v>236</v>
      </c>
      <c r="C76" s="5" t="s">
        <v>262</v>
      </c>
      <c r="D76" s="11">
        <v>407.0</v>
      </c>
      <c r="E76" s="11">
        <v>210.0</v>
      </c>
      <c r="F76" s="11">
        <v>391.0</v>
      </c>
      <c r="G76" s="11">
        <v>209.0</v>
      </c>
      <c r="H76" s="11" t="b">
        <f t="shared" si="1"/>
        <v>1</v>
      </c>
      <c r="I76" s="11">
        <v>631.0</v>
      </c>
      <c r="J76" s="11">
        <v>379.0</v>
      </c>
      <c r="K76" s="11">
        <v>627.0</v>
      </c>
      <c r="L76" s="11">
        <v>389.0</v>
      </c>
      <c r="M76" s="11" t="b">
        <f t="shared" si="2"/>
        <v>1</v>
      </c>
      <c r="N76" s="11">
        <v>381.0</v>
      </c>
      <c r="O76" s="11">
        <v>229.0</v>
      </c>
    </row>
    <row r="77" ht="15.75" customHeight="1">
      <c r="A77" s="5" t="s">
        <v>234</v>
      </c>
      <c r="B77" s="5" t="s">
        <v>236</v>
      </c>
      <c r="C77" s="5" t="s">
        <v>263</v>
      </c>
      <c r="D77" s="11">
        <v>496.0</v>
      </c>
      <c r="E77" s="11">
        <v>252.0</v>
      </c>
      <c r="F77" s="11">
        <v>427.0</v>
      </c>
      <c r="G77" s="11">
        <v>242.0</v>
      </c>
      <c r="H77" s="11" t="b">
        <f t="shared" si="1"/>
        <v>1</v>
      </c>
      <c r="I77" s="11">
        <v>643.0</v>
      </c>
      <c r="J77" s="11">
        <v>388.0</v>
      </c>
      <c r="K77" s="11">
        <v>645.0</v>
      </c>
      <c r="L77" s="11">
        <v>418.0</v>
      </c>
      <c r="M77" s="11" t="b">
        <f t="shared" si="2"/>
        <v>1</v>
      </c>
      <c r="N77" s="11">
        <v>422.0</v>
      </c>
      <c r="O77" s="11">
        <v>259.0</v>
      </c>
    </row>
    <row r="78" ht="15.75" customHeight="1">
      <c r="A78" s="5" t="s">
        <v>234</v>
      </c>
      <c r="B78" s="5" t="s">
        <v>236</v>
      </c>
      <c r="C78" s="5" t="s">
        <v>264</v>
      </c>
      <c r="D78" s="11">
        <v>351.0</v>
      </c>
      <c r="E78" s="11">
        <v>155.0</v>
      </c>
      <c r="F78" s="11">
        <v>288.0</v>
      </c>
      <c r="G78" s="11">
        <v>176.0</v>
      </c>
      <c r="H78" s="11" t="b">
        <f t="shared" si="1"/>
        <v>1</v>
      </c>
      <c r="I78" s="11">
        <v>506.0</v>
      </c>
      <c r="J78" s="11">
        <v>304.0</v>
      </c>
      <c r="K78" s="11">
        <v>452.0</v>
      </c>
      <c r="L78" s="11">
        <v>341.0</v>
      </c>
      <c r="M78" s="11" t="b">
        <f t="shared" si="2"/>
        <v>1</v>
      </c>
      <c r="N78" s="11">
        <v>292.0</v>
      </c>
      <c r="O78" s="11">
        <v>200.0</v>
      </c>
    </row>
    <row r="79" ht="15.75" customHeight="1">
      <c r="A79" s="5" t="s">
        <v>234</v>
      </c>
      <c r="B79" s="5" t="s">
        <v>236</v>
      </c>
      <c r="C79" s="5" t="s">
        <v>265</v>
      </c>
      <c r="D79" s="11">
        <v>379.0</v>
      </c>
      <c r="E79" s="11">
        <v>166.0</v>
      </c>
      <c r="F79" s="11">
        <v>283.0</v>
      </c>
      <c r="G79" s="11">
        <v>158.0</v>
      </c>
      <c r="H79" s="11" t="b">
        <f t="shared" si="1"/>
        <v>1</v>
      </c>
      <c r="I79" s="11">
        <v>575.0</v>
      </c>
      <c r="J79" s="11">
        <v>334.0</v>
      </c>
      <c r="K79" s="11">
        <v>541.0</v>
      </c>
      <c r="L79" s="11">
        <v>325.0</v>
      </c>
      <c r="M79" s="11" t="b">
        <f t="shared" si="2"/>
        <v>1</v>
      </c>
      <c r="N79" s="11">
        <v>292.0</v>
      </c>
      <c r="O79" s="11">
        <v>168.0</v>
      </c>
    </row>
    <row r="80" ht="15.75" customHeight="1">
      <c r="A80" s="5" t="s">
        <v>234</v>
      </c>
      <c r="B80" s="5" t="s">
        <v>236</v>
      </c>
      <c r="C80" s="5" t="s">
        <v>266</v>
      </c>
      <c r="D80" s="11">
        <v>541.0</v>
      </c>
      <c r="E80" s="11">
        <v>274.0</v>
      </c>
      <c r="F80" s="11">
        <v>474.0</v>
      </c>
      <c r="G80" s="11">
        <v>300.0</v>
      </c>
      <c r="H80" s="11" t="b">
        <f t="shared" si="1"/>
        <v>1</v>
      </c>
      <c r="I80" s="11">
        <v>798.0</v>
      </c>
      <c r="J80" s="11">
        <v>535.0</v>
      </c>
      <c r="K80" s="11">
        <v>783.0</v>
      </c>
      <c r="L80" s="11">
        <v>562.0</v>
      </c>
      <c r="M80" s="11" t="b">
        <f t="shared" si="2"/>
        <v>1</v>
      </c>
      <c r="N80" s="11">
        <v>487.0</v>
      </c>
      <c r="O80" s="11">
        <v>334.0</v>
      </c>
    </row>
    <row r="81" ht="15.75" customHeight="1">
      <c r="A81" s="5" t="s">
        <v>234</v>
      </c>
      <c r="B81" s="5" t="s">
        <v>236</v>
      </c>
      <c r="C81" s="5" t="s">
        <v>267</v>
      </c>
      <c r="D81" s="11">
        <v>344.0</v>
      </c>
      <c r="E81" s="11">
        <v>167.0</v>
      </c>
      <c r="F81" s="11">
        <v>346.0</v>
      </c>
      <c r="G81" s="11">
        <v>146.0</v>
      </c>
      <c r="H81" s="11" t="b">
        <f t="shared" si="1"/>
        <v>1</v>
      </c>
      <c r="I81" s="11">
        <v>467.0</v>
      </c>
      <c r="J81" s="11">
        <v>232.0</v>
      </c>
      <c r="K81" s="11">
        <v>454.0</v>
      </c>
      <c r="L81" s="11">
        <v>218.0</v>
      </c>
      <c r="M81" s="11" t="b">
        <f t="shared" si="2"/>
        <v>1</v>
      </c>
      <c r="N81" s="11">
        <v>355.0</v>
      </c>
      <c r="O81" s="11">
        <v>165.0</v>
      </c>
    </row>
    <row r="82" ht="15.75" customHeight="1">
      <c r="A82" s="5" t="s">
        <v>234</v>
      </c>
      <c r="B82" s="5" t="s">
        <v>236</v>
      </c>
      <c r="C82" s="5" t="s">
        <v>268</v>
      </c>
      <c r="D82" s="11">
        <v>384.0</v>
      </c>
      <c r="E82" s="11">
        <v>220.0</v>
      </c>
      <c r="F82" s="11">
        <v>410.0</v>
      </c>
      <c r="G82" s="11">
        <v>212.0</v>
      </c>
      <c r="H82" s="11" t="b">
        <f t="shared" si="1"/>
        <v>1</v>
      </c>
      <c r="I82" s="11">
        <v>477.0</v>
      </c>
      <c r="J82" s="11">
        <v>294.0</v>
      </c>
      <c r="K82" s="11">
        <v>502.0</v>
      </c>
      <c r="L82" s="11">
        <v>274.0</v>
      </c>
      <c r="M82" s="11" t="b">
        <f t="shared" si="2"/>
        <v>1</v>
      </c>
      <c r="N82" s="11">
        <v>395.0</v>
      </c>
      <c r="O82" s="11">
        <v>222.0</v>
      </c>
    </row>
    <row r="83" ht="15.75" customHeight="1">
      <c r="A83" s="5" t="s">
        <v>234</v>
      </c>
      <c r="B83" s="5" t="s">
        <v>236</v>
      </c>
      <c r="C83" s="5" t="s">
        <v>270</v>
      </c>
      <c r="D83" s="11">
        <v>415.0</v>
      </c>
      <c r="E83" s="11">
        <v>262.0</v>
      </c>
      <c r="F83" s="11">
        <v>446.0</v>
      </c>
      <c r="G83" s="11">
        <v>239.0</v>
      </c>
      <c r="H83" s="11" t="b">
        <f t="shared" si="1"/>
        <v>1</v>
      </c>
      <c r="I83" s="11">
        <v>493.0</v>
      </c>
      <c r="J83" s="11">
        <v>310.0</v>
      </c>
      <c r="K83" s="11">
        <v>502.0</v>
      </c>
      <c r="L83" s="11">
        <v>283.0</v>
      </c>
      <c r="M83" s="11" t="b">
        <f t="shared" si="2"/>
        <v>1</v>
      </c>
      <c r="N83" s="11">
        <v>429.0</v>
      </c>
      <c r="O83" s="11">
        <v>247.0</v>
      </c>
    </row>
    <row r="84" ht="15.75" customHeight="1">
      <c r="A84" s="5" t="s">
        <v>234</v>
      </c>
      <c r="B84" s="5" t="s">
        <v>236</v>
      </c>
      <c r="C84" s="5" t="s">
        <v>271</v>
      </c>
      <c r="D84" s="11">
        <v>347.0</v>
      </c>
      <c r="E84" s="11">
        <v>187.0</v>
      </c>
      <c r="F84" s="11"/>
      <c r="G84" s="11"/>
      <c r="H84" s="11" t="b">
        <f t="shared" si="1"/>
        <v>0</v>
      </c>
      <c r="I84" s="11">
        <v>380.0</v>
      </c>
      <c r="J84" s="11">
        <v>223.0</v>
      </c>
      <c r="K84" s="11"/>
      <c r="L84" s="11"/>
      <c r="M84" s="11" t="b">
        <f t="shared" si="2"/>
        <v>0</v>
      </c>
      <c r="N84" s="11">
        <v>354.0</v>
      </c>
      <c r="O84" s="11">
        <v>201.0</v>
      </c>
    </row>
    <row r="85" ht="15.75" customHeight="1">
      <c r="A85" s="5" t="s">
        <v>234</v>
      </c>
      <c r="B85" s="5" t="s">
        <v>236</v>
      </c>
      <c r="C85" s="5" t="s">
        <v>272</v>
      </c>
      <c r="D85" s="11">
        <v>726.0</v>
      </c>
      <c r="E85" s="11">
        <v>429.0</v>
      </c>
      <c r="F85" s="11"/>
      <c r="G85" s="11"/>
      <c r="H85" s="11" t="b">
        <f t="shared" si="1"/>
        <v>0</v>
      </c>
      <c r="I85" s="11">
        <v>951.0</v>
      </c>
      <c r="J85" s="11">
        <v>586.0</v>
      </c>
      <c r="K85" s="11"/>
      <c r="L85" s="11"/>
      <c r="M85" s="11" t="b">
        <f t="shared" si="2"/>
        <v>0</v>
      </c>
      <c r="N85" s="11">
        <v>763.0</v>
      </c>
      <c r="O85" s="11">
        <v>443.0</v>
      </c>
    </row>
    <row r="86" ht="15.75" customHeight="1">
      <c r="A86" s="5" t="s">
        <v>234</v>
      </c>
      <c r="B86" s="5" t="s">
        <v>236</v>
      </c>
      <c r="C86" s="5" t="s">
        <v>273</v>
      </c>
      <c r="D86" s="11">
        <v>387.0</v>
      </c>
      <c r="E86" s="11">
        <v>179.0</v>
      </c>
      <c r="F86" s="11">
        <v>410.0</v>
      </c>
      <c r="G86" s="11">
        <v>165.0</v>
      </c>
      <c r="H86" s="11" t="b">
        <f t="shared" si="1"/>
        <v>1</v>
      </c>
      <c r="I86" s="11">
        <v>505.0</v>
      </c>
      <c r="J86" s="11">
        <v>245.0</v>
      </c>
      <c r="K86" s="11">
        <v>488.0</v>
      </c>
      <c r="L86" s="11">
        <v>252.0</v>
      </c>
      <c r="M86" s="11" t="b">
        <f t="shared" si="2"/>
        <v>1</v>
      </c>
      <c r="N86" s="11">
        <v>391.0</v>
      </c>
      <c r="O86" s="11">
        <v>194.0</v>
      </c>
    </row>
    <row r="87" ht="15.75" customHeight="1">
      <c r="A87" s="5" t="s">
        <v>234</v>
      </c>
      <c r="B87" s="5" t="s">
        <v>236</v>
      </c>
      <c r="C87" s="5" t="s">
        <v>274</v>
      </c>
      <c r="D87" s="11">
        <v>457.0</v>
      </c>
      <c r="E87" s="11">
        <v>278.0</v>
      </c>
      <c r="F87" s="11">
        <v>483.0</v>
      </c>
      <c r="G87" s="11">
        <v>278.0</v>
      </c>
      <c r="H87" s="11" t="b">
        <f t="shared" si="1"/>
        <v>1</v>
      </c>
      <c r="I87" s="11">
        <v>636.0</v>
      </c>
      <c r="J87" s="11">
        <v>394.0</v>
      </c>
      <c r="K87" s="11">
        <v>601.0</v>
      </c>
      <c r="L87" s="11">
        <v>394.0</v>
      </c>
      <c r="M87" s="11" t="b">
        <f t="shared" si="2"/>
        <v>1</v>
      </c>
      <c r="N87" s="11">
        <v>486.0</v>
      </c>
      <c r="O87" s="11">
        <v>299.0</v>
      </c>
    </row>
    <row r="88" ht="15.75" customHeight="1">
      <c r="A88" s="5" t="s">
        <v>234</v>
      </c>
      <c r="B88" s="5" t="s">
        <v>236</v>
      </c>
      <c r="C88" s="5" t="s">
        <v>275</v>
      </c>
      <c r="D88" s="11">
        <v>13.0</v>
      </c>
      <c r="E88" s="11">
        <v>7.0</v>
      </c>
      <c r="F88" s="11"/>
      <c r="G88" s="11"/>
      <c r="H88" s="11" t="b">
        <f t="shared" si="1"/>
        <v>0</v>
      </c>
      <c r="I88" s="11">
        <v>18.0</v>
      </c>
      <c r="J88" s="11">
        <v>11.0</v>
      </c>
      <c r="K88" s="11"/>
      <c r="L88" s="11"/>
      <c r="M88" s="11" t="b">
        <f t="shared" si="2"/>
        <v>0</v>
      </c>
      <c r="N88" s="11">
        <v>13.0</v>
      </c>
      <c r="O88" s="11">
        <v>7.0</v>
      </c>
    </row>
    <row r="89" ht="15.75" customHeight="1">
      <c r="A89" s="5" t="s">
        <v>234</v>
      </c>
      <c r="B89" s="5" t="s">
        <v>236</v>
      </c>
      <c r="C89" s="5" t="s">
        <v>276</v>
      </c>
      <c r="D89" s="11">
        <v>259.0</v>
      </c>
      <c r="E89" s="11">
        <v>136.0</v>
      </c>
      <c r="F89" s="11">
        <v>212.0</v>
      </c>
      <c r="G89" s="11">
        <v>155.0</v>
      </c>
      <c r="H89" s="11" t="b">
        <f t="shared" si="1"/>
        <v>1</v>
      </c>
      <c r="I89" s="11">
        <v>354.0</v>
      </c>
      <c r="J89" s="11">
        <v>249.0</v>
      </c>
      <c r="K89" s="11">
        <v>330.0</v>
      </c>
      <c r="L89" s="11">
        <v>270.0</v>
      </c>
      <c r="M89" s="11" t="b">
        <f t="shared" si="2"/>
        <v>1</v>
      </c>
      <c r="N89" s="11">
        <v>219.0</v>
      </c>
      <c r="O89" s="11">
        <v>162.0</v>
      </c>
    </row>
    <row r="90" ht="15.75" customHeight="1">
      <c r="A90" s="5" t="s">
        <v>234</v>
      </c>
      <c r="B90" s="5" t="s">
        <v>236</v>
      </c>
      <c r="C90" s="5" t="s">
        <v>277</v>
      </c>
      <c r="D90" s="11">
        <v>469.0</v>
      </c>
      <c r="E90" s="11">
        <v>169.0</v>
      </c>
      <c r="F90" s="11">
        <v>384.0</v>
      </c>
      <c r="G90" s="11">
        <v>166.0</v>
      </c>
      <c r="H90" s="11" t="b">
        <f t="shared" si="1"/>
        <v>1</v>
      </c>
      <c r="I90" s="11">
        <v>627.0</v>
      </c>
      <c r="J90" s="11">
        <v>304.0</v>
      </c>
      <c r="K90" s="11">
        <v>591.0</v>
      </c>
      <c r="L90" s="11">
        <v>333.0</v>
      </c>
      <c r="M90" s="11" t="b">
        <f t="shared" si="2"/>
        <v>1</v>
      </c>
      <c r="N90" s="11">
        <v>366.0</v>
      </c>
      <c r="O90" s="11">
        <v>194.0</v>
      </c>
    </row>
    <row r="91" ht="15.75" customHeight="1">
      <c r="A91" s="5" t="s">
        <v>234</v>
      </c>
      <c r="B91" s="5" t="s">
        <v>236</v>
      </c>
      <c r="C91" s="5" t="s">
        <v>278</v>
      </c>
      <c r="D91" s="11">
        <v>257.0</v>
      </c>
      <c r="E91" s="11">
        <v>169.0</v>
      </c>
      <c r="F91" s="11">
        <v>254.0</v>
      </c>
      <c r="G91" s="11">
        <v>167.0</v>
      </c>
      <c r="H91" s="11" t="b">
        <f t="shared" si="1"/>
        <v>1</v>
      </c>
      <c r="I91" s="11">
        <v>342.0</v>
      </c>
      <c r="J91" s="11">
        <v>250.0</v>
      </c>
      <c r="K91" s="11">
        <v>347.0</v>
      </c>
      <c r="L91" s="11">
        <v>243.0</v>
      </c>
      <c r="M91" s="11" t="b">
        <f t="shared" si="2"/>
        <v>1</v>
      </c>
      <c r="N91" s="11">
        <v>259.0</v>
      </c>
      <c r="O91" s="11">
        <v>180.0</v>
      </c>
    </row>
    <row r="92" ht="15.75" customHeight="1">
      <c r="A92" s="5" t="s">
        <v>234</v>
      </c>
      <c r="B92" s="5" t="s">
        <v>236</v>
      </c>
      <c r="C92" s="5" t="s">
        <v>279</v>
      </c>
      <c r="D92" s="11">
        <v>285.0</v>
      </c>
      <c r="E92" s="11">
        <v>122.0</v>
      </c>
      <c r="F92" s="11">
        <v>265.0</v>
      </c>
      <c r="G92" s="11">
        <v>121.0</v>
      </c>
      <c r="H92" s="11" t="b">
        <f t="shared" si="1"/>
        <v>1</v>
      </c>
      <c r="I92" s="11">
        <v>463.0</v>
      </c>
      <c r="J92" s="11">
        <v>253.0</v>
      </c>
      <c r="K92" s="11">
        <v>440.0</v>
      </c>
      <c r="L92" s="11">
        <v>259.0</v>
      </c>
      <c r="M92" s="11" t="b">
        <f t="shared" si="2"/>
        <v>1</v>
      </c>
      <c r="N92" s="11">
        <v>242.0</v>
      </c>
      <c r="O92" s="11">
        <v>133.0</v>
      </c>
    </row>
    <row r="93" ht="15.75" customHeight="1">
      <c r="A93" s="5" t="s">
        <v>234</v>
      </c>
      <c r="B93" s="5" t="s">
        <v>236</v>
      </c>
      <c r="C93" s="5" t="s">
        <v>282</v>
      </c>
      <c r="D93" s="11">
        <v>201.0</v>
      </c>
      <c r="E93" s="11">
        <v>134.0</v>
      </c>
      <c r="F93" s="11">
        <v>351.0</v>
      </c>
      <c r="G93" s="11">
        <v>253.0</v>
      </c>
      <c r="H93" s="11" t="b">
        <f t="shared" si="1"/>
        <v>1</v>
      </c>
      <c r="I93" s="11">
        <v>561.0</v>
      </c>
      <c r="J93" s="11">
        <v>412.0</v>
      </c>
      <c r="K93" s="11">
        <v>553.0</v>
      </c>
      <c r="L93" s="11">
        <v>367.0</v>
      </c>
      <c r="M93" s="11" t="b">
        <f t="shared" si="2"/>
        <v>1</v>
      </c>
      <c r="N93" s="11">
        <v>361.0</v>
      </c>
      <c r="O93" s="11">
        <v>240.0</v>
      </c>
    </row>
    <row r="94" ht="15.75" customHeight="1">
      <c r="A94" s="5" t="s">
        <v>234</v>
      </c>
      <c r="B94" s="5" t="s">
        <v>236</v>
      </c>
      <c r="C94" s="5" t="s">
        <v>283</v>
      </c>
      <c r="D94" s="11">
        <v>2.0</v>
      </c>
      <c r="E94" s="11">
        <v>1.0</v>
      </c>
      <c r="F94" s="11"/>
      <c r="G94" s="11"/>
      <c r="H94" s="11" t="b">
        <f t="shared" si="1"/>
        <v>0</v>
      </c>
      <c r="I94" s="11">
        <v>1.0</v>
      </c>
      <c r="J94" s="11">
        <v>1.0</v>
      </c>
      <c r="K94" s="11"/>
      <c r="L94" s="11"/>
      <c r="M94" s="11" t="b">
        <f t="shared" si="2"/>
        <v>0</v>
      </c>
      <c r="N94" s="11">
        <v>1.0</v>
      </c>
      <c r="O94" s="11">
        <v>1.0</v>
      </c>
    </row>
    <row r="95" ht="15.75" customHeight="1">
      <c r="A95" s="5" t="s">
        <v>234</v>
      </c>
      <c r="B95" s="5" t="s">
        <v>236</v>
      </c>
      <c r="C95" s="5" t="s">
        <v>284</v>
      </c>
      <c r="D95" s="11">
        <v>600.0</v>
      </c>
      <c r="E95" s="11">
        <v>269.0</v>
      </c>
      <c r="F95" s="11">
        <v>493.0</v>
      </c>
      <c r="G95" s="11">
        <v>277.0</v>
      </c>
      <c r="H95" s="11" t="b">
        <f t="shared" si="1"/>
        <v>1</v>
      </c>
      <c r="I95" s="11">
        <v>871.0</v>
      </c>
      <c r="J95" s="11">
        <v>507.0</v>
      </c>
      <c r="K95" s="11">
        <v>821.0</v>
      </c>
      <c r="L95" s="11">
        <v>504.0</v>
      </c>
      <c r="M95" s="11" t="b">
        <f t="shared" si="2"/>
        <v>1</v>
      </c>
      <c r="N95" s="11">
        <v>497.0</v>
      </c>
      <c r="O95" s="11">
        <v>287.0</v>
      </c>
    </row>
    <row r="96" ht="15.75" customHeight="1">
      <c r="A96" s="5" t="s">
        <v>234</v>
      </c>
      <c r="B96" s="5" t="s">
        <v>236</v>
      </c>
      <c r="C96" s="5" t="s">
        <v>285</v>
      </c>
      <c r="D96" s="11">
        <v>305.0</v>
      </c>
      <c r="E96" s="11">
        <v>69.0</v>
      </c>
      <c r="F96" s="11">
        <v>240.0</v>
      </c>
      <c r="G96" s="11">
        <v>63.0</v>
      </c>
      <c r="H96" s="11" t="b">
        <f t="shared" si="1"/>
        <v>1</v>
      </c>
      <c r="I96" s="11">
        <v>513.0</v>
      </c>
      <c r="J96" s="11">
        <v>157.0</v>
      </c>
      <c r="K96" s="11">
        <v>487.0</v>
      </c>
      <c r="L96" s="11">
        <v>191.0</v>
      </c>
      <c r="M96" s="11" t="b">
        <f t="shared" si="2"/>
        <v>1</v>
      </c>
      <c r="N96" s="11">
        <v>233.0</v>
      </c>
      <c r="O96" s="11">
        <v>75.0</v>
      </c>
    </row>
    <row r="97" ht="15.75" customHeight="1">
      <c r="A97" s="5" t="s">
        <v>234</v>
      </c>
      <c r="B97" s="5" t="s">
        <v>236</v>
      </c>
      <c r="C97" s="5" t="s">
        <v>286</v>
      </c>
      <c r="D97" s="11">
        <v>253.0</v>
      </c>
      <c r="E97" s="11">
        <v>58.0</v>
      </c>
      <c r="F97" s="11">
        <v>236.0</v>
      </c>
      <c r="G97" s="11">
        <v>68.0</v>
      </c>
      <c r="H97" s="11" t="b">
        <f t="shared" si="1"/>
        <v>1</v>
      </c>
      <c r="I97" s="11">
        <v>478.0</v>
      </c>
      <c r="J97" s="11">
        <v>154.0</v>
      </c>
      <c r="K97" s="11">
        <v>418.0</v>
      </c>
      <c r="L97" s="11">
        <v>181.0</v>
      </c>
      <c r="M97" s="11" t="b">
        <f t="shared" si="2"/>
        <v>1</v>
      </c>
      <c r="N97" s="11">
        <v>199.0</v>
      </c>
      <c r="O97" s="11">
        <v>73.0</v>
      </c>
    </row>
    <row r="98" ht="15.75" customHeight="1">
      <c r="A98" s="5" t="s">
        <v>234</v>
      </c>
      <c r="B98" s="5" t="s">
        <v>236</v>
      </c>
      <c r="C98" s="5" t="s">
        <v>287</v>
      </c>
      <c r="D98" s="11">
        <v>346.0</v>
      </c>
      <c r="E98" s="11">
        <v>78.0</v>
      </c>
      <c r="F98" s="11">
        <v>365.0</v>
      </c>
      <c r="G98" s="11">
        <v>72.0</v>
      </c>
      <c r="H98" s="11" t="b">
        <f t="shared" si="1"/>
        <v>1</v>
      </c>
      <c r="I98" s="11">
        <v>661.0</v>
      </c>
      <c r="J98" s="11">
        <v>205.0</v>
      </c>
      <c r="K98" s="11">
        <v>677.0</v>
      </c>
      <c r="L98" s="11">
        <v>264.0</v>
      </c>
      <c r="M98" s="11" t="b">
        <f t="shared" si="2"/>
        <v>1</v>
      </c>
      <c r="N98" s="11">
        <v>410.0</v>
      </c>
      <c r="O98" s="11">
        <v>140.0</v>
      </c>
    </row>
    <row r="99" ht="15.75" customHeight="1">
      <c r="A99" s="5" t="s">
        <v>234</v>
      </c>
      <c r="B99" s="5" t="s">
        <v>236</v>
      </c>
      <c r="C99" s="5" t="s">
        <v>288</v>
      </c>
      <c r="D99" s="11">
        <v>197.0</v>
      </c>
      <c r="E99" s="11">
        <v>48.0</v>
      </c>
      <c r="F99" s="11">
        <v>173.0</v>
      </c>
      <c r="G99" s="11">
        <v>59.0</v>
      </c>
      <c r="H99" s="11" t="b">
        <f t="shared" si="1"/>
        <v>1</v>
      </c>
      <c r="I99" s="11">
        <v>301.0</v>
      </c>
      <c r="J99" s="11">
        <v>111.0</v>
      </c>
      <c r="K99" s="11">
        <v>283.0</v>
      </c>
      <c r="L99" s="11">
        <v>138.0</v>
      </c>
      <c r="M99" s="11" t="b">
        <f t="shared" si="2"/>
        <v>1</v>
      </c>
      <c r="N99" s="11">
        <v>162.0</v>
      </c>
      <c r="O99" s="11">
        <v>71.0</v>
      </c>
    </row>
    <row r="100" ht="15.75" customHeight="1">
      <c r="A100" s="5" t="s">
        <v>234</v>
      </c>
      <c r="B100" s="5" t="s">
        <v>236</v>
      </c>
      <c r="C100" s="5" t="s">
        <v>289</v>
      </c>
      <c r="D100" s="11">
        <v>279.0</v>
      </c>
      <c r="E100" s="11">
        <v>63.0</v>
      </c>
      <c r="F100" s="11">
        <v>224.0</v>
      </c>
      <c r="G100" s="11">
        <v>57.0</v>
      </c>
      <c r="H100" s="11" t="b">
        <f t="shared" si="1"/>
        <v>1</v>
      </c>
      <c r="I100" s="11">
        <v>466.0</v>
      </c>
      <c r="J100" s="11">
        <v>144.0</v>
      </c>
      <c r="K100" s="11">
        <v>447.0</v>
      </c>
      <c r="L100" s="11">
        <v>152.0</v>
      </c>
      <c r="M100" s="11" t="b">
        <f t="shared" si="2"/>
        <v>1</v>
      </c>
      <c r="N100" s="11">
        <v>236.0</v>
      </c>
      <c r="O100" s="11">
        <v>71.0</v>
      </c>
    </row>
    <row r="101" ht="15.75" customHeight="1">
      <c r="A101" s="5" t="s">
        <v>234</v>
      </c>
      <c r="B101" s="5" t="s">
        <v>236</v>
      </c>
      <c r="C101" s="5" t="s">
        <v>290</v>
      </c>
      <c r="D101" s="11">
        <v>149.0</v>
      </c>
      <c r="E101" s="11">
        <v>36.0</v>
      </c>
      <c r="F101" s="11">
        <v>93.0</v>
      </c>
      <c r="G101" s="11">
        <v>30.0</v>
      </c>
      <c r="H101" s="11" t="b">
        <f t="shared" si="1"/>
        <v>1</v>
      </c>
      <c r="I101" s="11">
        <v>241.0</v>
      </c>
      <c r="J101" s="11">
        <v>84.0</v>
      </c>
      <c r="K101" s="11">
        <v>179.0</v>
      </c>
      <c r="L101" s="11">
        <v>112.0</v>
      </c>
      <c r="M101" s="11" t="b">
        <f t="shared" si="2"/>
        <v>1</v>
      </c>
      <c r="N101" s="11">
        <v>80.0</v>
      </c>
      <c r="O101" s="11">
        <v>39.0</v>
      </c>
    </row>
    <row r="102" ht="15.75" customHeight="1">
      <c r="A102" s="5" t="s">
        <v>234</v>
      </c>
      <c r="B102" s="5" t="s">
        <v>236</v>
      </c>
      <c r="C102" s="5" t="s">
        <v>292</v>
      </c>
      <c r="D102" s="11">
        <v>254.0</v>
      </c>
      <c r="E102" s="11">
        <v>83.0</v>
      </c>
      <c r="F102" s="11">
        <v>206.0</v>
      </c>
      <c r="G102" s="11">
        <v>84.0</v>
      </c>
      <c r="H102" s="11" t="b">
        <f t="shared" si="1"/>
        <v>1</v>
      </c>
      <c r="I102" s="11">
        <v>398.0</v>
      </c>
      <c r="J102" s="11">
        <v>170.0</v>
      </c>
      <c r="K102" s="11">
        <v>357.0</v>
      </c>
      <c r="L102" s="11">
        <v>225.0</v>
      </c>
      <c r="M102" s="11" t="b">
        <f t="shared" si="2"/>
        <v>1</v>
      </c>
      <c r="N102" s="11">
        <v>190.0</v>
      </c>
      <c r="O102" s="11">
        <v>101.0</v>
      </c>
    </row>
    <row r="103" ht="15.75" customHeight="1">
      <c r="A103" s="5" t="s">
        <v>234</v>
      </c>
      <c r="B103" s="5" t="s">
        <v>236</v>
      </c>
      <c r="C103" s="5" t="s">
        <v>293</v>
      </c>
      <c r="D103" s="11">
        <v>357.0</v>
      </c>
      <c r="E103" s="11">
        <v>81.0</v>
      </c>
      <c r="F103" s="11">
        <v>305.0</v>
      </c>
      <c r="G103" s="11">
        <v>94.0</v>
      </c>
      <c r="H103" s="11" t="b">
        <f t="shared" si="1"/>
        <v>1</v>
      </c>
      <c r="I103" s="11">
        <v>589.0</v>
      </c>
      <c r="J103" s="11">
        <v>194.0</v>
      </c>
      <c r="K103" s="11">
        <v>520.0</v>
      </c>
      <c r="L103" s="11">
        <v>193.0</v>
      </c>
      <c r="M103" s="11" t="b">
        <f t="shared" si="2"/>
        <v>1</v>
      </c>
      <c r="N103" s="11">
        <v>281.0</v>
      </c>
      <c r="O103" s="11">
        <v>94.0</v>
      </c>
    </row>
    <row r="104" ht="15.75" customHeight="1">
      <c r="A104" s="5" t="s">
        <v>234</v>
      </c>
      <c r="B104" s="5" t="s">
        <v>236</v>
      </c>
      <c r="C104" s="5" t="s">
        <v>294</v>
      </c>
      <c r="D104" s="11">
        <v>142.0</v>
      </c>
      <c r="E104" s="11">
        <v>35.0</v>
      </c>
      <c r="F104" s="11">
        <v>116.0</v>
      </c>
      <c r="G104" s="11">
        <v>25.0</v>
      </c>
      <c r="H104" s="11" t="b">
        <f t="shared" si="1"/>
        <v>1</v>
      </c>
      <c r="I104" s="11">
        <v>231.0</v>
      </c>
      <c r="J104" s="11">
        <v>75.0</v>
      </c>
      <c r="K104" s="11">
        <v>218.0</v>
      </c>
      <c r="L104" s="11">
        <v>86.0</v>
      </c>
      <c r="M104" s="11" t="b">
        <f t="shared" si="2"/>
        <v>1</v>
      </c>
      <c r="N104" s="11">
        <v>107.0</v>
      </c>
      <c r="O104" s="11">
        <v>37.0</v>
      </c>
    </row>
    <row r="105" ht="15.75" customHeight="1">
      <c r="A105" s="5" t="s">
        <v>234</v>
      </c>
      <c r="B105" s="5" t="s">
        <v>236</v>
      </c>
      <c r="C105" s="5" t="s">
        <v>295</v>
      </c>
      <c r="D105" s="11">
        <v>175.0</v>
      </c>
      <c r="E105" s="11">
        <v>39.0</v>
      </c>
      <c r="F105" s="11">
        <v>147.0</v>
      </c>
      <c r="G105" s="11">
        <v>26.0</v>
      </c>
      <c r="H105" s="11" t="b">
        <f t="shared" si="1"/>
        <v>1</v>
      </c>
      <c r="I105" s="11">
        <v>258.0</v>
      </c>
      <c r="J105" s="11">
        <v>82.0</v>
      </c>
      <c r="K105" s="11">
        <v>262.0</v>
      </c>
      <c r="L105" s="11">
        <v>109.0</v>
      </c>
      <c r="M105" s="11" t="b">
        <f t="shared" si="2"/>
        <v>1</v>
      </c>
      <c r="N105" s="11">
        <v>131.0</v>
      </c>
      <c r="O105" s="11">
        <v>44.0</v>
      </c>
    </row>
    <row r="106" ht="15.75" customHeight="1">
      <c r="A106" s="5" t="s">
        <v>234</v>
      </c>
      <c r="B106" s="5" t="s">
        <v>236</v>
      </c>
      <c r="C106" s="5" t="s">
        <v>296</v>
      </c>
      <c r="D106" s="11">
        <v>250.0</v>
      </c>
      <c r="E106" s="11">
        <v>56.0</v>
      </c>
      <c r="F106" s="11">
        <v>220.0</v>
      </c>
      <c r="G106" s="11">
        <v>55.0</v>
      </c>
      <c r="H106" s="11" t="b">
        <f t="shared" si="1"/>
        <v>1</v>
      </c>
      <c r="I106" s="11">
        <v>443.0</v>
      </c>
      <c r="J106" s="11">
        <v>142.0</v>
      </c>
      <c r="K106" s="11">
        <v>424.0</v>
      </c>
      <c r="L106" s="11">
        <v>151.0</v>
      </c>
      <c r="M106" s="11" t="b">
        <f t="shared" si="2"/>
        <v>1</v>
      </c>
      <c r="N106" s="11">
        <v>201.0</v>
      </c>
      <c r="O106" s="11">
        <v>62.0</v>
      </c>
    </row>
    <row r="107" ht="15.75" customHeight="1">
      <c r="A107" s="5" t="s">
        <v>234</v>
      </c>
      <c r="B107" s="5" t="s">
        <v>236</v>
      </c>
      <c r="C107" s="5" t="s">
        <v>297</v>
      </c>
      <c r="D107" s="11">
        <v>402.0</v>
      </c>
      <c r="E107" s="11">
        <v>145.0</v>
      </c>
      <c r="F107" s="11">
        <v>338.0</v>
      </c>
      <c r="G107" s="11">
        <v>159.0</v>
      </c>
      <c r="H107" s="11" t="b">
        <f t="shared" si="1"/>
        <v>1</v>
      </c>
      <c r="I107" s="11">
        <v>538.0</v>
      </c>
      <c r="J107" s="11">
        <v>268.0</v>
      </c>
      <c r="K107" s="11">
        <v>565.0</v>
      </c>
      <c r="L107" s="11">
        <v>277.0</v>
      </c>
      <c r="M107" s="11" t="b">
        <f t="shared" si="2"/>
        <v>1</v>
      </c>
      <c r="N107" s="11">
        <v>331.0</v>
      </c>
      <c r="O107" s="11">
        <v>162.0</v>
      </c>
    </row>
    <row r="108" ht="15.75" customHeight="1">
      <c r="A108" s="5" t="s">
        <v>234</v>
      </c>
      <c r="B108" s="5" t="s">
        <v>236</v>
      </c>
      <c r="C108" s="5" t="s">
        <v>298</v>
      </c>
      <c r="D108" s="11">
        <v>206.0</v>
      </c>
      <c r="E108" s="11">
        <v>55.0</v>
      </c>
      <c r="F108" s="11">
        <v>158.0</v>
      </c>
      <c r="G108" s="11">
        <v>60.0</v>
      </c>
      <c r="H108" s="11" t="b">
        <f t="shared" si="1"/>
        <v>1</v>
      </c>
      <c r="I108" s="11">
        <v>257.0</v>
      </c>
      <c r="J108" s="11">
        <v>103.0</v>
      </c>
      <c r="K108" s="11">
        <v>260.0</v>
      </c>
      <c r="L108" s="11">
        <v>121.0</v>
      </c>
      <c r="M108" s="11" t="b">
        <f t="shared" si="2"/>
        <v>1</v>
      </c>
      <c r="N108" s="11">
        <v>152.0</v>
      </c>
      <c r="O108" s="11">
        <v>72.0</v>
      </c>
    </row>
    <row r="109" ht="15.75" customHeight="1">
      <c r="A109" s="5" t="s">
        <v>234</v>
      </c>
      <c r="B109" s="5" t="s">
        <v>236</v>
      </c>
      <c r="C109" s="5" t="s">
        <v>299</v>
      </c>
      <c r="D109" s="11">
        <v>251.0</v>
      </c>
      <c r="E109" s="11">
        <v>60.0</v>
      </c>
      <c r="F109" s="11">
        <v>180.0</v>
      </c>
      <c r="G109" s="11">
        <v>58.0</v>
      </c>
      <c r="H109" s="11" t="b">
        <f t="shared" si="1"/>
        <v>1</v>
      </c>
      <c r="I109" s="11">
        <v>353.0</v>
      </c>
      <c r="J109" s="11">
        <v>123.0</v>
      </c>
      <c r="K109" s="11">
        <v>317.0</v>
      </c>
      <c r="L109" s="11">
        <v>152.0</v>
      </c>
      <c r="M109" s="11" t="b">
        <f t="shared" si="2"/>
        <v>1</v>
      </c>
      <c r="N109" s="11">
        <v>173.0</v>
      </c>
      <c r="O109" s="11">
        <v>69.0</v>
      </c>
    </row>
    <row r="110" ht="15.75" customHeight="1">
      <c r="A110" s="5" t="s">
        <v>234</v>
      </c>
      <c r="B110" s="5" t="s">
        <v>236</v>
      </c>
      <c r="C110" s="5" t="s">
        <v>300</v>
      </c>
      <c r="D110" s="11">
        <v>303.0</v>
      </c>
      <c r="E110" s="11">
        <v>173.0</v>
      </c>
      <c r="F110" s="11">
        <v>275.0</v>
      </c>
      <c r="G110" s="11">
        <v>147.0</v>
      </c>
      <c r="H110" s="11" t="b">
        <f t="shared" si="1"/>
        <v>1</v>
      </c>
      <c r="I110" s="11">
        <v>420.0</v>
      </c>
      <c r="J110" s="11">
        <v>266.0</v>
      </c>
      <c r="K110" s="11">
        <v>424.0</v>
      </c>
      <c r="L110" s="11">
        <v>264.0</v>
      </c>
      <c r="M110" s="11" t="b">
        <f t="shared" si="2"/>
        <v>1</v>
      </c>
      <c r="N110" s="11">
        <v>278.0</v>
      </c>
      <c r="O110" s="11">
        <v>171.0</v>
      </c>
    </row>
    <row r="111" ht="15.75" customHeight="1">
      <c r="A111" s="5" t="s">
        <v>234</v>
      </c>
      <c r="B111" s="5" t="s">
        <v>236</v>
      </c>
      <c r="C111" s="5" t="s">
        <v>301</v>
      </c>
      <c r="D111" s="11">
        <v>291.0</v>
      </c>
      <c r="E111" s="11">
        <v>65.0</v>
      </c>
      <c r="F111" s="11">
        <v>240.0</v>
      </c>
      <c r="G111" s="11">
        <v>61.0</v>
      </c>
      <c r="H111" s="11" t="b">
        <f t="shared" si="1"/>
        <v>1</v>
      </c>
      <c r="I111" s="11">
        <v>491.0</v>
      </c>
      <c r="J111" s="11">
        <v>156.0</v>
      </c>
      <c r="K111" s="11">
        <v>469.0</v>
      </c>
      <c r="L111" s="11">
        <v>215.0</v>
      </c>
      <c r="M111" s="11" t="b">
        <f t="shared" si="2"/>
        <v>1</v>
      </c>
      <c r="N111" s="11">
        <v>224.0</v>
      </c>
      <c r="O111" s="11">
        <v>86.0</v>
      </c>
    </row>
    <row r="112" ht="15.75" customHeight="1">
      <c r="A112" s="5" t="s">
        <v>234</v>
      </c>
      <c r="B112" s="5" t="s">
        <v>303</v>
      </c>
      <c r="C112" s="5" t="s">
        <v>304</v>
      </c>
      <c r="D112" s="11">
        <v>440.0</v>
      </c>
      <c r="E112" s="11">
        <v>161.0</v>
      </c>
      <c r="F112" s="11">
        <v>472.0</v>
      </c>
      <c r="G112" s="11">
        <v>160.0</v>
      </c>
      <c r="H112" s="11" t="b">
        <f t="shared" si="1"/>
        <v>1</v>
      </c>
      <c r="I112" s="11">
        <v>629.0</v>
      </c>
      <c r="J112" s="11">
        <v>250.0</v>
      </c>
      <c r="K112" s="11">
        <v>598.0</v>
      </c>
      <c r="L112" s="11">
        <v>253.0</v>
      </c>
      <c r="M112" s="11" t="b">
        <f t="shared" si="2"/>
        <v>1</v>
      </c>
      <c r="N112" s="11">
        <v>470.0</v>
      </c>
      <c r="O112" s="11">
        <v>187.0</v>
      </c>
    </row>
    <row r="113" ht="15.75" customHeight="1">
      <c r="A113" s="5" t="s">
        <v>234</v>
      </c>
      <c r="B113" s="5" t="s">
        <v>303</v>
      </c>
      <c r="C113" s="5" t="s">
        <v>305</v>
      </c>
      <c r="D113" s="11">
        <v>317.0</v>
      </c>
      <c r="E113" s="11">
        <v>138.0</v>
      </c>
      <c r="F113" s="11">
        <v>324.0</v>
      </c>
      <c r="G113" s="11">
        <v>138.0</v>
      </c>
      <c r="H113" s="11" t="b">
        <f t="shared" si="1"/>
        <v>1</v>
      </c>
      <c r="I113" s="11">
        <v>437.0</v>
      </c>
      <c r="J113" s="11">
        <v>213.0</v>
      </c>
      <c r="K113" s="11">
        <v>420.0</v>
      </c>
      <c r="L113" s="11">
        <v>214.0</v>
      </c>
      <c r="M113" s="11" t="b">
        <f t="shared" si="2"/>
        <v>1</v>
      </c>
      <c r="N113" s="11">
        <v>310.0</v>
      </c>
      <c r="O113" s="11">
        <v>156.0</v>
      </c>
    </row>
    <row r="114" ht="15.75" customHeight="1">
      <c r="A114" s="5" t="s">
        <v>234</v>
      </c>
      <c r="B114" s="5" t="s">
        <v>303</v>
      </c>
      <c r="C114" s="5" t="s">
        <v>306</v>
      </c>
      <c r="D114" s="11">
        <v>346.0</v>
      </c>
      <c r="E114" s="11">
        <v>129.0</v>
      </c>
      <c r="F114" s="11">
        <v>366.0</v>
      </c>
      <c r="G114" s="11">
        <v>124.0</v>
      </c>
      <c r="H114" s="11" t="b">
        <f t="shared" si="1"/>
        <v>1</v>
      </c>
      <c r="I114" s="11">
        <v>455.0</v>
      </c>
      <c r="J114" s="11">
        <v>178.0</v>
      </c>
      <c r="K114" s="11">
        <v>438.0</v>
      </c>
      <c r="L114" s="11">
        <v>176.0</v>
      </c>
      <c r="M114" s="11" t="b">
        <f t="shared" si="2"/>
        <v>1</v>
      </c>
      <c r="N114" s="11">
        <v>348.0</v>
      </c>
      <c r="O114" s="11">
        <v>139.0</v>
      </c>
    </row>
    <row r="115" ht="15.75" customHeight="1">
      <c r="A115" s="5" t="s">
        <v>234</v>
      </c>
      <c r="B115" s="5" t="s">
        <v>303</v>
      </c>
      <c r="C115" s="5" t="s">
        <v>307</v>
      </c>
      <c r="D115" s="11">
        <v>371.0</v>
      </c>
      <c r="E115" s="11">
        <v>159.0</v>
      </c>
      <c r="F115" s="11">
        <v>415.0</v>
      </c>
      <c r="G115" s="11">
        <v>166.0</v>
      </c>
      <c r="H115" s="11" t="b">
        <f t="shared" si="1"/>
        <v>1</v>
      </c>
      <c r="I115" s="11">
        <v>470.0</v>
      </c>
      <c r="J115" s="11">
        <v>218.0</v>
      </c>
      <c r="K115" s="11">
        <v>463.0</v>
      </c>
      <c r="L115" s="11">
        <v>219.0</v>
      </c>
      <c r="M115" s="11" t="b">
        <f t="shared" si="2"/>
        <v>1</v>
      </c>
      <c r="N115" s="11">
        <v>377.0</v>
      </c>
      <c r="O115" s="11">
        <v>170.0</v>
      </c>
    </row>
    <row r="116" ht="15.75" customHeight="1">
      <c r="A116" s="5" t="s">
        <v>234</v>
      </c>
      <c r="B116" s="5" t="s">
        <v>303</v>
      </c>
      <c r="C116" s="5" t="s">
        <v>308</v>
      </c>
      <c r="D116" s="11">
        <v>560.0</v>
      </c>
      <c r="E116" s="11">
        <v>276.0</v>
      </c>
      <c r="F116" s="11">
        <v>571.0</v>
      </c>
      <c r="G116" s="11">
        <v>293.0</v>
      </c>
      <c r="H116" s="11" t="b">
        <f t="shared" si="1"/>
        <v>1</v>
      </c>
      <c r="I116" s="11">
        <v>806.0</v>
      </c>
      <c r="J116" s="11">
        <v>457.0</v>
      </c>
      <c r="K116" s="11">
        <v>782.0</v>
      </c>
      <c r="L116" s="11">
        <v>404.0</v>
      </c>
      <c r="M116" s="11" t="b">
        <f t="shared" si="2"/>
        <v>1</v>
      </c>
      <c r="N116" s="11">
        <v>582.0</v>
      </c>
      <c r="O116" s="11">
        <v>316.0</v>
      </c>
    </row>
    <row r="117" ht="15.75" customHeight="1">
      <c r="A117" s="5" t="s">
        <v>234</v>
      </c>
      <c r="B117" s="5" t="s">
        <v>303</v>
      </c>
      <c r="C117" s="5" t="s">
        <v>309</v>
      </c>
      <c r="D117" s="11">
        <v>380.0</v>
      </c>
      <c r="E117" s="11">
        <v>210.0</v>
      </c>
      <c r="F117" s="11">
        <v>400.0</v>
      </c>
      <c r="G117" s="11">
        <v>220.0</v>
      </c>
      <c r="H117" s="11" t="b">
        <f t="shared" si="1"/>
        <v>1</v>
      </c>
      <c r="I117" s="11">
        <v>524.0</v>
      </c>
      <c r="J117" s="11">
        <v>319.0</v>
      </c>
      <c r="K117" s="11">
        <v>503.0</v>
      </c>
      <c r="L117" s="11">
        <v>318.0</v>
      </c>
      <c r="M117" s="11" t="b">
        <f t="shared" si="2"/>
        <v>1</v>
      </c>
      <c r="N117" s="11">
        <v>396.0</v>
      </c>
      <c r="O117" s="11">
        <v>238.0</v>
      </c>
    </row>
    <row r="118" ht="15.75" customHeight="1">
      <c r="A118" s="5" t="s">
        <v>234</v>
      </c>
      <c r="B118" s="5" t="s">
        <v>303</v>
      </c>
      <c r="C118" s="5" t="s">
        <v>310</v>
      </c>
      <c r="D118" s="11">
        <v>429.0</v>
      </c>
      <c r="E118" s="11">
        <v>296.0</v>
      </c>
      <c r="F118" s="11">
        <v>465.0</v>
      </c>
      <c r="G118" s="11">
        <v>283.0</v>
      </c>
      <c r="H118" s="11" t="b">
        <f t="shared" si="1"/>
        <v>1</v>
      </c>
      <c r="I118" s="11">
        <v>602.0</v>
      </c>
      <c r="J118" s="11">
        <v>431.0</v>
      </c>
      <c r="K118" s="11">
        <v>597.0</v>
      </c>
      <c r="L118" s="11">
        <v>396.0</v>
      </c>
      <c r="M118" s="11" t="b">
        <f t="shared" si="2"/>
        <v>1</v>
      </c>
      <c r="N118" s="11">
        <v>438.0</v>
      </c>
      <c r="O118" s="11">
        <v>289.0</v>
      </c>
    </row>
    <row r="119" ht="15.75" customHeight="1">
      <c r="A119" s="5" t="s">
        <v>234</v>
      </c>
      <c r="B119" s="5" t="s">
        <v>303</v>
      </c>
      <c r="C119" s="5" t="s">
        <v>311</v>
      </c>
      <c r="D119" s="11">
        <v>502.0</v>
      </c>
      <c r="E119" s="11">
        <v>341.0</v>
      </c>
      <c r="F119" s="11">
        <v>583.0</v>
      </c>
      <c r="G119" s="11">
        <v>335.0</v>
      </c>
      <c r="H119" s="11" t="b">
        <f t="shared" si="1"/>
        <v>1</v>
      </c>
      <c r="I119" s="11">
        <v>664.0</v>
      </c>
      <c r="J119" s="11">
        <v>443.0</v>
      </c>
      <c r="K119" s="11">
        <v>678.0</v>
      </c>
      <c r="L119" s="11">
        <v>451.0</v>
      </c>
      <c r="M119" s="11" t="b">
        <f t="shared" si="2"/>
        <v>1</v>
      </c>
      <c r="N119" s="11">
        <v>543.0</v>
      </c>
      <c r="O119" s="11">
        <v>355.0</v>
      </c>
    </row>
    <row r="120" ht="15.75" customHeight="1">
      <c r="A120" s="5" t="s">
        <v>234</v>
      </c>
      <c r="B120" s="5" t="s">
        <v>303</v>
      </c>
      <c r="C120" s="5" t="s">
        <v>313</v>
      </c>
      <c r="D120" s="11">
        <v>421.0</v>
      </c>
      <c r="E120" s="11">
        <v>225.0</v>
      </c>
      <c r="F120" s="11">
        <v>415.0</v>
      </c>
      <c r="G120" s="11">
        <v>238.0</v>
      </c>
      <c r="H120" s="11" t="b">
        <f t="shared" si="1"/>
        <v>1</v>
      </c>
      <c r="I120" s="11">
        <v>530.0</v>
      </c>
      <c r="J120" s="11">
        <v>335.0</v>
      </c>
      <c r="K120" s="11">
        <v>524.0</v>
      </c>
      <c r="L120" s="11">
        <v>327.0</v>
      </c>
      <c r="M120" s="11" t="b">
        <f t="shared" si="2"/>
        <v>1</v>
      </c>
      <c r="N120" s="11">
        <v>417.0</v>
      </c>
      <c r="O120" s="11">
        <v>248.0</v>
      </c>
    </row>
    <row r="121" ht="15.75" customHeight="1">
      <c r="A121" s="5" t="s">
        <v>234</v>
      </c>
      <c r="B121" s="5" t="s">
        <v>303</v>
      </c>
      <c r="C121" s="5" t="s">
        <v>314</v>
      </c>
      <c r="D121" s="11">
        <v>303.0</v>
      </c>
      <c r="E121" s="11">
        <v>220.0</v>
      </c>
      <c r="F121" s="11">
        <v>332.0</v>
      </c>
      <c r="G121" s="11">
        <v>255.0</v>
      </c>
      <c r="H121" s="11" t="b">
        <f t="shared" si="1"/>
        <v>1</v>
      </c>
      <c r="I121" s="11">
        <v>406.0</v>
      </c>
      <c r="J121" s="11">
        <v>339.0</v>
      </c>
      <c r="K121" s="11">
        <v>437.0</v>
      </c>
      <c r="L121" s="11">
        <v>344.0</v>
      </c>
      <c r="M121" s="11" t="b">
        <f t="shared" si="2"/>
        <v>1</v>
      </c>
      <c r="N121" s="11">
        <v>325.0</v>
      </c>
      <c r="O121" s="11">
        <v>255.0</v>
      </c>
    </row>
    <row r="122" ht="15.75" customHeight="1">
      <c r="A122" s="5" t="s">
        <v>234</v>
      </c>
      <c r="B122" s="5" t="s">
        <v>303</v>
      </c>
      <c r="C122" s="5" t="s">
        <v>315</v>
      </c>
      <c r="D122" s="11">
        <v>413.0</v>
      </c>
      <c r="E122" s="11">
        <v>217.0</v>
      </c>
      <c r="F122" s="11">
        <v>418.0</v>
      </c>
      <c r="G122" s="11">
        <v>222.0</v>
      </c>
      <c r="H122" s="11" t="b">
        <f t="shared" si="1"/>
        <v>1</v>
      </c>
      <c r="I122" s="11">
        <v>575.0</v>
      </c>
      <c r="J122" s="11">
        <v>359.0</v>
      </c>
      <c r="K122" s="11">
        <v>581.0</v>
      </c>
      <c r="L122" s="11">
        <v>342.0</v>
      </c>
      <c r="M122" s="11" t="b">
        <f t="shared" si="2"/>
        <v>1</v>
      </c>
      <c r="N122" s="11">
        <v>419.0</v>
      </c>
      <c r="O122" s="11">
        <v>243.0</v>
      </c>
    </row>
    <row r="123" ht="15.75" customHeight="1">
      <c r="A123" s="5" t="s">
        <v>234</v>
      </c>
      <c r="B123" s="5" t="s">
        <v>303</v>
      </c>
      <c r="C123" s="5" t="s">
        <v>316</v>
      </c>
      <c r="D123" s="11">
        <v>388.0</v>
      </c>
      <c r="E123" s="11">
        <v>268.0</v>
      </c>
      <c r="F123" s="11">
        <v>425.0</v>
      </c>
      <c r="G123" s="11">
        <v>271.0</v>
      </c>
      <c r="H123" s="11" t="b">
        <f t="shared" si="1"/>
        <v>1</v>
      </c>
      <c r="I123" s="11">
        <v>587.0</v>
      </c>
      <c r="J123" s="11">
        <v>422.0</v>
      </c>
      <c r="K123" s="11">
        <v>591.0</v>
      </c>
      <c r="L123" s="11">
        <v>390.0</v>
      </c>
      <c r="M123" s="11" t="b">
        <f t="shared" si="2"/>
        <v>1</v>
      </c>
      <c r="N123" s="11">
        <v>445.0</v>
      </c>
      <c r="O123" s="11">
        <v>293.0</v>
      </c>
    </row>
    <row r="124" ht="15.75" customHeight="1">
      <c r="A124" s="5" t="s">
        <v>234</v>
      </c>
      <c r="B124" s="5" t="s">
        <v>317</v>
      </c>
      <c r="C124" s="5" t="s">
        <v>318</v>
      </c>
      <c r="D124" s="11">
        <v>377.0</v>
      </c>
      <c r="E124" s="11">
        <v>253.0</v>
      </c>
      <c r="F124" s="11">
        <v>392.0</v>
      </c>
      <c r="G124" s="11">
        <v>281.0</v>
      </c>
      <c r="H124" s="11" t="b">
        <f t="shared" si="1"/>
        <v>1</v>
      </c>
      <c r="I124" s="11">
        <v>542.0</v>
      </c>
      <c r="J124" s="11">
        <v>419.0</v>
      </c>
      <c r="K124" s="11">
        <v>557.0</v>
      </c>
      <c r="L124" s="11">
        <v>454.0</v>
      </c>
      <c r="M124" s="11" t="b">
        <f t="shared" si="2"/>
        <v>1</v>
      </c>
      <c r="N124" s="11">
        <v>386.0</v>
      </c>
      <c r="O124" s="11">
        <v>299.0</v>
      </c>
    </row>
    <row r="125" ht="15.75" customHeight="1">
      <c r="A125" s="5" t="s">
        <v>234</v>
      </c>
      <c r="B125" s="5" t="s">
        <v>317</v>
      </c>
      <c r="C125" s="5" t="s">
        <v>319</v>
      </c>
      <c r="D125" s="11">
        <v>337.0</v>
      </c>
      <c r="E125" s="11">
        <v>342.0</v>
      </c>
      <c r="F125" s="11">
        <v>334.0</v>
      </c>
      <c r="G125" s="11">
        <v>333.0</v>
      </c>
      <c r="H125" s="11" t="b">
        <f t="shared" si="1"/>
        <v>1</v>
      </c>
      <c r="I125" s="11">
        <v>498.0</v>
      </c>
      <c r="J125" s="11">
        <v>553.0</v>
      </c>
      <c r="K125" s="11">
        <v>467.0</v>
      </c>
      <c r="L125" s="11">
        <v>513.0</v>
      </c>
      <c r="M125" s="11" t="b">
        <f t="shared" si="2"/>
        <v>1</v>
      </c>
      <c r="N125" s="11">
        <v>344.0</v>
      </c>
      <c r="O125" s="11">
        <v>369.0</v>
      </c>
    </row>
    <row r="126" ht="15.75" customHeight="1">
      <c r="A126" s="5" t="s">
        <v>234</v>
      </c>
      <c r="B126" s="5" t="s">
        <v>317</v>
      </c>
      <c r="C126" s="5" t="s">
        <v>320</v>
      </c>
      <c r="D126" s="11">
        <v>390.0</v>
      </c>
      <c r="E126" s="11">
        <v>344.0</v>
      </c>
      <c r="F126" s="11">
        <v>409.0</v>
      </c>
      <c r="G126" s="11">
        <v>361.0</v>
      </c>
      <c r="H126" s="11" t="b">
        <f t="shared" si="1"/>
        <v>1</v>
      </c>
      <c r="I126" s="11">
        <v>552.0</v>
      </c>
      <c r="J126" s="11">
        <v>527.0</v>
      </c>
      <c r="K126" s="11">
        <v>536.0</v>
      </c>
      <c r="L126" s="11">
        <v>524.0</v>
      </c>
      <c r="M126" s="11" t="b">
        <f t="shared" si="2"/>
        <v>1</v>
      </c>
      <c r="N126" s="11">
        <v>405.0</v>
      </c>
      <c r="O126" s="11">
        <v>376.0</v>
      </c>
    </row>
    <row r="127" ht="15.75" customHeight="1">
      <c r="A127" s="5" t="s">
        <v>234</v>
      </c>
      <c r="B127" s="5" t="s">
        <v>321</v>
      </c>
      <c r="C127" s="5" t="s">
        <v>321</v>
      </c>
      <c r="D127" s="11">
        <v>527.0</v>
      </c>
      <c r="E127" s="11">
        <v>560.0</v>
      </c>
      <c r="F127" s="11">
        <v>621.0</v>
      </c>
      <c r="G127" s="11">
        <v>598.0</v>
      </c>
      <c r="H127" s="11" t="b">
        <f t="shared" si="1"/>
        <v>1</v>
      </c>
      <c r="I127" s="11">
        <v>752.0</v>
      </c>
      <c r="J127" s="11">
        <v>820.0</v>
      </c>
      <c r="K127" s="11">
        <v>735.0</v>
      </c>
      <c r="L127" s="11">
        <v>804.0</v>
      </c>
      <c r="M127" s="11" t="b">
        <f t="shared" si="2"/>
        <v>1</v>
      </c>
      <c r="N127" s="11">
        <v>617.0</v>
      </c>
      <c r="O127" s="11">
        <v>653.0</v>
      </c>
    </row>
    <row r="128" ht="15.75" customHeight="1">
      <c r="A128" s="5" t="s">
        <v>234</v>
      </c>
      <c r="B128" s="5" t="s">
        <v>322</v>
      </c>
      <c r="C128" s="5" t="s">
        <v>323</v>
      </c>
      <c r="D128" s="11">
        <v>278.0</v>
      </c>
      <c r="E128" s="11">
        <v>258.0</v>
      </c>
      <c r="F128" s="11">
        <v>289.0</v>
      </c>
      <c r="G128" s="11">
        <v>261.0</v>
      </c>
      <c r="H128" s="11" t="b">
        <f t="shared" si="1"/>
        <v>1</v>
      </c>
      <c r="I128" s="11">
        <v>406.0</v>
      </c>
      <c r="J128" s="11">
        <v>401.0</v>
      </c>
      <c r="K128" s="11">
        <v>372.0</v>
      </c>
      <c r="L128" s="11">
        <v>383.0</v>
      </c>
      <c r="M128" s="11" t="b">
        <f t="shared" si="2"/>
        <v>1</v>
      </c>
      <c r="N128" s="11">
        <v>294.0</v>
      </c>
      <c r="O128" s="11">
        <v>281.0</v>
      </c>
    </row>
    <row r="129" ht="15.75" customHeight="1">
      <c r="A129" s="5" t="s">
        <v>234</v>
      </c>
      <c r="B129" s="5" t="s">
        <v>322</v>
      </c>
      <c r="C129" s="5" t="s">
        <v>325</v>
      </c>
      <c r="D129" s="11">
        <v>382.0</v>
      </c>
      <c r="E129" s="11">
        <v>340.0</v>
      </c>
      <c r="F129" s="11">
        <v>402.0</v>
      </c>
      <c r="G129" s="11">
        <v>345.0</v>
      </c>
      <c r="H129" s="11" t="b">
        <f t="shared" si="1"/>
        <v>1</v>
      </c>
      <c r="I129" s="11">
        <v>529.0</v>
      </c>
      <c r="J129" s="11">
        <v>502.0</v>
      </c>
      <c r="K129" s="11">
        <v>527.0</v>
      </c>
      <c r="L129" s="11">
        <v>515.0</v>
      </c>
      <c r="M129" s="11" t="b">
        <f t="shared" si="2"/>
        <v>1</v>
      </c>
      <c r="N129" s="11">
        <v>408.0</v>
      </c>
      <c r="O129" s="11">
        <v>381.0</v>
      </c>
    </row>
    <row r="130" ht="15.75" customHeight="1">
      <c r="A130" s="5" t="s">
        <v>234</v>
      </c>
      <c r="B130" s="5" t="s">
        <v>326</v>
      </c>
      <c r="C130" s="5" t="s">
        <v>327</v>
      </c>
      <c r="D130" s="11">
        <v>414.0</v>
      </c>
      <c r="E130" s="11">
        <v>329.0</v>
      </c>
      <c r="F130" s="11">
        <v>455.0</v>
      </c>
      <c r="G130" s="11">
        <v>363.0</v>
      </c>
      <c r="H130" s="11" t="b">
        <f t="shared" si="1"/>
        <v>1</v>
      </c>
      <c r="I130" s="11">
        <v>564.0</v>
      </c>
      <c r="J130" s="11">
        <v>486.0</v>
      </c>
      <c r="K130" s="11">
        <v>562.0</v>
      </c>
      <c r="L130" s="11">
        <v>497.0</v>
      </c>
      <c r="M130" s="11" t="b">
        <f t="shared" si="2"/>
        <v>1</v>
      </c>
      <c r="N130" s="11">
        <v>438.0</v>
      </c>
      <c r="O130" s="11">
        <v>378.0</v>
      </c>
    </row>
    <row r="131" ht="15.75" customHeight="1">
      <c r="A131" s="5" t="s">
        <v>234</v>
      </c>
      <c r="B131" s="5" t="s">
        <v>326</v>
      </c>
      <c r="C131" s="5" t="s">
        <v>328</v>
      </c>
      <c r="D131" s="11">
        <v>424.0</v>
      </c>
      <c r="E131" s="11">
        <v>362.0</v>
      </c>
      <c r="F131" s="11">
        <v>447.0</v>
      </c>
      <c r="G131" s="11">
        <v>358.0</v>
      </c>
      <c r="H131" s="11" t="b">
        <f t="shared" si="1"/>
        <v>1</v>
      </c>
      <c r="I131" s="11">
        <v>559.0</v>
      </c>
      <c r="J131" s="11">
        <v>520.0</v>
      </c>
      <c r="K131" s="11">
        <v>566.0</v>
      </c>
      <c r="L131" s="11">
        <v>509.0</v>
      </c>
      <c r="M131" s="11" t="b">
        <f t="shared" si="2"/>
        <v>1</v>
      </c>
      <c r="N131" s="11">
        <v>435.0</v>
      </c>
      <c r="O131" s="11">
        <v>388.0</v>
      </c>
    </row>
    <row r="132" ht="15.75" customHeight="1">
      <c r="A132" s="5" t="s">
        <v>234</v>
      </c>
      <c r="B132" s="5" t="s">
        <v>326</v>
      </c>
      <c r="C132" s="5" t="s">
        <v>329</v>
      </c>
      <c r="D132" s="11">
        <v>458.0</v>
      </c>
      <c r="E132" s="11">
        <v>478.0</v>
      </c>
      <c r="F132" s="11">
        <v>528.0</v>
      </c>
      <c r="G132" s="11">
        <v>494.0</v>
      </c>
      <c r="H132" s="11" t="b">
        <f t="shared" si="1"/>
        <v>1</v>
      </c>
      <c r="I132" s="11">
        <v>783.0</v>
      </c>
      <c r="J132" s="11">
        <v>815.0</v>
      </c>
      <c r="K132" s="11">
        <v>826.0</v>
      </c>
      <c r="L132" s="11">
        <v>801.0</v>
      </c>
      <c r="M132" s="11" t="b">
        <f t="shared" si="2"/>
        <v>1</v>
      </c>
      <c r="N132" s="11">
        <v>627.0</v>
      </c>
      <c r="O132" s="11">
        <v>604.0</v>
      </c>
    </row>
    <row r="133" ht="15.75" customHeight="1">
      <c r="A133" s="5" t="s">
        <v>234</v>
      </c>
      <c r="B133" s="5" t="s">
        <v>326</v>
      </c>
      <c r="C133" s="5" t="s">
        <v>330</v>
      </c>
      <c r="D133" s="11">
        <v>448.0</v>
      </c>
      <c r="E133" s="11">
        <v>341.0</v>
      </c>
      <c r="F133" s="11">
        <v>516.0</v>
      </c>
      <c r="G133" s="11">
        <v>363.0</v>
      </c>
      <c r="H133" s="11" t="b">
        <f t="shared" si="1"/>
        <v>1</v>
      </c>
      <c r="I133" s="11">
        <v>692.0</v>
      </c>
      <c r="J133" s="11">
        <v>564.0</v>
      </c>
      <c r="K133" s="11">
        <v>686.0</v>
      </c>
      <c r="L133" s="11">
        <v>580.0</v>
      </c>
      <c r="M133" s="11" t="b">
        <f t="shared" si="2"/>
        <v>1</v>
      </c>
      <c r="N133" s="11">
        <v>516.0</v>
      </c>
      <c r="O133" s="11">
        <v>411.0</v>
      </c>
    </row>
    <row r="134" ht="15.75" customHeight="1">
      <c r="A134" s="5" t="s">
        <v>234</v>
      </c>
      <c r="B134" s="5" t="s">
        <v>326</v>
      </c>
      <c r="C134" s="5" t="s">
        <v>331</v>
      </c>
      <c r="D134" s="11">
        <v>261.0</v>
      </c>
      <c r="E134" s="11">
        <v>247.0</v>
      </c>
      <c r="F134" s="11">
        <v>294.0</v>
      </c>
      <c r="G134" s="11">
        <v>260.0</v>
      </c>
      <c r="H134" s="11" t="b">
        <f t="shared" si="1"/>
        <v>1</v>
      </c>
      <c r="I134" s="11">
        <v>336.0</v>
      </c>
      <c r="J134" s="11">
        <v>344.0</v>
      </c>
      <c r="K134" s="11">
        <v>332.0</v>
      </c>
      <c r="L134" s="11">
        <v>340.0</v>
      </c>
      <c r="M134" s="11" t="b">
        <f t="shared" si="2"/>
        <v>1</v>
      </c>
      <c r="N134" s="11">
        <v>288.0</v>
      </c>
      <c r="O134" s="11">
        <v>283.0</v>
      </c>
    </row>
    <row r="135" ht="15.75" customHeight="1">
      <c r="A135" s="5" t="s">
        <v>234</v>
      </c>
      <c r="B135" s="5" t="s">
        <v>326</v>
      </c>
      <c r="C135" s="5" t="s">
        <v>332</v>
      </c>
      <c r="D135" s="11">
        <v>520.0</v>
      </c>
      <c r="E135" s="11">
        <v>421.0</v>
      </c>
      <c r="F135" s="11">
        <v>594.0</v>
      </c>
      <c r="G135" s="11">
        <v>412.0</v>
      </c>
      <c r="H135" s="11" t="b">
        <f t="shared" si="1"/>
        <v>1</v>
      </c>
      <c r="I135" s="11">
        <v>663.0</v>
      </c>
      <c r="J135" s="11">
        <v>536.0</v>
      </c>
      <c r="K135" s="11">
        <v>691.0</v>
      </c>
      <c r="L135" s="11">
        <v>509.0</v>
      </c>
      <c r="M135" s="11" t="b">
        <f t="shared" si="2"/>
        <v>1</v>
      </c>
      <c r="N135" s="11">
        <v>573.0</v>
      </c>
      <c r="O135" s="11">
        <v>432.0</v>
      </c>
    </row>
    <row r="136" ht="15.75" customHeight="1">
      <c r="A136" s="5" t="s">
        <v>234</v>
      </c>
      <c r="B136" s="5" t="s">
        <v>333</v>
      </c>
      <c r="C136" s="5" t="s">
        <v>334</v>
      </c>
      <c r="D136" s="11">
        <v>429.0</v>
      </c>
      <c r="E136" s="11">
        <v>167.0</v>
      </c>
      <c r="F136" s="11">
        <v>413.0</v>
      </c>
      <c r="G136" s="11">
        <v>158.0</v>
      </c>
      <c r="H136" s="11" t="b">
        <f t="shared" si="1"/>
        <v>1</v>
      </c>
      <c r="I136" s="11">
        <v>655.0</v>
      </c>
      <c r="J136" s="11">
        <v>287.0</v>
      </c>
      <c r="K136" s="11">
        <v>579.0</v>
      </c>
      <c r="L136" s="11">
        <v>292.0</v>
      </c>
      <c r="M136" s="11" t="b">
        <f t="shared" si="2"/>
        <v>1</v>
      </c>
      <c r="N136" s="11">
        <v>403.0</v>
      </c>
      <c r="O136" s="11">
        <v>200.0</v>
      </c>
    </row>
    <row r="137" ht="15.75" customHeight="1">
      <c r="A137" s="5" t="s">
        <v>234</v>
      </c>
      <c r="B137" s="5" t="s">
        <v>333</v>
      </c>
      <c r="C137" s="5" t="s">
        <v>335</v>
      </c>
      <c r="D137" s="11">
        <v>346.0</v>
      </c>
      <c r="E137" s="11">
        <v>174.0</v>
      </c>
      <c r="F137" s="11">
        <v>303.0</v>
      </c>
      <c r="G137" s="11">
        <v>169.0</v>
      </c>
      <c r="H137" s="11" t="b">
        <f t="shared" si="1"/>
        <v>1</v>
      </c>
      <c r="I137" s="11">
        <v>451.0</v>
      </c>
      <c r="J137" s="11">
        <v>266.0</v>
      </c>
      <c r="K137" s="11">
        <v>440.0</v>
      </c>
      <c r="L137" s="11">
        <v>262.0</v>
      </c>
      <c r="M137" s="11" t="b">
        <f t="shared" si="2"/>
        <v>1</v>
      </c>
      <c r="N137" s="11">
        <v>305.0</v>
      </c>
      <c r="O137" s="11">
        <v>179.0</v>
      </c>
    </row>
    <row r="138" ht="15.75" customHeight="1">
      <c r="A138" s="5" t="s">
        <v>234</v>
      </c>
      <c r="B138" s="5" t="s">
        <v>333</v>
      </c>
      <c r="C138" s="5" t="s">
        <v>336</v>
      </c>
      <c r="D138" s="11">
        <v>331.0</v>
      </c>
      <c r="E138" s="11">
        <v>168.0</v>
      </c>
      <c r="F138" s="11">
        <v>354.0</v>
      </c>
      <c r="G138" s="11">
        <v>152.0</v>
      </c>
      <c r="H138" s="11" t="b">
        <f t="shared" si="1"/>
        <v>1</v>
      </c>
      <c r="I138" s="11">
        <v>443.0</v>
      </c>
      <c r="J138" s="11">
        <v>238.0</v>
      </c>
      <c r="K138" s="11">
        <v>414.0</v>
      </c>
      <c r="L138" s="11">
        <v>239.0</v>
      </c>
      <c r="M138" s="11" t="b">
        <f t="shared" si="2"/>
        <v>1</v>
      </c>
      <c r="N138" s="11">
        <v>336.0</v>
      </c>
      <c r="O138" s="11">
        <v>179.0</v>
      </c>
    </row>
    <row r="139" ht="15.75" customHeight="1">
      <c r="A139" s="5" t="s">
        <v>234</v>
      </c>
      <c r="B139" s="5" t="s">
        <v>339</v>
      </c>
      <c r="C139" s="5" t="s">
        <v>339</v>
      </c>
      <c r="D139" s="11">
        <v>286.0</v>
      </c>
      <c r="E139" s="11">
        <v>203.0</v>
      </c>
      <c r="F139" s="11">
        <v>262.0</v>
      </c>
      <c r="G139" s="11">
        <v>205.0</v>
      </c>
      <c r="H139" s="11" t="b">
        <f t="shared" si="1"/>
        <v>1</v>
      </c>
      <c r="I139" s="11">
        <v>407.0</v>
      </c>
      <c r="J139" s="11">
        <v>334.0</v>
      </c>
      <c r="K139" s="11">
        <v>379.0</v>
      </c>
      <c r="L139" s="11">
        <v>330.0</v>
      </c>
      <c r="M139" s="11" t="b">
        <f t="shared" si="2"/>
        <v>1</v>
      </c>
      <c r="N139" s="11">
        <v>267.0</v>
      </c>
      <c r="O139" s="11">
        <v>217.0</v>
      </c>
    </row>
    <row r="140" ht="15.75" customHeight="1">
      <c r="A140" s="5" t="s">
        <v>234</v>
      </c>
      <c r="B140" s="5" t="s">
        <v>340</v>
      </c>
      <c r="C140" s="5" t="s">
        <v>340</v>
      </c>
      <c r="D140" s="11">
        <v>473.0</v>
      </c>
      <c r="E140" s="11">
        <v>1000.0</v>
      </c>
      <c r="F140" s="11">
        <v>532.0</v>
      </c>
      <c r="G140" s="11">
        <v>1068.0</v>
      </c>
      <c r="H140" s="11" t="b">
        <f t="shared" si="1"/>
        <v>1</v>
      </c>
      <c r="I140" s="11">
        <v>657.0</v>
      </c>
      <c r="J140" s="11">
        <v>1401.0</v>
      </c>
      <c r="K140" s="11">
        <v>654.0</v>
      </c>
      <c r="L140" s="11">
        <v>1439.0</v>
      </c>
      <c r="M140" s="11" t="b">
        <f t="shared" si="2"/>
        <v>1</v>
      </c>
      <c r="N140" s="11">
        <v>530.0</v>
      </c>
      <c r="O140" s="11">
        <v>1127.0</v>
      </c>
    </row>
    <row r="141" ht="15.75" customHeight="1">
      <c r="A141" s="5" t="s">
        <v>234</v>
      </c>
      <c r="B141" s="5" t="s">
        <v>341</v>
      </c>
      <c r="C141" s="5" t="s">
        <v>342</v>
      </c>
      <c r="D141" s="11">
        <v>680.0</v>
      </c>
      <c r="E141" s="11">
        <v>719.0</v>
      </c>
      <c r="F141" s="11">
        <v>765.0</v>
      </c>
      <c r="G141" s="11">
        <v>744.0</v>
      </c>
      <c r="H141" s="11" t="b">
        <f t="shared" si="1"/>
        <v>1</v>
      </c>
      <c r="I141" s="11">
        <v>924.0</v>
      </c>
      <c r="J141" s="11">
        <v>1012.0</v>
      </c>
      <c r="K141" s="11">
        <v>928.0</v>
      </c>
      <c r="L141" s="11">
        <v>988.0</v>
      </c>
      <c r="M141" s="11" t="b">
        <f t="shared" si="2"/>
        <v>1</v>
      </c>
      <c r="N141" s="11">
        <v>757.0</v>
      </c>
      <c r="O141" s="11">
        <v>783.0</v>
      </c>
    </row>
    <row r="142" ht="15.75" customHeight="1">
      <c r="A142" s="5" t="s">
        <v>234</v>
      </c>
      <c r="B142" s="5" t="s">
        <v>341</v>
      </c>
      <c r="C142" s="5" t="s">
        <v>343</v>
      </c>
      <c r="D142" s="11">
        <v>832.0</v>
      </c>
      <c r="E142" s="11">
        <v>839.0</v>
      </c>
      <c r="F142" s="11">
        <v>879.0</v>
      </c>
      <c r="G142" s="11">
        <v>809.0</v>
      </c>
      <c r="H142" s="11" t="b">
        <f t="shared" si="1"/>
        <v>1</v>
      </c>
      <c r="I142" s="11">
        <v>1115.0</v>
      </c>
      <c r="J142" s="11">
        <v>1140.0</v>
      </c>
      <c r="K142" s="11">
        <v>1082.0</v>
      </c>
      <c r="L142" s="11">
        <v>1101.0</v>
      </c>
      <c r="M142" s="11" t="b">
        <f t="shared" si="2"/>
        <v>1</v>
      </c>
      <c r="N142" s="11">
        <v>860.0</v>
      </c>
      <c r="O142" s="11">
        <v>835.0</v>
      </c>
    </row>
    <row r="143" ht="15.75" customHeight="1">
      <c r="A143" s="5" t="s">
        <v>234</v>
      </c>
      <c r="B143" s="5" t="s">
        <v>341</v>
      </c>
      <c r="C143" s="5" t="s">
        <v>344</v>
      </c>
      <c r="D143" s="11">
        <v>1383.0</v>
      </c>
      <c r="E143" s="11">
        <v>1398.0</v>
      </c>
      <c r="F143" s="11">
        <v>1520.0</v>
      </c>
      <c r="G143" s="11">
        <v>1428.0</v>
      </c>
      <c r="H143" s="11" t="b">
        <f t="shared" si="1"/>
        <v>1</v>
      </c>
      <c r="I143" s="11">
        <v>1819.0</v>
      </c>
      <c r="J143" s="11">
        <v>1896.0</v>
      </c>
      <c r="K143" s="11">
        <v>1799.0</v>
      </c>
      <c r="L143" s="11">
        <v>1810.0</v>
      </c>
      <c r="M143" s="11" t="b">
        <f t="shared" si="2"/>
        <v>1</v>
      </c>
      <c r="N143" s="11">
        <v>1504.0</v>
      </c>
      <c r="O143" s="11">
        <v>1461.0</v>
      </c>
    </row>
    <row r="144" ht="15.75" customHeight="1">
      <c r="A144" s="5" t="s">
        <v>234</v>
      </c>
      <c r="B144" s="5" t="s">
        <v>341</v>
      </c>
      <c r="C144" s="5" t="s">
        <v>345</v>
      </c>
      <c r="D144" s="11">
        <v>680.0</v>
      </c>
      <c r="E144" s="11">
        <v>716.0</v>
      </c>
      <c r="F144" s="11">
        <v>758.0</v>
      </c>
      <c r="G144" s="11">
        <v>734.0</v>
      </c>
      <c r="H144" s="11" t="b">
        <f t="shared" si="1"/>
        <v>1</v>
      </c>
      <c r="I144" s="11">
        <v>917.0</v>
      </c>
      <c r="J144" s="11">
        <v>973.0</v>
      </c>
      <c r="K144" s="11">
        <v>906.0</v>
      </c>
      <c r="L144" s="11">
        <v>980.0</v>
      </c>
      <c r="M144" s="11" t="b">
        <f t="shared" si="2"/>
        <v>1</v>
      </c>
      <c r="N144" s="11">
        <v>730.0</v>
      </c>
      <c r="O144" s="11">
        <v>778.0</v>
      </c>
    </row>
    <row r="145" ht="15.75" customHeight="1">
      <c r="A145" s="5" t="s">
        <v>234</v>
      </c>
      <c r="B145" s="5" t="s">
        <v>341</v>
      </c>
      <c r="C145" s="5" t="s">
        <v>346</v>
      </c>
      <c r="D145" s="11">
        <v>640.0</v>
      </c>
      <c r="E145" s="11">
        <v>660.0</v>
      </c>
      <c r="F145" s="11">
        <v>686.0</v>
      </c>
      <c r="G145" s="11">
        <v>669.0</v>
      </c>
      <c r="H145" s="11" t="b">
        <f t="shared" si="1"/>
        <v>1</v>
      </c>
      <c r="I145" s="11">
        <v>840.0</v>
      </c>
      <c r="J145" s="11">
        <v>916.0</v>
      </c>
      <c r="K145" s="11">
        <v>852.0</v>
      </c>
      <c r="L145" s="11">
        <v>912.0</v>
      </c>
      <c r="M145" s="11" t="b">
        <f t="shared" si="2"/>
        <v>1</v>
      </c>
      <c r="N145" s="11">
        <v>674.0</v>
      </c>
      <c r="O145" s="11">
        <v>710.0</v>
      </c>
    </row>
    <row r="146" ht="15.75" customHeight="1">
      <c r="A146" s="5" t="s">
        <v>234</v>
      </c>
      <c r="B146" s="5" t="s">
        <v>341</v>
      </c>
      <c r="C146" s="5" t="s">
        <v>347</v>
      </c>
      <c r="D146" s="11">
        <v>550.0</v>
      </c>
      <c r="E146" s="11">
        <v>588.0</v>
      </c>
      <c r="F146" s="11">
        <v>628.0</v>
      </c>
      <c r="G146" s="11">
        <v>578.0</v>
      </c>
      <c r="H146" s="11" t="b">
        <f t="shared" si="1"/>
        <v>1</v>
      </c>
      <c r="I146" s="11">
        <v>668.0</v>
      </c>
      <c r="J146" s="11">
        <v>721.0</v>
      </c>
      <c r="K146" s="11">
        <v>715.0</v>
      </c>
      <c r="L146" s="11">
        <v>677.0</v>
      </c>
      <c r="M146" s="11" t="b">
        <f t="shared" si="2"/>
        <v>1</v>
      </c>
      <c r="N146" s="11">
        <v>596.0</v>
      </c>
      <c r="O146" s="11">
        <v>586.0</v>
      </c>
    </row>
    <row r="147" ht="15.75" customHeight="1">
      <c r="A147" s="5" t="s">
        <v>234</v>
      </c>
      <c r="B147" s="5" t="s">
        <v>341</v>
      </c>
      <c r="C147" s="5" t="s">
        <v>348</v>
      </c>
      <c r="D147" s="11">
        <v>1079.0</v>
      </c>
      <c r="E147" s="11">
        <v>966.0</v>
      </c>
      <c r="F147" s="11">
        <v>1176.0</v>
      </c>
      <c r="G147" s="11">
        <v>1036.0</v>
      </c>
      <c r="H147" s="11" t="b">
        <f t="shared" si="1"/>
        <v>1</v>
      </c>
      <c r="I147" s="11">
        <v>1589.0</v>
      </c>
      <c r="J147" s="11">
        <v>1560.0</v>
      </c>
      <c r="K147" s="11">
        <v>1480.0</v>
      </c>
      <c r="L147" s="11">
        <v>1588.0</v>
      </c>
      <c r="M147" s="11" t="b">
        <f t="shared" si="2"/>
        <v>1</v>
      </c>
      <c r="N147" s="11">
        <v>1244.0</v>
      </c>
      <c r="O147" s="11">
        <v>1258.0</v>
      </c>
    </row>
    <row r="148" ht="15.75" customHeight="1">
      <c r="A148" s="5" t="s">
        <v>234</v>
      </c>
      <c r="B148" s="5" t="s">
        <v>341</v>
      </c>
      <c r="C148" s="5" t="s">
        <v>350</v>
      </c>
      <c r="D148" s="11">
        <v>656.0</v>
      </c>
      <c r="E148" s="11">
        <v>600.0</v>
      </c>
      <c r="F148" s="11">
        <v>741.0</v>
      </c>
      <c r="G148" s="11">
        <v>575.0</v>
      </c>
      <c r="H148" s="11" t="b">
        <f t="shared" si="1"/>
        <v>1</v>
      </c>
      <c r="I148" s="11">
        <v>879.0</v>
      </c>
      <c r="J148" s="11">
        <v>810.0</v>
      </c>
      <c r="K148" s="11">
        <v>890.0</v>
      </c>
      <c r="L148" s="11">
        <v>789.0</v>
      </c>
      <c r="M148" s="11" t="b">
        <f t="shared" si="2"/>
        <v>1</v>
      </c>
      <c r="N148" s="11">
        <v>701.0</v>
      </c>
      <c r="O148" s="11">
        <v>612.0</v>
      </c>
    </row>
    <row r="149" ht="15.75" customHeight="1">
      <c r="A149" s="5" t="s">
        <v>234</v>
      </c>
      <c r="B149" s="5" t="s">
        <v>341</v>
      </c>
      <c r="C149" s="5" t="s">
        <v>351</v>
      </c>
      <c r="D149" s="11">
        <v>616.0</v>
      </c>
      <c r="E149" s="11">
        <v>618.0</v>
      </c>
      <c r="F149" s="11">
        <v>714.0</v>
      </c>
      <c r="G149" s="11">
        <v>619.0</v>
      </c>
      <c r="H149" s="11" t="b">
        <f t="shared" si="1"/>
        <v>1</v>
      </c>
      <c r="I149" s="11">
        <v>788.0</v>
      </c>
      <c r="J149" s="11">
        <v>795.0</v>
      </c>
      <c r="K149" s="11">
        <v>817.0</v>
      </c>
      <c r="L149" s="11">
        <v>798.0</v>
      </c>
      <c r="M149" s="11" t="b">
        <f t="shared" si="2"/>
        <v>1</v>
      </c>
      <c r="N149" s="11">
        <v>687.0</v>
      </c>
      <c r="O149" s="11">
        <v>655.0</v>
      </c>
    </row>
    <row r="150" ht="15.75" customHeight="1">
      <c r="A150" s="5" t="s">
        <v>234</v>
      </c>
      <c r="B150" s="5" t="s">
        <v>341</v>
      </c>
      <c r="C150" s="5" t="s">
        <v>352</v>
      </c>
      <c r="D150" s="11">
        <v>417.0</v>
      </c>
      <c r="E150" s="11">
        <v>416.0</v>
      </c>
      <c r="F150" s="11">
        <v>491.0</v>
      </c>
      <c r="G150" s="11">
        <v>403.0</v>
      </c>
      <c r="H150" s="11" t="b">
        <f t="shared" si="1"/>
        <v>1</v>
      </c>
      <c r="I150" s="11">
        <v>557.0</v>
      </c>
      <c r="J150" s="11">
        <v>555.0</v>
      </c>
      <c r="K150" s="11">
        <v>552.0</v>
      </c>
      <c r="L150" s="11">
        <v>556.0</v>
      </c>
      <c r="M150" s="11" t="b">
        <f t="shared" si="2"/>
        <v>1</v>
      </c>
      <c r="N150" s="11">
        <v>447.0</v>
      </c>
      <c r="O150" s="11">
        <v>433.0</v>
      </c>
    </row>
    <row r="151" ht="15.75" customHeight="1">
      <c r="A151" s="5" t="s">
        <v>234</v>
      </c>
      <c r="B151" s="5" t="s">
        <v>353</v>
      </c>
      <c r="C151" s="5" t="s">
        <v>353</v>
      </c>
      <c r="D151" s="11">
        <v>772.0</v>
      </c>
      <c r="E151" s="11">
        <v>1240.0</v>
      </c>
      <c r="F151" s="11">
        <v>850.0</v>
      </c>
      <c r="G151" s="11">
        <v>1311.0</v>
      </c>
      <c r="H151" s="11" t="b">
        <f t="shared" si="1"/>
        <v>1</v>
      </c>
      <c r="I151" s="11">
        <v>936.0</v>
      </c>
      <c r="J151" s="11">
        <v>1670.0</v>
      </c>
      <c r="K151" s="11">
        <v>985.0</v>
      </c>
      <c r="L151" s="11">
        <v>1586.0</v>
      </c>
      <c r="M151" s="11" t="b">
        <f t="shared" si="2"/>
        <v>1</v>
      </c>
      <c r="N151" s="11">
        <v>839.0</v>
      </c>
      <c r="O151" s="11">
        <v>1365.0</v>
      </c>
    </row>
    <row r="152" ht="15.75" customHeight="1">
      <c r="A152" s="5" t="s">
        <v>234</v>
      </c>
      <c r="B152" s="5" t="s">
        <v>354</v>
      </c>
      <c r="C152" s="5" t="s">
        <v>354</v>
      </c>
      <c r="D152" s="11">
        <v>431.0</v>
      </c>
      <c r="E152" s="11">
        <v>747.0</v>
      </c>
      <c r="F152" s="11">
        <v>457.0</v>
      </c>
      <c r="G152" s="11">
        <v>760.0</v>
      </c>
      <c r="H152" s="11" t="b">
        <f t="shared" si="1"/>
        <v>1</v>
      </c>
      <c r="I152" s="11">
        <v>540.0</v>
      </c>
      <c r="J152" s="11">
        <v>1024.0</v>
      </c>
      <c r="K152" s="11">
        <v>543.0</v>
      </c>
      <c r="L152" s="11">
        <v>990.0</v>
      </c>
      <c r="M152" s="11" t="b">
        <f t="shared" si="2"/>
        <v>1</v>
      </c>
      <c r="N152" s="11">
        <v>443.0</v>
      </c>
      <c r="O152" s="11">
        <v>794.0</v>
      </c>
    </row>
    <row r="153" ht="15.75" customHeight="1">
      <c r="A153" s="5" t="s">
        <v>234</v>
      </c>
      <c r="B153" s="5" t="s">
        <v>355</v>
      </c>
      <c r="C153" s="5" t="s">
        <v>356</v>
      </c>
      <c r="D153" s="11">
        <v>133.0</v>
      </c>
      <c r="E153" s="11">
        <v>342.0</v>
      </c>
      <c r="F153" s="11">
        <v>159.0</v>
      </c>
      <c r="G153" s="11">
        <v>381.0</v>
      </c>
      <c r="H153" s="11" t="b">
        <f t="shared" si="1"/>
        <v>1</v>
      </c>
      <c r="I153" s="11">
        <v>180.0</v>
      </c>
      <c r="J153" s="11">
        <v>499.0</v>
      </c>
      <c r="K153" s="11">
        <v>181.0</v>
      </c>
      <c r="L153" s="11">
        <v>482.0</v>
      </c>
      <c r="M153" s="11" t="b">
        <f t="shared" si="2"/>
        <v>1</v>
      </c>
      <c r="N153" s="11">
        <v>149.0</v>
      </c>
      <c r="O153" s="11">
        <v>414.0</v>
      </c>
    </row>
    <row r="154" ht="15.75" customHeight="1">
      <c r="A154" s="5" t="s">
        <v>234</v>
      </c>
      <c r="B154" s="5" t="s">
        <v>355</v>
      </c>
      <c r="C154" s="5" t="s">
        <v>357</v>
      </c>
      <c r="D154" s="11">
        <v>112.0</v>
      </c>
      <c r="E154" s="11">
        <v>247.0</v>
      </c>
      <c r="F154" s="11">
        <v>116.0</v>
      </c>
      <c r="G154" s="11">
        <v>244.0</v>
      </c>
      <c r="H154" s="11" t="b">
        <f t="shared" si="1"/>
        <v>1</v>
      </c>
      <c r="I154" s="11">
        <v>138.0</v>
      </c>
      <c r="J154" s="11">
        <v>323.0</v>
      </c>
      <c r="K154" s="11">
        <v>147.0</v>
      </c>
      <c r="L154" s="11">
        <v>314.0</v>
      </c>
      <c r="M154" s="11" t="b">
        <f t="shared" si="2"/>
        <v>1</v>
      </c>
      <c r="N154" s="11">
        <v>121.0</v>
      </c>
      <c r="O154" s="11">
        <v>262.0</v>
      </c>
    </row>
    <row r="155" ht="15.75" customHeight="1">
      <c r="A155" s="5" t="s">
        <v>234</v>
      </c>
      <c r="B155" s="5" t="s">
        <v>355</v>
      </c>
      <c r="C155" s="5" t="s">
        <v>358</v>
      </c>
      <c r="D155" s="11">
        <v>387.0</v>
      </c>
      <c r="E155" s="11">
        <v>769.0</v>
      </c>
      <c r="F155" s="11">
        <v>444.0</v>
      </c>
      <c r="G155" s="11">
        <v>809.0</v>
      </c>
      <c r="H155" s="11" t="b">
        <f t="shared" si="1"/>
        <v>1</v>
      </c>
      <c r="I155" s="11">
        <v>511.0</v>
      </c>
      <c r="J155" s="11">
        <v>1054.0</v>
      </c>
      <c r="K155" s="11">
        <v>522.0</v>
      </c>
      <c r="L155" s="11">
        <v>1060.0</v>
      </c>
      <c r="M155" s="11" t="b">
        <f t="shared" si="2"/>
        <v>1</v>
      </c>
      <c r="N155" s="11">
        <v>421.0</v>
      </c>
      <c r="O155" s="11">
        <v>827.0</v>
      </c>
    </row>
    <row r="156" ht="15.75" customHeight="1">
      <c r="A156" s="5" t="s">
        <v>234</v>
      </c>
      <c r="B156" s="5" t="s">
        <v>359</v>
      </c>
      <c r="C156" s="5" t="s">
        <v>359</v>
      </c>
      <c r="D156" s="11">
        <v>718.0</v>
      </c>
      <c r="E156" s="11">
        <v>627.0</v>
      </c>
      <c r="F156" s="11">
        <v>788.0</v>
      </c>
      <c r="G156" s="11">
        <v>628.0</v>
      </c>
      <c r="H156" s="11" t="b">
        <f t="shared" si="1"/>
        <v>1</v>
      </c>
      <c r="I156" s="11">
        <v>982.0</v>
      </c>
      <c r="J156" s="11">
        <v>918.0</v>
      </c>
      <c r="K156" s="11">
        <v>980.0</v>
      </c>
      <c r="L156" s="11">
        <v>872.0</v>
      </c>
      <c r="M156" s="11" t="b">
        <f t="shared" si="2"/>
        <v>1</v>
      </c>
      <c r="N156" s="11">
        <v>801.0</v>
      </c>
      <c r="O156" s="11">
        <v>712.0</v>
      </c>
    </row>
    <row r="157" ht="15.75" customHeight="1">
      <c r="A157" s="5" t="s">
        <v>234</v>
      </c>
      <c r="B157" s="5" t="s">
        <v>362</v>
      </c>
      <c r="C157" s="5" t="s">
        <v>363</v>
      </c>
      <c r="D157" s="11">
        <v>720.0</v>
      </c>
      <c r="E157" s="11">
        <v>1041.0</v>
      </c>
      <c r="F157" s="11">
        <v>830.0</v>
      </c>
      <c r="G157" s="11">
        <v>1043.0</v>
      </c>
      <c r="H157" s="11" t="b">
        <f t="shared" si="1"/>
        <v>1</v>
      </c>
      <c r="I157" s="11">
        <v>972.0</v>
      </c>
      <c r="J157" s="11">
        <v>1389.0</v>
      </c>
      <c r="K157" s="11">
        <v>1010.0</v>
      </c>
      <c r="L157" s="11">
        <v>1334.0</v>
      </c>
      <c r="M157" s="11" t="b">
        <f t="shared" si="2"/>
        <v>1</v>
      </c>
      <c r="N157" s="11">
        <v>807.0</v>
      </c>
      <c r="O157" s="11">
        <v>1094.0</v>
      </c>
    </row>
    <row r="158" ht="15.75" customHeight="1">
      <c r="A158" s="5" t="s">
        <v>234</v>
      </c>
      <c r="B158" s="5" t="s">
        <v>362</v>
      </c>
      <c r="C158" s="5" t="s">
        <v>364</v>
      </c>
      <c r="D158" s="11">
        <v>604.0</v>
      </c>
      <c r="E158" s="11">
        <v>880.0</v>
      </c>
      <c r="F158" s="11">
        <v>686.0</v>
      </c>
      <c r="G158" s="11">
        <v>981.0</v>
      </c>
      <c r="H158" s="11" t="b">
        <f t="shared" si="1"/>
        <v>1</v>
      </c>
      <c r="I158" s="11">
        <v>858.0</v>
      </c>
      <c r="J158" s="11">
        <v>1364.0</v>
      </c>
      <c r="K158" s="11">
        <v>860.0</v>
      </c>
      <c r="L158" s="11">
        <v>1332.0</v>
      </c>
      <c r="M158" s="11" t="b">
        <f t="shared" si="2"/>
        <v>1</v>
      </c>
      <c r="N158" s="11">
        <v>667.0</v>
      </c>
      <c r="O158" s="11">
        <v>1013.0</v>
      </c>
    </row>
    <row r="159" ht="15.75" customHeight="1">
      <c r="A159" s="5" t="s">
        <v>234</v>
      </c>
      <c r="B159" s="5" t="s">
        <v>362</v>
      </c>
      <c r="C159" s="5" t="s">
        <v>365</v>
      </c>
      <c r="D159" s="11">
        <v>314.0</v>
      </c>
      <c r="E159" s="11">
        <v>477.0</v>
      </c>
      <c r="F159" s="11">
        <v>370.0</v>
      </c>
      <c r="G159" s="11">
        <v>519.0</v>
      </c>
      <c r="H159" s="11" t="b">
        <f t="shared" si="1"/>
        <v>1</v>
      </c>
      <c r="I159" s="11">
        <v>435.0</v>
      </c>
      <c r="J159" s="11">
        <v>708.0</v>
      </c>
      <c r="K159" s="11">
        <v>449.0</v>
      </c>
      <c r="L159" s="11">
        <v>705.0</v>
      </c>
      <c r="M159" s="11" t="b">
        <f t="shared" si="2"/>
        <v>1</v>
      </c>
      <c r="N159" s="11">
        <v>356.0</v>
      </c>
      <c r="O159" s="11">
        <v>543.0</v>
      </c>
    </row>
    <row r="160" ht="15.75" customHeight="1">
      <c r="A160" s="5" t="s">
        <v>234</v>
      </c>
      <c r="B160" s="5" t="s">
        <v>362</v>
      </c>
      <c r="C160" s="5" t="s">
        <v>366</v>
      </c>
      <c r="D160" s="11">
        <v>469.0</v>
      </c>
      <c r="E160" s="11">
        <v>693.0</v>
      </c>
      <c r="F160" s="11">
        <v>521.0</v>
      </c>
      <c r="G160" s="11">
        <v>758.0</v>
      </c>
      <c r="H160" s="11" t="b">
        <f t="shared" si="1"/>
        <v>1</v>
      </c>
      <c r="I160" s="11">
        <v>637.0</v>
      </c>
      <c r="J160" s="11">
        <v>1012.0</v>
      </c>
      <c r="K160" s="11">
        <v>654.0</v>
      </c>
      <c r="L160" s="11">
        <v>979.0</v>
      </c>
      <c r="M160" s="11" t="b">
        <f t="shared" si="2"/>
        <v>1</v>
      </c>
      <c r="N160" s="11">
        <v>538.0</v>
      </c>
      <c r="O160" s="11">
        <v>789.0</v>
      </c>
    </row>
    <row r="161" ht="15.75" customHeight="1">
      <c r="A161" s="5" t="s">
        <v>234</v>
      </c>
      <c r="B161" s="5" t="s">
        <v>362</v>
      </c>
      <c r="C161" s="5" t="s">
        <v>367</v>
      </c>
      <c r="D161" s="11">
        <v>402.0</v>
      </c>
      <c r="E161" s="11">
        <v>653.0</v>
      </c>
      <c r="F161" s="11">
        <v>474.0</v>
      </c>
      <c r="G161" s="11">
        <v>704.0</v>
      </c>
      <c r="H161" s="11" t="b">
        <f t="shared" si="1"/>
        <v>1</v>
      </c>
      <c r="I161" s="11">
        <v>551.0</v>
      </c>
      <c r="J161" s="11">
        <v>922.0</v>
      </c>
      <c r="K161" s="11">
        <v>557.0</v>
      </c>
      <c r="L161" s="11">
        <v>890.0</v>
      </c>
      <c r="M161" s="11" t="b">
        <f t="shared" si="2"/>
        <v>1</v>
      </c>
      <c r="N161" s="11">
        <v>454.0</v>
      </c>
      <c r="O161" s="11">
        <v>717.0</v>
      </c>
    </row>
    <row r="162" ht="15.75" customHeight="1">
      <c r="A162" s="5" t="s">
        <v>234</v>
      </c>
      <c r="B162" s="5" t="s">
        <v>362</v>
      </c>
      <c r="C162" s="5" t="s">
        <v>368</v>
      </c>
      <c r="D162" s="11">
        <v>345.0</v>
      </c>
      <c r="E162" s="11">
        <v>424.0</v>
      </c>
      <c r="F162" s="11">
        <v>374.0</v>
      </c>
      <c r="G162" s="11">
        <v>457.0</v>
      </c>
      <c r="H162" s="11" t="b">
        <f t="shared" si="1"/>
        <v>1</v>
      </c>
      <c r="I162" s="11">
        <v>507.0</v>
      </c>
      <c r="J162" s="11">
        <v>692.0</v>
      </c>
      <c r="K162" s="11">
        <v>492.0</v>
      </c>
      <c r="L162" s="11">
        <v>675.0</v>
      </c>
      <c r="M162" s="11" t="b">
        <f t="shared" si="2"/>
        <v>1</v>
      </c>
      <c r="N162" s="11">
        <v>391.0</v>
      </c>
      <c r="O162" s="11">
        <v>522.0</v>
      </c>
    </row>
    <row r="163" ht="15.75" customHeight="1">
      <c r="A163" s="5" t="s">
        <v>234</v>
      </c>
      <c r="B163" s="5" t="s">
        <v>369</v>
      </c>
      <c r="C163" s="5" t="s">
        <v>370</v>
      </c>
      <c r="D163" s="11">
        <v>505.0</v>
      </c>
      <c r="E163" s="11">
        <v>460.0</v>
      </c>
      <c r="F163" s="11">
        <v>504.0</v>
      </c>
      <c r="G163" s="11">
        <v>501.0</v>
      </c>
      <c r="H163" s="11" t="b">
        <f t="shared" si="1"/>
        <v>1</v>
      </c>
      <c r="I163" s="11">
        <v>678.0</v>
      </c>
      <c r="J163" s="11">
        <v>711.0</v>
      </c>
      <c r="K163" s="11">
        <v>668.0</v>
      </c>
      <c r="L163" s="11">
        <v>693.0</v>
      </c>
      <c r="M163" s="11" t="b">
        <f t="shared" si="2"/>
        <v>1</v>
      </c>
      <c r="N163" s="11">
        <v>508.0</v>
      </c>
      <c r="O163" s="11">
        <v>511.0</v>
      </c>
    </row>
    <row r="164" ht="15.75" customHeight="1">
      <c r="A164" s="5" t="s">
        <v>234</v>
      </c>
      <c r="B164" s="5" t="s">
        <v>369</v>
      </c>
      <c r="C164" s="5" t="s">
        <v>371</v>
      </c>
      <c r="D164" s="11">
        <v>568.0</v>
      </c>
      <c r="E164" s="11">
        <v>526.0</v>
      </c>
      <c r="F164" s="11">
        <v>602.0</v>
      </c>
      <c r="G164" s="11">
        <v>577.0</v>
      </c>
      <c r="H164" s="11" t="b">
        <f t="shared" si="1"/>
        <v>1</v>
      </c>
      <c r="I164" s="11">
        <v>802.0</v>
      </c>
      <c r="J164" s="11">
        <v>820.0</v>
      </c>
      <c r="K164" s="11">
        <v>803.0</v>
      </c>
      <c r="L164" s="11">
        <v>818.0</v>
      </c>
      <c r="M164" s="11" t="b">
        <f t="shared" si="2"/>
        <v>1</v>
      </c>
      <c r="N164" s="11">
        <v>618.0</v>
      </c>
      <c r="O164" s="11">
        <v>613.0</v>
      </c>
    </row>
    <row r="165" ht="15.75" customHeight="1">
      <c r="A165" s="5" t="s">
        <v>234</v>
      </c>
      <c r="B165" s="5" t="s">
        <v>369</v>
      </c>
      <c r="C165" s="5" t="s">
        <v>373</v>
      </c>
      <c r="D165" s="11">
        <v>248.0</v>
      </c>
      <c r="E165" s="11">
        <v>251.0</v>
      </c>
      <c r="F165" s="11">
        <v>292.0</v>
      </c>
      <c r="G165" s="11">
        <v>268.0</v>
      </c>
      <c r="H165" s="11" t="b">
        <f t="shared" si="1"/>
        <v>1</v>
      </c>
      <c r="I165" s="11">
        <v>339.0</v>
      </c>
      <c r="J165" s="11">
        <v>355.0</v>
      </c>
      <c r="K165" s="11">
        <v>342.0</v>
      </c>
      <c r="L165" s="11">
        <v>358.0</v>
      </c>
      <c r="M165" s="11" t="b">
        <f t="shared" si="2"/>
        <v>1</v>
      </c>
      <c r="N165" s="11">
        <v>273.0</v>
      </c>
      <c r="O165" s="11">
        <v>281.0</v>
      </c>
    </row>
    <row r="166" ht="15.75" customHeight="1">
      <c r="A166" s="5" t="s">
        <v>234</v>
      </c>
      <c r="B166" s="5" t="s">
        <v>369</v>
      </c>
      <c r="C166" s="5" t="s">
        <v>374</v>
      </c>
      <c r="D166" s="11">
        <v>279.0</v>
      </c>
      <c r="E166" s="11">
        <v>272.0</v>
      </c>
      <c r="F166" s="11">
        <v>331.0</v>
      </c>
      <c r="G166" s="11">
        <v>297.0</v>
      </c>
      <c r="H166" s="11" t="b">
        <f t="shared" si="1"/>
        <v>1</v>
      </c>
      <c r="I166" s="11">
        <v>411.0</v>
      </c>
      <c r="J166" s="11">
        <v>416.0</v>
      </c>
      <c r="K166" s="11">
        <v>411.0</v>
      </c>
      <c r="L166" s="11">
        <v>417.0</v>
      </c>
      <c r="M166" s="11" t="b">
        <f t="shared" si="2"/>
        <v>1</v>
      </c>
      <c r="N166" s="11">
        <v>321.0</v>
      </c>
      <c r="O166" s="11">
        <v>317.0</v>
      </c>
    </row>
    <row r="167" ht="15.75" customHeight="1">
      <c r="A167" s="5" t="s">
        <v>234</v>
      </c>
      <c r="B167" s="5" t="s">
        <v>369</v>
      </c>
      <c r="C167" s="5" t="s">
        <v>375</v>
      </c>
      <c r="D167" s="11">
        <v>408.0</v>
      </c>
      <c r="E167" s="11">
        <v>446.0</v>
      </c>
      <c r="F167" s="11">
        <v>418.0</v>
      </c>
      <c r="G167" s="11">
        <v>445.0</v>
      </c>
      <c r="H167" s="11" t="b">
        <f t="shared" si="1"/>
        <v>1</v>
      </c>
      <c r="I167" s="11">
        <v>509.0</v>
      </c>
      <c r="J167" s="11">
        <v>577.0</v>
      </c>
      <c r="K167" s="11">
        <v>525.0</v>
      </c>
      <c r="L167" s="11">
        <v>552.0</v>
      </c>
      <c r="M167" s="11" t="b">
        <f t="shared" si="2"/>
        <v>1</v>
      </c>
      <c r="N167" s="11">
        <v>417.0</v>
      </c>
      <c r="O167" s="11">
        <v>439.0</v>
      </c>
    </row>
    <row r="168" ht="15.75" customHeight="1">
      <c r="A168" s="5" t="s">
        <v>234</v>
      </c>
      <c r="B168" s="5" t="s">
        <v>369</v>
      </c>
      <c r="C168" s="5" t="s">
        <v>376</v>
      </c>
      <c r="D168" s="11">
        <v>259.0</v>
      </c>
      <c r="E168" s="11">
        <v>270.0</v>
      </c>
      <c r="F168" s="11">
        <v>266.0</v>
      </c>
      <c r="G168" s="11">
        <v>293.0</v>
      </c>
      <c r="H168" s="11" t="b">
        <f t="shared" si="1"/>
        <v>1</v>
      </c>
      <c r="I168" s="11">
        <v>335.0</v>
      </c>
      <c r="J168" s="11">
        <v>376.0</v>
      </c>
      <c r="K168" s="11">
        <v>313.0</v>
      </c>
      <c r="L168" s="11">
        <v>360.0</v>
      </c>
      <c r="M168" s="11" t="b">
        <f t="shared" si="2"/>
        <v>1</v>
      </c>
      <c r="N168" s="11">
        <v>265.0</v>
      </c>
      <c r="O168" s="11">
        <v>302.0</v>
      </c>
    </row>
    <row r="169" ht="15.75" customHeight="1">
      <c r="A169" s="5" t="s">
        <v>234</v>
      </c>
      <c r="B169" s="5" t="s">
        <v>369</v>
      </c>
      <c r="C169" s="5" t="s">
        <v>377</v>
      </c>
      <c r="D169" s="11">
        <v>299.0</v>
      </c>
      <c r="E169" s="11">
        <v>314.0</v>
      </c>
      <c r="F169" s="11">
        <v>350.0</v>
      </c>
      <c r="G169" s="11">
        <v>297.0</v>
      </c>
      <c r="H169" s="11" t="b">
        <f t="shared" si="1"/>
        <v>1</v>
      </c>
      <c r="I169" s="11">
        <v>388.0</v>
      </c>
      <c r="J169" s="11">
        <v>388.0</v>
      </c>
      <c r="K169" s="11">
        <v>415.0</v>
      </c>
      <c r="L169" s="11">
        <v>371.0</v>
      </c>
      <c r="M169" s="11" t="b">
        <f t="shared" si="2"/>
        <v>1</v>
      </c>
      <c r="N169" s="11">
        <v>346.0</v>
      </c>
      <c r="O169" s="11">
        <v>313.0</v>
      </c>
    </row>
    <row r="170" ht="15.75" customHeight="1">
      <c r="A170" s="5" t="s">
        <v>234</v>
      </c>
      <c r="B170" s="5" t="s">
        <v>369</v>
      </c>
      <c r="C170" s="5" t="s">
        <v>378</v>
      </c>
      <c r="D170" s="11">
        <v>448.0</v>
      </c>
      <c r="E170" s="11">
        <v>468.0</v>
      </c>
      <c r="F170" s="11">
        <v>476.0</v>
      </c>
      <c r="G170" s="11">
        <v>451.0</v>
      </c>
      <c r="H170" s="11" t="b">
        <f t="shared" si="1"/>
        <v>1</v>
      </c>
      <c r="I170" s="11">
        <v>526.0</v>
      </c>
      <c r="J170" s="11">
        <v>544.0</v>
      </c>
      <c r="K170" s="11">
        <v>533.0</v>
      </c>
      <c r="L170" s="11">
        <v>535.0</v>
      </c>
      <c r="M170" s="11" t="b">
        <f t="shared" si="2"/>
        <v>1</v>
      </c>
      <c r="N170" s="11">
        <v>461.0</v>
      </c>
      <c r="O170" s="11">
        <v>439.0</v>
      </c>
    </row>
    <row r="171" ht="15.75" customHeight="1">
      <c r="A171" s="5" t="s">
        <v>234</v>
      </c>
      <c r="B171" s="5" t="s">
        <v>379</v>
      </c>
      <c r="C171" s="5" t="s">
        <v>380</v>
      </c>
      <c r="D171" s="11">
        <v>163.0</v>
      </c>
      <c r="E171" s="11">
        <v>215.0</v>
      </c>
      <c r="F171" s="11">
        <v>186.0</v>
      </c>
      <c r="G171" s="11">
        <v>201.0</v>
      </c>
      <c r="H171" s="11" t="b">
        <f t="shared" si="1"/>
        <v>1</v>
      </c>
      <c r="I171" s="11">
        <v>251.0</v>
      </c>
      <c r="J171" s="11">
        <v>334.0</v>
      </c>
      <c r="K171" s="11">
        <v>242.0</v>
      </c>
      <c r="L171" s="11">
        <v>337.0</v>
      </c>
      <c r="M171" s="11" t="b">
        <f t="shared" si="2"/>
        <v>1</v>
      </c>
      <c r="N171" s="11">
        <v>171.0</v>
      </c>
      <c r="O171" s="11">
        <v>220.0</v>
      </c>
    </row>
    <row r="172" ht="15.75" customHeight="1">
      <c r="A172" s="5" t="s">
        <v>234</v>
      </c>
      <c r="B172" s="5" t="s">
        <v>379</v>
      </c>
      <c r="C172" s="5" t="s">
        <v>381</v>
      </c>
      <c r="D172" s="11">
        <v>133.0</v>
      </c>
      <c r="E172" s="11">
        <v>180.0</v>
      </c>
      <c r="F172" s="11">
        <v>134.0</v>
      </c>
      <c r="G172" s="11">
        <v>168.0</v>
      </c>
      <c r="H172" s="11" t="b">
        <f t="shared" si="1"/>
        <v>1</v>
      </c>
      <c r="I172" s="11">
        <v>203.0</v>
      </c>
      <c r="J172" s="11">
        <v>287.0</v>
      </c>
      <c r="K172" s="11">
        <v>187.0</v>
      </c>
      <c r="L172" s="11">
        <v>292.0</v>
      </c>
      <c r="M172" s="11" t="b">
        <f t="shared" si="2"/>
        <v>1</v>
      </c>
      <c r="N172" s="11">
        <v>131.0</v>
      </c>
      <c r="O172" s="11">
        <v>185.0</v>
      </c>
    </row>
    <row r="173" ht="15.75" customHeight="1">
      <c r="A173" s="5" t="s">
        <v>234</v>
      </c>
      <c r="B173" s="5" t="s">
        <v>379</v>
      </c>
      <c r="C173" s="5" t="s">
        <v>383</v>
      </c>
      <c r="D173" s="11">
        <v>259.0</v>
      </c>
      <c r="E173" s="11">
        <v>361.0</v>
      </c>
      <c r="F173" s="11">
        <v>291.0</v>
      </c>
      <c r="G173" s="11">
        <v>371.0</v>
      </c>
      <c r="H173" s="11" t="b">
        <f t="shared" si="1"/>
        <v>1</v>
      </c>
      <c r="I173" s="11">
        <v>380.0</v>
      </c>
      <c r="J173" s="11">
        <v>544.0</v>
      </c>
      <c r="K173" s="11">
        <v>371.0</v>
      </c>
      <c r="L173" s="11">
        <v>527.0</v>
      </c>
      <c r="M173" s="11" t="b">
        <f t="shared" si="2"/>
        <v>1</v>
      </c>
      <c r="N173" s="11">
        <v>288.0</v>
      </c>
      <c r="O173" s="11">
        <v>396.0</v>
      </c>
    </row>
    <row r="174" ht="15.75" customHeight="1">
      <c r="A174" s="5" t="s">
        <v>234</v>
      </c>
      <c r="B174" s="5" t="s">
        <v>384</v>
      </c>
      <c r="C174" s="5" t="s">
        <v>385</v>
      </c>
      <c r="D174" s="11">
        <v>679.0</v>
      </c>
      <c r="E174" s="11">
        <v>662.0</v>
      </c>
      <c r="F174" s="11">
        <v>745.0</v>
      </c>
      <c r="G174" s="11">
        <v>675.0</v>
      </c>
      <c r="H174" s="11" t="b">
        <f t="shared" si="1"/>
        <v>1</v>
      </c>
      <c r="I174" s="11">
        <v>922.0</v>
      </c>
      <c r="J174" s="11">
        <v>942.0</v>
      </c>
      <c r="K174" s="11">
        <v>912.0</v>
      </c>
      <c r="L174" s="11">
        <v>964.0</v>
      </c>
      <c r="M174" s="11" t="b">
        <f t="shared" si="2"/>
        <v>1</v>
      </c>
      <c r="N174" s="11">
        <v>707.0</v>
      </c>
      <c r="O174" s="11">
        <v>712.0</v>
      </c>
    </row>
    <row r="175" ht="15.75" customHeight="1">
      <c r="A175" s="5" t="s">
        <v>234</v>
      </c>
      <c r="B175" s="5" t="s">
        <v>384</v>
      </c>
      <c r="C175" s="5" t="s">
        <v>386</v>
      </c>
      <c r="D175" s="11">
        <v>343.0</v>
      </c>
      <c r="E175" s="11">
        <v>296.0</v>
      </c>
      <c r="F175" s="11">
        <v>346.0</v>
      </c>
      <c r="G175" s="11">
        <v>303.0</v>
      </c>
      <c r="H175" s="11" t="b">
        <f t="shared" si="1"/>
        <v>1</v>
      </c>
      <c r="I175" s="11">
        <v>476.0</v>
      </c>
      <c r="J175" s="11">
        <v>459.0</v>
      </c>
      <c r="K175" s="11">
        <v>449.0</v>
      </c>
      <c r="L175" s="11">
        <v>448.0</v>
      </c>
      <c r="M175" s="11" t="b">
        <f t="shared" si="2"/>
        <v>1</v>
      </c>
      <c r="N175" s="11">
        <v>338.0</v>
      </c>
      <c r="O175" s="11">
        <v>323.0</v>
      </c>
    </row>
    <row r="176" ht="15.75" customHeight="1">
      <c r="A176" s="5" t="s">
        <v>234</v>
      </c>
      <c r="B176" s="5" t="s">
        <v>384</v>
      </c>
      <c r="C176" s="5" t="s">
        <v>387</v>
      </c>
      <c r="D176" s="11">
        <v>884.0</v>
      </c>
      <c r="E176" s="11">
        <v>693.0</v>
      </c>
      <c r="F176" s="11">
        <v>935.0</v>
      </c>
      <c r="G176" s="11">
        <v>631.0</v>
      </c>
      <c r="H176" s="11" t="b">
        <f t="shared" si="1"/>
        <v>1</v>
      </c>
      <c r="I176" s="11">
        <v>1219.0</v>
      </c>
      <c r="J176" s="11">
        <v>962.0</v>
      </c>
      <c r="K176" s="11">
        <v>1161.0</v>
      </c>
      <c r="L176" s="11">
        <v>915.0</v>
      </c>
      <c r="M176" s="11" t="b">
        <f t="shared" si="2"/>
        <v>1</v>
      </c>
      <c r="N176" s="11">
        <v>940.0</v>
      </c>
      <c r="O176" s="11">
        <v>739.0</v>
      </c>
    </row>
    <row r="177" ht="15.75" customHeight="1">
      <c r="A177" s="5" t="s">
        <v>234</v>
      </c>
      <c r="B177" s="5" t="s">
        <v>384</v>
      </c>
      <c r="C177" s="5" t="s">
        <v>388</v>
      </c>
      <c r="D177" s="11">
        <v>409.0</v>
      </c>
      <c r="E177" s="11">
        <v>431.0</v>
      </c>
      <c r="F177" s="11">
        <v>424.0</v>
      </c>
      <c r="G177" s="11">
        <v>437.0</v>
      </c>
      <c r="H177" s="11" t="b">
        <f t="shared" si="1"/>
        <v>1</v>
      </c>
      <c r="I177" s="11">
        <v>520.0</v>
      </c>
      <c r="J177" s="11">
        <v>583.0</v>
      </c>
      <c r="K177" s="11">
        <v>534.0</v>
      </c>
      <c r="L177" s="11">
        <v>577.0</v>
      </c>
      <c r="M177" s="11" t="b">
        <f t="shared" si="2"/>
        <v>1</v>
      </c>
      <c r="N177" s="11">
        <v>420.0</v>
      </c>
      <c r="O177" s="11">
        <v>448.0</v>
      </c>
    </row>
    <row r="178" ht="15.75" customHeight="1">
      <c r="A178" s="5" t="s">
        <v>234</v>
      </c>
      <c r="B178" s="5" t="s">
        <v>384</v>
      </c>
      <c r="C178" s="5" t="s">
        <v>389</v>
      </c>
      <c r="D178" s="11">
        <v>798.0</v>
      </c>
      <c r="E178" s="11">
        <v>561.0</v>
      </c>
      <c r="F178" s="11">
        <v>872.0</v>
      </c>
      <c r="G178" s="11">
        <v>544.0</v>
      </c>
      <c r="H178" s="11" t="b">
        <f t="shared" si="1"/>
        <v>1</v>
      </c>
      <c r="I178" s="11">
        <v>1083.0</v>
      </c>
      <c r="J178" s="11">
        <v>761.0</v>
      </c>
      <c r="K178" s="11">
        <v>1123.0</v>
      </c>
      <c r="L178" s="11">
        <v>741.0</v>
      </c>
      <c r="M178" s="11" t="b">
        <f t="shared" si="2"/>
        <v>1</v>
      </c>
      <c r="N178" s="11">
        <v>903.0</v>
      </c>
      <c r="O178" s="11">
        <v>586.0</v>
      </c>
    </row>
    <row r="179" ht="15.75" customHeight="1">
      <c r="A179" s="5" t="s">
        <v>234</v>
      </c>
      <c r="B179" s="5" t="s">
        <v>384</v>
      </c>
      <c r="C179" s="5" t="s">
        <v>390</v>
      </c>
      <c r="D179" s="11">
        <v>803.0</v>
      </c>
      <c r="E179" s="11">
        <v>555.0</v>
      </c>
      <c r="F179" s="11">
        <v>891.0</v>
      </c>
      <c r="G179" s="11">
        <v>525.0</v>
      </c>
      <c r="H179" s="11" t="b">
        <f t="shared" si="1"/>
        <v>1</v>
      </c>
      <c r="I179" s="11">
        <v>1040.0</v>
      </c>
      <c r="J179" s="11">
        <v>703.0</v>
      </c>
      <c r="K179" s="11">
        <v>1054.0</v>
      </c>
      <c r="L179" s="11">
        <v>706.0</v>
      </c>
      <c r="M179" s="11" t="b">
        <f t="shared" si="2"/>
        <v>1</v>
      </c>
      <c r="N179" s="11">
        <v>896.0</v>
      </c>
      <c r="O179" s="11">
        <v>584.0</v>
      </c>
    </row>
    <row r="180" ht="15.75" customHeight="1">
      <c r="A180" s="5" t="s">
        <v>234</v>
      </c>
      <c r="B180" s="5" t="s">
        <v>384</v>
      </c>
      <c r="C180" s="5" t="s">
        <v>391</v>
      </c>
      <c r="D180" s="11">
        <v>378.0</v>
      </c>
      <c r="E180" s="11">
        <v>325.0</v>
      </c>
      <c r="F180" s="11">
        <v>424.0</v>
      </c>
      <c r="G180" s="11">
        <v>334.0</v>
      </c>
      <c r="H180" s="11" t="b">
        <f t="shared" si="1"/>
        <v>1</v>
      </c>
      <c r="I180" s="11">
        <v>479.0</v>
      </c>
      <c r="J180" s="11">
        <v>450.0</v>
      </c>
      <c r="K180" s="11">
        <v>469.0</v>
      </c>
      <c r="L180" s="11">
        <v>468.0</v>
      </c>
      <c r="M180" s="11" t="b">
        <f t="shared" si="2"/>
        <v>1</v>
      </c>
      <c r="N180" s="11">
        <v>400.0</v>
      </c>
      <c r="O180" s="11">
        <v>376.0</v>
      </c>
    </row>
    <row r="181" ht="15.75" customHeight="1">
      <c r="A181" s="5" t="s">
        <v>234</v>
      </c>
      <c r="B181" s="5" t="s">
        <v>384</v>
      </c>
      <c r="C181" s="5" t="s">
        <v>394</v>
      </c>
      <c r="D181" s="11">
        <v>920.0</v>
      </c>
      <c r="E181" s="11">
        <v>920.0</v>
      </c>
      <c r="F181" s="11">
        <v>1062.0</v>
      </c>
      <c r="G181" s="11">
        <v>971.0</v>
      </c>
      <c r="H181" s="11" t="b">
        <f t="shared" si="1"/>
        <v>1</v>
      </c>
      <c r="I181" s="11">
        <v>1306.0</v>
      </c>
      <c r="J181" s="11">
        <v>1316.0</v>
      </c>
      <c r="K181" s="11">
        <v>1317.0</v>
      </c>
      <c r="L181" s="11">
        <v>1291.0</v>
      </c>
      <c r="M181" s="11" t="b">
        <f t="shared" si="2"/>
        <v>1</v>
      </c>
      <c r="N181" s="11">
        <v>1067.0</v>
      </c>
      <c r="O181" s="11">
        <v>1048.0</v>
      </c>
    </row>
    <row r="182" ht="15.75" customHeight="1">
      <c r="A182" s="5" t="s">
        <v>234</v>
      </c>
      <c r="B182" s="5" t="s">
        <v>395</v>
      </c>
      <c r="C182" s="5" t="s">
        <v>396</v>
      </c>
      <c r="D182" s="11">
        <v>754.0</v>
      </c>
      <c r="E182" s="11">
        <v>723.0</v>
      </c>
      <c r="F182" s="11">
        <v>812.0</v>
      </c>
      <c r="G182" s="11">
        <v>703.0</v>
      </c>
      <c r="H182" s="11" t="b">
        <f t="shared" si="1"/>
        <v>1</v>
      </c>
      <c r="I182" s="11">
        <v>1011.0</v>
      </c>
      <c r="J182" s="11">
        <v>980.0</v>
      </c>
      <c r="K182" s="11">
        <v>992.0</v>
      </c>
      <c r="L182" s="11">
        <v>983.0</v>
      </c>
      <c r="M182" s="11" t="b">
        <f t="shared" si="2"/>
        <v>1</v>
      </c>
      <c r="N182" s="11">
        <v>764.0</v>
      </c>
      <c r="O182" s="11">
        <v>734.0</v>
      </c>
    </row>
    <row r="183" ht="15.75" customHeight="1">
      <c r="A183" s="5" t="s">
        <v>234</v>
      </c>
      <c r="B183" s="5" t="s">
        <v>395</v>
      </c>
      <c r="C183" s="5" t="s">
        <v>397</v>
      </c>
      <c r="D183" s="11">
        <v>1005.0</v>
      </c>
      <c r="E183" s="11">
        <v>1005.0</v>
      </c>
      <c r="F183" s="11">
        <v>1089.0</v>
      </c>
      <c r="G183" s="11">
        <v>1003.0</v>
      </c>
      <c r="H183" s="11" t="b">
        <f t="shared" si="1"/>
        <v>1</v>
      </c>
      <c r="I183" s="11">
        <v>1276.0</v>
      </c>
      <c r="J183" s="11">
        <v>1287.0</v>
      </c>
      <c r="K183" s="11">
        <v>1311.0</v>
      </c>
      <c r="L183" s="11">
        <v>1258.0</v>
      </c>
      <c r="M183" s="11" t="b">
        <f t="shared" si="2"/>
        <v>1</v>
      </c>
      <c r="N183" s="11">
        <v>1049.0</v>
      </c>
      <c r="O183" s="11">
        <v>993.0</v>
      </c>
    </row>
    <row r="184" ht="15.75" customHeight="1">
      <c r="A184" s="5" t="s">
        <v>234</v>
      </c>
      <c r="B184" s="5" t="s">
        <v>395</v>
      </c>
      <c r="C184" s="5" t="s">
        <v>398</v>
      </c>
      <c r="D184" s="11">
        <v>641.0</v>
      </c>
      <c r="E184" s="11">
        <v>674.0</v>
      </c>
      <c r="F184" s="11">
        <v>658.0</v>
      </c>
      <c r="G184" s="11">
        <v>705.0</v>
      </c>
      <c r="H184" s="11" t="b">
        <f t="shared" si="1"/>
        <v>1</v>
      </c>
      <c r="I184" s="11">
        <v>945.0</v>
      </c>
      <c r="J184" s="11">
        <v>1094.0</v>
      </c>
      <c r="K184" s="11">
        <v>914.0</v>
      </c>
      <c r="L184" s="11">
        <v>1075.0</v>
      </c>
      <c r="M184" s="11" t="b">
        <f t="shared" si="2"/>
        <v>1</v>
      </c>
      <c r="N184" s="11">
        <v>788.0</v>
      </c>
      <c r="O184" s="11">
        <v>902.0</v>
      </c>
    </row>
    <row r="185" ht="15.75" customHeight="1">
      <c r="A185" s="5" t="s">
        <v>234</v>
      </c>
      <c r="B185" s="5" t="s">
        <v>395</v>
      </c>
      <c r="C185" s="5" t="s">
        <v>399</v>
      </c>
      <c r="D185" s="11">
        <v>512.0</v>
      </c>
      <c r="E185" s="11">
        <v>349.0</v>
      </c>
      <c r="F185" s="11">
        <v>516.0</v>
      </c>
      <c r="G185" s="11">
        <v>400.0</v>
      </c>
      <c r="H185" s="11" t="b">
        <f t="shared" si="1"/>
        <v>1</v>
      </c>
      <c r="I185" s="11">
        <v>767.0</v>
      </c>
      <c r="J185" s="11">
        <v>635.0</v>
      </c>
      <c r="K185" s="11">
        <v>735.0</v>
      </c>
      <c r="L185" s="11">
        <v>653.0</v>
      </c>
      <c r="M185" s="11" t="b">
        <f t="shared" si="2"/>
        <v>1</v>
      </c>
      <c r="N185" s="11">
        <v>629.0</v>
      </c>
      <c r="O185" s="11">
        <v>517.0</v>
      </c>
    </row>
    <row r="186" ht="15.75" customHeight="1">
      <c r="A186" s="5" t="s">
        <v>234</v>
      </c>
      <c r="B186" s="5" t="s">
        <v>395</v>
      </c>
      <c r="C186" s="5" t="s">
        <v>400</v>
      </c>
      <c r="D186" s="11">
        <v>1298.0</v>
      </c>
      <c r="E186" s="11">
        <v>1191.0</v>
      </c>
      <c r="F186" s="11">
        <v>1409.0</v>
      </c>
      <c r="G186" s="11">
        <v>1142.0</v>
      </c>
      <c r="H186" s="11" t="b">
        <f t="shared" si="1"/>
        <v>1</v>
      </c>
      <c r="I186" s="11">
        <v>1978.0</v>
      </c>
      <c r="J186" s="11">
        <v>1778.0</v>
      </c>
      <c r="K186" s="11">
        <v>1929.0</v>
      </c>
      <c r="L186" s="11">
        <v>1679.0</v>
      </c>
      <c r="M186" s="11" t="b">
        <f t="shared" si="2"/>
        <v>1</v>
      </c>
      <c r="N186" s="11">
        <v>1453.0</v>
      </c>
      <c r="O186" s="11">
        <v>1267.0</v>
      </c>
    </row>
    <row r="187" ht="15.75" customHeight="1">
      <c r="A187" s="5" t="s">
        <v>234</v>
      </c>
      <c r="B187" s="5" t="s">
        <v>395</v>
      </c>
      <c r="C187" s="5" t="s">
        <v>401</v>
      </c>
      <c r="D187" s="11">
        <v>450.0</v>
      </c>
      <c r="E187" s="11">
        <v>359.0</v>
      </c>
      <c r="F187" s="11">
        <v>513.0</v>
      </c>
      <c r="G187" s="11">
        <v>429.0</v>
      </c>
      <c r="H187" s="11" t="b">
        <f t="shared" si="1"/>
        <v>1</v>
      </c>
      <c r="I187" s="11">
        <v>734.0</v>
      </c>
      <c r="J187" s="11">
        <v>667.0</v>
      </c>
      <c r="K187" s="11">
        <v>696.0</v>
      </c>
      <c r="L187" s="11">
        <v>666.0</v>
      </c>
      <c r="M187" s="11" t="b">
        <f t="shared" si="2"/>
        <v>1</v>
      </c>
      <c r="N187" s="11">
        <v>506.0</v>
      </c>
      <c r="O187" s="11">
        <v>463.0</v>
      </c>
    </row>
    <row r="188" ht="15.75" customHeight="1">
      <c r="A188" s="5" t="s">
        <v>234</v>
      </c>
      <c r="B188" s="5" t="s">
        <v>395</v>
      </c>
      <c r="C188" s="5" t="s">
        <v>404</v>
      </c>
      <c r="D188" s="11">
        <v>461.0</v>
      </c>
      <c r="E188" s="11">
        <v>400.0</v>
      </c>
      <c r="F188" s="11">
        <v>494.0</v>
      </c>
      <c r="G188" s="11">
        <v>404.0</v>
      </c>
      <c r="H188" s="11" t="b">
        <f t="shared" si="1"/>
        <v>1</v>
      </c>
      <c r="I188" s="11">
        <v>725.0</v>
      </c>
      <c r="J188" s="11">
        <v>647.0</v>
      </c>
      <c r="K188" s="11">
        <v>715.0</v>
      </c>
      <c r="L188" s="11">
        <v>601.0</v>
      </c>
      <c r="M188" s="11" t="b">
        <f t="shared" si="2"/>
        <v>1</v>
      </c>
      <c r="N188" s="11">
        <v>507.0</v>
      </c>
      <c r="O188" s="11">
        <v>423.0</v>
      </c>
    </row>
    <row r="189" ht="15.75" customHeight="1">
      <c r="A189" s="5" t="s">
        <v>234</v>
      </c>
      <c r="B189" s="5" t="s">
        <v>395</v>
      </c>
      <c r="C189" s="5" t="s">
        <v>405</v>
      </c>
      <c r="D189" s="11">
        <v>522.0</v>
      </c>
      <c r="E189" s="11">
        <v>455.0</v>
      </c>
      <c r="F189" s="11">
        <v>518.0</v>
      </c>
      <c r="G189" s="11">
        <v>471.0</v>
      </c>
      <c r="H189" s="11" t="b">
        <f t="shared" si="1"/>
        <v>1</v>
      </c>
      <c r="I189" s="11">
        <v>766.0</v>
      </c>
      <c r="J189" s="11">
        <v>720.0</v>
      </c>
      <c r="K189" s="11">
        <v>728.0</v>
      </c>
      <c r="L189" s="11">
        <v>692.0</v>
      </c>
      <c r="M189" s="11" t="b">
        <f t="shared" si="2"/>
        <v>1</v>
      </c>
      <c r="N189" s="11">
        <v>538.0</v>
      </c>
      <c r="O189" s="11">
        <v>506.0</v>
      </c>
    </row>
    <row r="190" ht="15.75" customHeight="1">
      <c r="A190" s="5" t="s">
        <v>234</v>
      </c>
      <c r="B190" s="5" t="s">
        <v>406</v>
      </c>
      <c r="C190" s="5" t="s">
        <v>407</v>
      </c>
      <c r="D190" s="11">
        <v>1060.0</v>
      </c>
      <c r="E190" s="11">
        <v>1203.0</v>
      </c>
      <c r="F190" s="11">
        <v>1212.0</v>
      </c>
      <c r="G190" s="11">
        <v>1282.0</v>
      </c>
      <c r="H190" s="11" t="b">
        <f t="shared" si="1"/>
        <v>1</v>
      </c>
      <c r="I190" s="11">
        <v>1439.0</v>
      </c>
      <c r="J190" s="11">
        <v>1720.0</v>
      </c>
      <c r="K190" s="11">
        <v>1473.0</v>
      </c>
      <c r="L190" s="11">
        <v>1690.0</v>
      </c>
      <c r="M190" s="11" t="b">
        <f t="shared" si="2"/>
        <v>1</v>
      </c>
      <c r="N190" s="11">
        <v>1225.0</v>
      </c>
      <c r="O190" s="11">
        <v>1408.0</v>
      </c>
    </row>
    <row r="191" ht="15.75" customHeight="1">
      <c r="A191" s="5" t="s">
        <v>234</v>
      </c>
      <c r="B191" s="5" t="s">
        <v>406</v>
      </c>
      <c r="C191" s="5" t="s">
        <v>408</v>
      </c>
      <c r="D191" s="11">
        <v>737.0</v>
      </c>
      <c r="E191" s="11">
        <v>1130.0</v>
      </c>
      <c r="F191" s="11">
        <v>820.0</v>
      </c>
      <c r="G191" s="11">
        <v>1168.0</v>
      </c>
      <c r="H191" s="11" t="b">
        <f t="shared" si="1"/>
        <v>1</v>
      </c>
      <c r="I191" s="11">
        <v>881.0</v>
      </c>
      <c r="J191" s="11">
        <v>1427.0</v>
      </c>
      <c r="K191" s="11">
        <v>907.0</v>
      </c>
      <c r="L191" s="11">
        <v>1445.0</v>
      </c>
      <c r="M191" s="11" t="b">
        <f t="shared" si="2"/>
        <v>1</v>
      </c>
      <c r="N191" s="11">
        <v>783.0</v>
      </c>
      <c r="O191" s="11">
        <v>1196.0</v>
      </c>
    </row>
    <row r="192" ht="15.75" customHeight="1">
      <c r="A192" s="5" t="s">
        <v>234</v>
      </c>
      <c r="B192" s="5" t="s">
        <v>409</v>
      </c>
      <c r="C192" s="5" t="s">
        <v>410</v>
      </c>
      <c r="D192" s="11">
        <v>788.0</v>
      </c>
      <c r="E192" s="11">
        <v>853.0</v>
      </c>
      <c r="F192" s="11">
        <v>888.0</v>
      </c>
      <c r="G192" s="11">
        <v>859.0</v>
      </c>
      <c r="H192" s="11" t="b">
        <f t="shared" si="1"/>
        <v>1</v>
      </c>
      <c r="I192" s="11">
        <v>982.0</v>
      </c>
      <c r="J192" s="11">
        <v>1093.0</v>
      </c>
      <c r="K192" s="11">
        <v>1017.0</v>
      </c>
      <c r="L192" s="11">
        <v>1074.0</v>
      </c>
      <c r="M192" s="11" t="b">
        <f t="shared" si="2"/>
        <v>1</v>
      </c>
      <c r="N192" s="11">
        <v>864.0</v>
      </c>
      <c r="O192" s="11">
        <v>905.0</v>
      </c>
    </row>
    <row r="193" ht="15.75" customHeight="1">
      <c r="A193" s="5" t="s">
        <v>234</v>
      </c>
      <c r="B193" s="5" t="s">
        <v>409</v>
      </c>
      <c r="C193" s="5" t="s">
        <v>411</v>
      </c>
      <c r="D193" s="11">
        <v>508.0</v>
      </c>
      <c r="E193" s="11">
        <v>586.0</v>
      </c>
      <c r="F193" s="11">
        <v>590.0</v>
      </c>
      <c r="G193" s="11">
        <v>646.0</v>
      </c>
      <c r="H193" s="11" t="b">
        <f t="shared" si="1"/>
        <v>1</v>
      </c>
      <c r="I193" s="11">
        <v>713.0</v>
      </c>
      <c r="J193" s="11">
        <v>870.0</v>
      </c>
      <c r="K193" s="11">
        <v>753.0</v>
      </c>
      <c r="L193" s="11">
        <v>851.0</v>
      </c>
      <c r="M193" s="11" t="b">
        <f t="shared" si="2"/>
        <v>1</v>
      </c>
      <c r="N193" s="11">
        <v>607.0</v>
      </c>
      <c r="O193" s="11">
        <v>698.0</v>
      </c>
    </row>
    <row r="194" ht="15.75" customHeight="1">
      <c r="A194" s="5" t="s">
        <v>234</v>
      </c>
      <c r="B194" s="5" t="s">
        <v>409</v>
      </c>
      <c r="C194" s="5" t="s">
        <v>412</v>
      </c>
      <c r="D194" s="11">
        <v>422.0</v>
      </c>
      <c r="E194" s="11">
        <v>459.0</v>
      </c>
      <c r="F194" s="11">
        <v>498.0</v>
      </c>
      <c r="G194" s="11">
        <v>506.0</v>
      </c>
      <c r="H194" s="11" t="b">
        <f t="shared" si="1"/>
        <v>1</v>
      </c>
      <c r="I194" s="11">
        <v>687.0</v>
      </c>
      <c r="J194" s="11">
        <v>766.0</v>
      </c>
      <c r="K194" s="11">
        <v>713.0</v>
      </c>
      <c r="L194" s="11">
        <v>780.0</v>
      </c>
      <c r="M194" s="11" t="b">
        <f t="shared" si="2"/>
        <v>1</v>
      </c>
      <c r="N194" s="11">
        <v>632.0</v>
      </c>
      <c r="O194" s="11">
        <v>682.0</v>
      </c>
    </row>
    <row r="195" ht="15.75" customHeight="1">
      <c r="A195" s="5" t="s">
        <v>234</v>
      </c>
      <c r="B195" s="5" t="s">
        <v>409</v>
      </c>
      <c r="C195" s="5" t="s">
        <v>413</v>
      </c>
      <c r="D195" s="11">
        <v>1167.0</v>
      </c>
      <c r="E195" s="11">
        <v>1280.0</v>
      </c>
      <c r="F195" s="11">
        <v>1289.0</v>
      </c>
      <c r="G195" s="11">
        <v>1351.0</v>
      </c>
      <c r="H195" s="11" t="b">
        <f t="shared" si="1"/>
        <v>1</v>
      </c>
      <c r="I195" s="11">
        <v>1636.0</v>
      </c>
      <c r="J195" s="11">
        <v>1835.0</v>
      </c>
      <c r="K195" s="11">
        <v>1648.0</v>
      </c>
      <c r="L195" s="11">
        <v>1789.0</v>
      </c>
      <c r="M195" s="11" t="b">
        <f t="shared" si="2"/>
        <v>1</v>
      </c>
      <c r="N195" s="11">
        <v>1366.0</v>
      </c>
      <c r="O195" s="11">
        <v>1478.0</v>
      </c>
    </row>
    <row r="196" ht="15.75" customHeight="1">
      <c r="A196" s="5" t="s">
        <v>234</v>
      </c>
      <c r="B196" s="5" t="s">
        <v>409</v>
      </c>
      <c r="C196" s="5" t="s">
        <v>415</v>
      </c>
      <c r="D196" s="11">
        <v>497.0</v>
      </c>
      <c r="E196" s="11">
        <v>538.0</v>
      </c>
      <c r="F196" s="11">
        <v>559.0</v>
      </c>
      <c r="G196" s="11">
        <v>520.0</v>
      </c>
      <c r="H196" s="11" t="b">
        <f t="shared" si="1"/>
        <v>1</v>
      </c>
      <c r="I196" s="11">
        <v>683.0</v>
      </c>
      <c r="J196" s="11">
        <v>710.0</v>
      </c>
      <c r="K196" s="11">
        <v>683.0</v>
      </c>
      <c r="L196" s="11">
        <v>663.0</v>
      </c>
      <c r="M196" s="11" t="b">
        <f t="shared" si="2"/>
        <v>1</v>
      </c>
      <c r="N196" s="11">
        <v>561.0</v>
      </c>
      <c r="O196" s="11">
        <v>535.0</v>
      </c>
    </row>
    <row r="197" ht="15.75" customHeight="1">
      <c r="A197" s="5" t="s">
        <v>234</v>
      </c>
      <c r="B197" s="5" t="s">
        <v>409</v>
      </c>
      <c r="C197" s="5" t="s">
        <v>417</v>
      </c>
      <c r="D197" s="11">
        <v>517.0</v>
      </c>
      <c r="E197" s="11">
        <v>464.0</v>
      </c>
      <c r="F197" s="11">
        <v>582.0</v>
      </c>
      <c r="G197" s="11">
        <v>487.0</v>
      </c>
      <c r="H197" s="11" t="b">
        <f t="shared" si="1"/>
        <v>1</v>
      </c>
      <c r="I197" s="11">
        <v>642.0</v>
      </c>
      <c r="J197" s="11">
        <v>613.0</v>
      </c>
      <c r="K197" s="11">
        <v>648.0</v>
      </c>
      <c r="L197" s="11">
        <v>583.0</v>
      </c>
      <c r="M197" s="11" t="b">
        <f t="shared" si="2"/>
        <v>1</v>
      </c>
      <c r="N197" s="11">
        <v>544.0</v>
      </c>
      <c r="O197" s="11">
        <v>480.0</v>
      </c>
    </row>
    <row r="198" ht="15.75" customHeight="1">
      <c r="A198" s="5" t="s">
        <v>234</v>
      </c>
      <c r="B198" s="5" t="s">
        <v>418</v>
      </c>
      <c r="C198" s="5" t="s">
        <v>419</v>
      </c>
      <c r="D198" s="11">
        <v>165.0</v>
      </c>
      <c r="E198" s="11">
        <v>355.0</v>
      </c>
      <c r="F198" s="11">
        <v>188.0</v>
      </c>
      <c r="G198" s="11">
        <v>395.0</v>
      </c>
      <c r="H198" s="11" t="b">
        <f t="shared" si="1"/>
        <v>1</v>
      </c>
      <c r="I198" s="11">
        <v>238.0</v>
      </c>
      <c r="J198" s="11">
        <v>545.0</v>
      </c>
      <c r="K198" s="11">
        <v>243.0</v>
      </c>
      <c r="L198" s="11">
        <v>532.0</v>
      </c>
      <c r="M198" s="11" t="b">
        <f t="shared" si="2"/>
        <v>1</v>
      </c>
      <c r="N198" s="11">
        <v>192.0</v>
      </c>
      <c r="O198" s="11">
        <v>412.0</v>
      </c>
    </row>
    <row r="199" ht="15.75" customHeight="1">
      <c r="A199" s="5" t="s">
        <v>234</v>
      </c>
      <c r="B199" s="5" t="s">
        <v>418</v>
      </c>
      <c r="C199" s="5" t="s">
        <v>420</v>
      </c>
      <c r="D199" s="11">
        <v>591.0</v>
      </c>
      <c r="E199" s="11">
        <v>1114.0</v>
      </c>
      <c r="F199" s="11">
        <v>697.0</v>
      </c>
      <c r="G199" s="11">
        <v>1216.0</v>
      </c>
      <c r="H199" s="11" t="b">
        <f t="shared" si="1"/>
        <v>1</v>
      </c>
      <c r="I199" s="11">
        <v>822.0</v>
      </c>
      <c r="J199" s="11">
        <v>1660.0</v>
      </c>
      <c r="K199" s="11">
        <v>841.0</v>
      </c>
      <c r="L199" s="11">
        <v>1653.0</v>
      </c>
      <c r="M199" s="11" t="b">
        <f t="shared" si="2"/>
        <v>1</v>
      </c>
      <c r="N199" s="11">
        <v>675.0</v>
      </c>
      <c r="O199" s="11">
        <v>1282.0</v>
      </c>
    </row>
    <row r="200" ht="15.75" customHeight="1">
      <c r="A200" s="5" t="s">
        <v>234</v>
      </c>
      <c r="B200" s="5" t="s">
        <v>418</v>
      </c>
      <c r="C200" s="5" t="s">
        <v>421</v>
      </c>
      <c r="D200" s="11">
        <v>136.0</v>
      </c>
      <c r="E200" s="11">
        <v>293.0</v>
      </c>
      <c r="F200" s="11">
        <v>169.0</v>
      </c>
      <c r="G200" s="11">
        <v>341.0</v>
      </c>
      <c r="H200" s="11" t="b">
        <f t="shared" si="1"/>
        <v>1</v>
      </c>
      <c r="I200" s="11">
        <v>210.0</v>
      </c>
      <c r="J200" s="11">
        <v>463.0</v>
      </c>
      <c r="K200" s="11">
        <v>182.0</v>
      </c>
      <c r="L200" s="11">
        <v>484.0</v>
      </c>
      <c r="M200" s="11" t="b">
        <f t="shared" si="2"/>
        <v>1</v>
      </c>
      <c r="N200" s="11">
        <v>165.0</v>
      </c>
      <c r="O200" s="11">
        <v>377.0</v>
      </c>
    </row>
    <row r="201" ht="15.75" customHeight="1">
      <c r="A201" s="5" t="s">
        <v>234</v>
      </c>
      <c r="B201" s="5" t="s">
        <v>422</v>
      </c>
      <c r="C201" s="5" t="s">
        <v>422</v>
      </c>
      <c r="D201" s="11">
        <v>846.0</v>
      </c>
      <c r="E201" s="11">
        <v>1683.0</v>
      </c>
      <c r="F201" s="11">
        <v>981.0</v>
      </c>
      <c r="G201" s="11">
        <v>1711.0</v>
      </c>
      <c r="H201" s="11" t="b">
        <f t="shared" si="1"/>
        <v>1</v>
      </c>
      <c r="I201" s="11">
        <v>1108.0</v>
      </c>
      <c r="J201" s="11">
        <v>2277.0</v>
      </c>
      <c r="K201" s="11">
        <v>1172.0</v>
      </c>
      <c r="L201" s="11">
        <v>2201.0</v>
      </c>
      <c r="M201" s="11" t="b">
        <f t="shared" si="2"/>
        <v>1</v>
      </c>
      <c r="N201" s="11">
        <v>934.0</v>
      </c>
      <c r="O201" s="11">
        <v>1806.0</v>
      </c>
    </row>
    <row r="202" ht="15.75" customHeight="1">
      <c r="A202" s="5" t="s">
        <v>234</v>
      </c>
      <c r="B202" s="5" t="s">
        <v>423</v>
      </c>
      <c r="C202" s="5" t="s">
        <v>424</v>
      </c>
      <c r="D202" s="11">
        <v>562.0</v>
      </c>
      <c r="E202" s="11">
        <v>644.0</v>
      </c>
      <c r="F202" s="11">
        <v>616.0</v>
      </c>
      <c r="G202" s="11">
        <v>685.0</v>
      </c>
      <c r="H202" s="11" t="b">
        <f t="shared" si="1"/>
        <v>1</v>
      </c>
      <c r="I202" s="11">
        <v>768.0</v>
      </c>
      <c r="J202" s="11">
        <v>949.0</v>
      </c>
      <c r="K202" s="11">
        <v>811.0</v>
      </c>
      <c r="L202" s="11">
        <v>918.0</v>
      </c>
      <c r="M202" s="11" t="b">
        <f t="shared" si="2"/>
        <v>1</v>
      </c>
      <c r="N202" s="11">
        <v>637.0</v>
      </c>
      <c r="O202" s="11">
        <v>733.0</v>
      </c>
    </row>
    <row r="203" ht="15.75" customHeight="1">
      <c r="A203" s="5" t="s">
        <v>234</v>
      </c>
      <c r="B203" s="5" t="s">
        <v>423</v>
      </c>
      <c r="C203" s="5" t="s">
        <v>425</v>
      </c>
      <c r="D203" s="11">
        <v>398.0</v>
      </c>
      <c r="E203" s="11">
        <v>431.0</v>
      </c>
      <c r="F203" s="11">
        <v>446.0</v>
      </c>
      <c r="G203" s="11">
        <v>517.0</v>
      </c>
      <c r="H203" s="11" t="b">
        <f t="shared" si="1"/>
        <v>1</v>
      </c>
      <c r="I203" s="11">
        <v>608.0</v>
      </c>
      <c r="J203" s="11">
        <v>696.0</v>
      </c>
      <c r="K203" s="11">
        <v>606.0</v>
      </c>
      <c r="L203" s="11">
        <v>669.0</v>
      </c>
      <c r="M203" s="11" t="b">
        <f t="shared" si="2"/>
        <v>1</v>
      </c>
      <c r="N203" s="11">
        <v>465.0</v>
      </c>
      <c r="O203" s="11">
        <v>511.0</v>
      </c>
    </row>
    <row r="204" ht="15.75" customHeight="1">
      <c r="A204" s="5" t="s">
        <v>234</v>
      </c>
      <c r="B204" s="5" t="s">
        <v>423</v>
      </c>
      <c r="C204" s="5" t="s">
        <v>426</v>
      </c>
      <c r="D204" s="11">
        <v>546.0</v>
      </c>
      <c r="E204" s="11">
        <v>357.0</v>
      </c>
      <c r="F204" s="11">
        <v>544.0</v>
      </c>
      <c r="G204" s="11">
        <v>356.0</v>
      </c>
      <c r="H204" s="11" t="b">
        <f t="shared" si="1"/>
        <v>1</v>
      </c>
      <c r="I204" s="11">
        <v>788.0</v>
      </c>
      <c r="J204" s="11">
        <v>574.0</v>
      </c>
      <c r="K204" s="11">
        <v>732.0</v>
      </c>
      <c r="L204" s="11">
        <v>616.0</v>
      </c>
      <c r="M204" s="11" t="b">
        <f t="shared" si="2"/>
        <v>1</v>
      </c>
      <c r="N204" s="11">
        <v>527.0</v>
      </c>
      <c r="O204" s="11">
        <v>410.0</v>
      </c>
    </row>
    <row r="205" ht="15.75" customHeight="1">
      <c r="A205" s="5" t="s">
        <v>234</v>
      </c>
      <c r="B205" s="5" t="s">
        <v>423</v>
      </c>
      <c r="C205" s="5" t="s">
        <v>427</v>
      </c>
      <c r="D205" s="11">
        <v>638.0</v>
      </c>
      <c r="E205" s="11">
        <v>348.0</v>
      </c>
      <c r="F205" s="11">
        <v>613.0</v>
      </c>
      <c r="G205" s="11">
        <v>381.0</v>
      </c>
      <c r="H205" s="11" t="b">
        <f t="shared" si="1"/>
        <v>1</v>
      </c>
      <c r="I205" s="11">
        <v>928.0</v>
      </c>
      <c r="J205" s="11">
        <v>612.0</v>
      </c>
      <c r="K205" s="11">
        <v>871.0</v>
      </c>
      <c r="L205" s="11">
        <v>616.0</v>
      </c>
      <c r="M205" s="11" t="b">
        <f t="shared" si="2"/>
        <v>1</v>
      </c>
      <c r="N205" s="11">
        <v>595.0</v>
      </c>
      <c r="O205" s="11">
        <v>409.0</v>
      </c>
    </row>
    <row r="206" ht="15.75" customHeight="1">
      <c r="A206" s="5" t="s">
        <v>234</v>
      </c>
      <c r="B206" s="5" t="s">
        <v>423</v>
      </c>
      <c r="C206" s="5" t="s">
        <v>429</v>
      </c>
      <c r="D206" s="11">
        <v>224.0</v>
      </c>
      <c r="E206" s="11">
        <v>174.0</v>
      </c>
      <c r="F206" s="11">
        <v>219.0</v>
      </c>
      <c r="G206" s="11">
        <v>164.0</v>
      </c>
      <c r="H206" s="11" t="b">
        <f t="shared" si="1"/>
        <v>1</v>
      </c>
      <c r="I206" s="11">
        <v>316.0</v>
      </c>
      <c r="J206" s="11">
        <v>259.0</v>
      </c>
      <c r="K206" s="11">
        <v>305.0</v>
      </c>
      <c r="L206" s="11">
        <v>262.0</v>
      </c>
      <c r="M206" s="11" t="b">
        <f t="shared" si="2"/>
        <v>1</v>
      </c>
      <c r="N206" s="11">
        <v>220.0</v>
      </c>
      <c r="O206" s="11">
        <v>179.0</v>
      </c>
    </row>
    <row r="207" ht="15.75" customHeight="1">
      <c r="A207" s="5" t="s">
        <v>234</v>
      </c>
      <c r="B207" s="5" t="s">
        <v>423</v>
      </c>
      <c r="C207" s="5" t="s">
        <v>430</v>
      </c>
      <c r="D207" s="11">
        <v>369.0</v>
      </c>
      <c r="E207" s="11">
        <v>166.0</v>
      </c>
      <c r="F207" s="11">
        <v>356.0</v>
      </c>
      <c r="G207" s="11">
        <v>169.0</v>
      </c>
      <c r="H207" s="11" t="b">
        <f t="shared" si="1"/>
        <v>1</v>
      </c>
      <c r="I207" s="11">
        <v>582.0</v>
      </c>
      <c r="J207" s="11">
        <v>316.0</v>
      </c>
      <c r="K207" s="11">
        <v>535.0</v>
      </c>
      <c r="L207" s="11">
        <v>364.0</v>
      </c>
      <c r="M207" s="11" t="b">
        <f t="shared" si="2"/>
        <v>1</v>
      </c>
      <c r="N207" s="11">
        <v>323.0</v>
      </c>
      <c r="O207" s="11">
        <v>197.0</v>
      </c>
    </row>
    <row r="208" ht="15.75" customHeight="1">
      <c r="A208" s="5" t="s">
        <v>234</v>
      </c>
      <c r="B208" s="5" t="s">
        <v>423</v>
      </c>
      <c r="C208" s="5" t="s">
        <v>431</v>
      </c>
      <c r="D208" s="11">
        <v>368.0</v>
      </c>
      <c r="E208" s="11">
        <v>293.0</v>
      </c>
      <c r="F208" s="11">
        <v>392.0</v>
      </c>
      <c r="G208" s="11">
        <v>296.0</v>
      </c>
      <c r="H208" s="11" t="b">
        <f t="shared" si="1"/>
        <v>1</v>
      </c>
      <c r="I208" s="11">
        <v>529.0</v>
      </c>
      <c r="J208" s="11">
        <v>442.0</v>
      </c>
      <c r="K208" s="11">
        <v>564.0</v>
      </c>
      <c r="L208" s="11">
        <v>451.0</v>
      </c>
      <c r="M208" s="11" t="b">
        <f t="shared" si="2"/>
        <v>1</v>
      </c>
      <c r="N208" s="11">
        <v>382.0</v>
      </c>
      <c r="O208" s="11">
        <v>305.0</v>
      </c>
    </row>
    <row r="209" ht="15.75" customHeight="1">
      <c r="A209" s="5" t="s">
        <v>234</v>
      </c>
      <c r="B209" s="5" t="s">
        <v>423</v>
      </c>
      <c r="C209" s="5" t="s">
        <v>432</v>
      </c>
      <c r="D209" s="11">
        <v>206.0</v>
      </c>
      <c r="E209" s="11">
        <v>204.0</v>
      </c>
      <c r="F209" s="11">
        <v>212.0</v>
      </c>
      <c r="G209" s="11">
        <v>217.0</v>
      </c>
      <c r="H209" s="11" t="b">
        <f t="shared" si="1"/>
        <v>1</v>
      </c>
      <c r="I209" s="11">
        <v>282.0</v>
      </c>
      <c r="J209" s="11">
        <v>302.0</v>
      </c>
      <c r="K209" s="11">
        <v>279.0</v>
      </c>
      <c r="L209" s="11">
        <v>318.0</v>
      </c>
      <c r="M209" s="11" t="b">
        <f t="shared" si="2"/>
        <v>1</v>
      </c>
      <c r="N209" s="11">
        <v>215.0</v>
      </c>
      <c r="O209" s="11">
        <v>235.0</v>
      </c>
    </row>
    <row r="210" ht="15.75" customHeight="1">
      <c r="A210" s="5" t="s">
        <v>234</v>
      </c>
      <c r="B210" s="5" t="s">
        <v>423</v>
      </c>
      <c r="C210" s="5" t="s">
        <v>433</v>
      </c>
      <c r="D210" s="11">
        <v>403.0</v>
      </c>
      <c r="E210" s="11">
        <v>319.0</v>
      </c>
      <c r="F210" s="11">
        <v>399.0</v>
      </c>
      <c r="G210" s="11">
        <v>329.0</v>
      </c>
      <c r="H210" s="11" t="b">
        <f t="shared" si="1"/>
        <v>1</v>
      </c>
      <c r="I210" s="11">
        <v>610.0</v>
      </c>
      <c r="J210" s="11">
        <v>524.0</v>
      </c>
      <c r="K210" s="11">
        <v>571.0</v>
      </c>
      <c r="L210" s="11">
        <v>544.0</v>
      </c>
      <c r="M210" s="11" t="b">
        <f t="shared" si="2"/>
        <v>1</v>
      </c>
      <c r="N210" s="11">
        <v>409.0</v>
      </c>
      <c r="O210" s="11">
        <v>374.0</v>
      </c>
    </row>
    <row r="211" ht="15.75" customHeight="1">
      <c r="A211" s="5" t="s">
        <v>234</v>
      </c>
      <c r="B211" s="5" t="s">
        <v>423</v>
      </c>
      <c r="C211" s="5" t="s">
        <v>434</v>
      </c>
      <c r="D211" s="11">
        <v>612.0</v>
      </c>
      <c r="E211" s="11">
        <v>674.0</v>
      </c>
      <c r="F211" s="11">
        <v>664.0</v>
      </c>
      <c r="G211" s="11">
        <v>709.0</v>
      </c>
      <c r="H211" s="11" t="b">
        <f t="shared" si="1"/>
        <v>1</v>
      </c>
      <c r="I211" s="11">
        <v>829.0</v>
      </c>
      <c r="J211" s="11">
        <v>965.0</v>
      </c>
      <c r="K211" s="11">
        <v>829.0</v>
      </c>
      <c r="L211" s="11">
        <v>968.0</v>
      </c>
      <c r="M211" s="11" t="b">
        <f t="shared" si="2"/>
        <v>1</v>
      </c>
      <c r="N211" s="11">
        <v>650.0</v>
      </c>
      <c r="O211" s="11">
        <v>745.0</v>
      </c>
    </row>
    <row r="212" ht="15.75" customHeight="1">
      <c r="A212" s="5" t="s">
        <v>234</v>
      </c>
      <c r="B212" s="5" t="s">
        <v>423</v>
      </c>
      <c r="C212" s="5" t="s">
        <v>435</v>
      </c>
      <c r="D212" s="11">
        <v>509.0</v>
      </c>
      <c r="E212" s="11">
        <v>517.0</v>
      </c>
      <c r="F212" s="11">
        <v>577.0</v>
      </c>
      <c r="G212" s="11">
        <v>567.0</v>
      </c>
      <c r="H212" s="11" t="b">
        <f t="shared" si="1"/>
        <v>1</v>
      </c>
      <c r="I212" s="11">
        <v>685.0</v>
      </c>
      <c r="J212" s="11">
        <v>757.0</v>
      </c>
      <c r="K212" s="11">
        <v>698.0</v>
      </c>
      <c r="L212" s="11">
        <v>748.0</v>
      </c>
      <c r="M212" s="11" t="b">
        <f t="shared" si="2"/>
        <v>1</v>
      </c>
      <c r="N212" s="11">
        <v>552.0</v>
      </c>
      <c r="O212" s="11">
        <v>580.0</v>
      </c>
    </row>
    <row r="213" ht="15.75" customHeight="1">
      <c r="A213" s="5" t="s">
        <v>234</v>
      </c>
      <c r="B213" s="5" t="s">
        <v>423</v>
      </c>
      <c r="C213" s="5" t="s">
        <v>436</v>
      </c>
      <c r="D213" s="11">
        <v>481.0</v>
      </c>
      <c r="E213" s="11">
        <v>423.0</v>
      </c>
      <c r="F213" s="11">
        <v>470.0</v>
      </c>
      <c r="G213" s="11">
        <v>394.0</v>
      </c>
      <c r="H213" s="11" t="b">
        <f t="shared" si="1"/>
        <v>1</v>
      </c>
      <c r="I213" s="11">
        <v>607.0</v>
      </c>
      <c r="J213" s="11">
        <v>569.0</v>
      </c>
      <c r="K213" s="11">
        <v>582.0</v>
      </c>
      <c r="L213" s="11">
        <v>562.0</v>
      </c>
      <c r="M213" s="11" t="b">
        <f t="shared" si="2"/>
        <v>1</v>
      </c>
      <c r="N213" s="11">
        <v>446.0</v>
      </c>
      <c r="O213" s="11">
        <v>409.0</v>
      </c>
    </row>
    <row r="214" ht="15.75" customHeight="1">
      <c r="A214" s="5" t="s">
        <v>437</v>
      </c>
      <c r="B214" s="5" t="s">
        <v>439</v>
      </c>
      <c r="C214" s="5" t="s">
        <v>440</v>
      </c>
      <c r="D214" s="11">
        <v>350.0</v>
      </c>
      <c r="E214" s="11">
        <v>698.0</v>
      </c>
      <c r="F214" s="11">
        <v>361.0</v>
      </c>
      <c r="G214" s="11">
        <v>824.0</v>
      </c>
      <c r="H214" s="11" t="b">
        <f t="shared" si="1"/>
        <v>1</v>
      </c>
      <c r="I214" s="11">
        <v>479.0</v>
      </c>
      <c r="J214" s="11">
        <v>1065.0</v>
      </c>
      <c r="K214" s="11">
        <v>471.0</v>
      </c>
      <c r="L214" s="11">
        <v>1124.0</v>
      </c>
      <c r="M214" s="11" t="b">
        <f t="shared" si="2"/>
        <v>1</v>
      </c>
      <c r="N214" s="11">
        <v>382.0</v>
      </c>
      <c r="O214" s="11">
        <v>852.0</v>
      </c>
    </row>
    <row r="215" ht="15.75" customHeight="1">
      <c r="A215" s="5" t="s">
        <v>437</v>
      </c>
      <c r="B215" s="5" t="s">
        <v>441</v>
      </c>
      <c r="C215" s="5" t="s">
        <v>442</v>
      </c>
      <c r="D215" s="11">
        <v>1078.0</v>
      </c>
      <c r="E215" s="11">
        <v>1710.0</v>
      </c>
      <c r="F215" s="11">
        <v>1021.0</v>
      </c>
      <c r="G215" s="11">
        <v>1984.0</v>
      </c>
      <c r="H215" s="11" t="b">
        <f t="shared" si="1"/>
        <v>1</v>
      </c>
      <c r="I215" s="11">
        <v>1402.0</v>
      </c>
      <c r="J215" s="11">
        <v>2767.0</v>
      </c>
      <c r="K215" s="11">
        <v>1414.0</v>
      </c>
      <c r="L215" s="11">
        <v>2894.0</v>
      </c>
      <c r="M215" s="11" t="b">
        <f t="shared" si="2"/>
        <v>1</v>
      </c>
      <c r="N215" s="11">
        <v>1095.0</v>
      </c>
      <c r="O215" s="11">
        <v>2055.0</v>
      </c>
    </row>
    <row r="216" ht="15.75" customHeight="1">
      <c r="A216" s="5" t="s">
        <v>437</v>
      </c>
      <c r="B216" s="5" t="s">
        <v>443</v>
      </c>
      <c r="C216" s="5" t="s">
        <v>444</v>
      </c>
      <c r="D216" s="11">
        <v>356.0</v>
      </c>
      <c r="E216" s="11">
        <v>534.0</v>
      </c>
      <c r="F216" s="11">
        <v>380.0</v>
      </c>
      <c r="G216" s="11">
        <v>732.0</v>
      </c>
      <c r="H216" s="11" t="b">
        <f t="shared" si="1"/>
        <v>1</v>
      </c>
      <c r="I216" s="11">
        <v>458.0</v>
      </c>
      <c r="J216" s="11">
        <v>869.0</v>
      </c>
      <c r="K216" s="11">
        <v>521.0</v>
      </c>
      <c r="L216" s="11">
        <v>997.0</v>
      </c>
      <c r="M216" s="11" t="b">
        <f t="shared" si="2"/>
        <v>1</v>
      </c>
      <c r="N216" s="11">
        <v>413.0</v>
      </c>
      <c r="O216" s="11">
        <v>758.0</v>
      </c>
    </row>
    <row r="217" ht="15.75" customHeight="1">
      <c r="A217" s="5" t="s">
        <v>445</v>
      </c>
      <c r="B217" s="5" t="s">
        <v>446</v>
      </c>
      <c r="C217" s="5" t="s">
        <v>447</v>
      </c>
      <c r="D217" s="11">
        <v>224.0</v>
      </c>
      <c r="E217" s="11">
        <v>323.0</v>
      </c>
      <c r="F217" s="11">
        <v>526.0</v>
      </c>
      <c r="G217" s="11">
        <v>747.0</v>
      </c>
      <c r="H217" s="11" t="b">
        <f t="shared" si="1"/>
        <v>1</v>
      </c>
      <c r="I217" s="11">
        <v>659.0</v>
      </c>
      <c r="J217" s="11">
        <v>1038.0</v>
      </c>
      <c r="K217" s="11">
        <v>687.0</v>
      </c>
      <c r="L217" s="11">
        <v>1009.0</v>
      </c>
      <c r="M217" s="11" t="b">
        <f t="shared" si="2"/>
        <v>1</v>
      </c>
      <c r="N217" s="11">
        <v>583.0</v>
      </c>
      <c r="O217" s="11">
        <v>821.0</v>
      </c>
    </row>
    <row r="218" ht="15.75" customHeight="1">
      <c r="A218" s="5" t="s">
        <v>445</v>
      </c>
      <c r="B218" s="5" t="s">
        <v>446</v>
      </c>
      <c r="C218" s="5" t="s">
        <v>448</v>
      </c>
      <c r="D218" s="11">
        <v>560.0</v>
      </c>
      <c r="E218" s="11">
        <v>675.0</v>
      </c>
      <c r="F218" s="11">
        <v>648.0</v>
      </c>
      <c r="G218" s="11">
        <v>679.0</v>
      </c>
      <c r="H218" s="11" t="b">
        <f t="shared" si="1"/>
        <v>1</v>
      </c>
      <c r="I218" s="11">
        <v>804.0</v>
      </c>
      <c r="J218" s="11">
        <v>962.0</v>
      </c>
      <c r="K218" s="11">
        <v>824.0</v>
      </c>
      <c r="L218" s="11">
        <v>1009.0</v>
      </c>
      <c r="M218" s="11" t="b">
        <f t="shared" si="2"/>
        <v>1</v>
      </c>
      <c r="N218" s="11">
        <v>592.0</v>
      </c>
      <c r="O218" s="11">
        <v>721.0</v>
      </c>
    </row>
    <row r="219" ht="15.75" customHeight="1">
      <c r="A219" s="5" t="s">
        <v>445</v>
      </c>
      <c r="B219" s="5" t="s">
        <v>449</v>
      </c>
      <c r="C219" s="5" t="s">
        <v>450</v>
      </c>
      <c r="D219" s="11">
        <v>174.0</v>
      </c>
      <c r="E219" s="11">
        <v>218.0</v>
      </c>
      <c r="F219" s="11">
        <v>182.0</v>
      </c>
      <c r="G219" s="11">
        <v>220.0</v>
      </c>
      <c r="H219" s="11" t="b">
        <f t="shared" si="1"/>
        <v>1</v>
      </c>
      <c r="I219" s="11">
        <v>258.0</v>
      </c>
      <c r="J219" s="11">
        <v>340.0</v>
      </c>
      <c r="K219" s="11">
        <v>237.0</v>
      </c>
      <c r="L219" s="11">
        <v>342.0</v>
      </c>
      <c r="M219" s="11" t="b">
        <f t="shared" si="2"/>
        <v>1</v>
      </c>
      <c r="N219" s="11">
        <v>177.0</v>
      </c>
      <c r="O219" s="11">
        <v>231.0</v>
      </c>
    </row>
    <row r="220" ht="15.75" customHeight="1">
      <c r="A220" s="5" t="s">
        <v>445</v>
      </c>
      <c r="B220" s="5" t="s">
        <v>449</v>
      </c>
      <c r="C220" s="5" t="s">
        <v>451</v>
      </c>
      <c r="D220" s="11">
        <v>161.0</v>
      </c>
      <c r="E220" s="11">
        <v>199.0</v>
      </c>
      <c r="F220" s="11">
        <v>181.0</v>
      </c>
      <c r="G220" s="11">
        <v>208.0</v>
      </c>
      <c r="H220" s="11" t="b">
        <f t="shared" si="1"/>
        <v>1</v>
      </c>
      <c r="I220" s="11">
        <v>230.0</v>
      </c>
      <c r="J220" s="11">
        <v>298.0</v>
      </c>
      <c r="K220" s="11">
        <v>238.0</v>
      </c>
      <c r="L220" s="11">
        <v>312.0</v>
      </c>
      <c r="M220" s="11" t="b">
        <f t="shared" si="2"/>
        <v>1</v>
      </c>
      <c r="N220" s="11">
        <v>169.0</v>
      </c>
      <c r="O220" s="11">
        <v>209.0</v>
      </c>
    </row>
    <row r="221" ht="15.75" customHeight="1">
      <c r="A221" s="5" t="s">
        <v>445</v>
      </c>
      <c r="B221" s="5" t="s">
        <v>449</v>
      </c>
      <c r="C221" s="5" t="s">
        <v>452</v>
      </c>
      <c r="D221" s="11">
        <v>177.0</v>
      </c>
      <c r="E221" s="11">
        <v>240.0</v>
      </c>
      <c r="F221" s="11">
        <v>208.0</v>
      </c>
      <c r="G221" s="11">
        <v>253.0</v>
      </c>
      <c r="H221" s="11" t="b">
        <f t="shared" si="1"/>
        <v>1</v>
      </c>
      <c r="I221" s="11">
        <v>266.0</v>
      </c>
      <c r="J221" s="11">
        <v>361.0</v>
      </c>
      <c r="K221" s="11">
        <v>257.0</v>
      </c>
      <c r="L221" s="11">
        <v>361.0</v>
      </c>
      <c r="M221" s="11" t="b">
        <f t="shared" si="2"/>
        <v>1</v>
      </c>
      <c r="N221" s="11">
        <v>209.0</v>
      </c>
      <c r="O221" s="11">
        <v>282.0</v>
      </c>
    </row>
    <row r="222" ht="15.75" customHeight="1">
      <c r="A222" s="5" t="s">
        <v>445</v>
      </c>
      <c r="B222" s="5" t="s">
        <v>449</v>
      </c>
      <c r="C222" s="5" t="s">
        <v>453</v>
      </c>
      <c r="D222" s="11">
        <v>168.0</v>
      </c>
      <c r="E222" s="11">
        <v>236.0</v>
      </c>
      <c r="F222" s="11">
        <v>158.0</v>
      </c>
      <c r="G222" s="11">
        <v>247.0</v>
      </c>
      <c r="H222" s="11" t="b">
        <f t="shared" si="1"/>
        <v>1</v>
      </c>
      <c r="I222" s="11">
        <v>227.0</v>
      </c>
      <c r="J222" s="11">
        <v>357.0</v>
      </c>
      <c r="K222" s="11">
        <v>227.0</v>
      </c>
      <c r="L222" s="11">
        <v>349.0</v>
      </c>
      <c r="M222" s="11" t="b">
        <f t="shared" si="2"/>
        <v>1</v>
      </c>
      <c r="N222" s="11">
        <v>165.0</v>
      </c>
      <c r="O222" s="11">
        <v>250.0</v>
      </c>
    </row>
    <row r="223" ht="15.75" customHeight="1">
      <c r="A223" s="5" t="s">
        <v>445</v>
      </c>
      <c r="B223" s="5" t="s">
        <v>454</v>
      </c>
      <c r="C223" s="5" t="s">
        <v>455</v>
      </c>
      <c r="D223" s="11">
        <v>397.0</v>
      </c>
      <c r="E223" s="11">
        <v>477.0</v>
      </c>
      <c r="F223" s="11">
        <v>441.0</v>
      </c>
      <c r="G223" s="11">
        <v>513.0</v>
      </c>
      <c r="H223" s="11" t="b">
        <f t="shared" si="1"/>
        <v>1</v>
      </c>
      <c r="I223" s="11">
        <v>607.0</v>
      </c>
      <c r="J223" s="11">
        <v>763.0</v>
      </c>
      <c r="K223" s="11">
        <v>623.0</v>
      </c>
      <c r="L223" s="11">
        <v>726.0</v>
      </c>
      <c r="M223" s="11" t="b">
        <f t="shared" si="2"/>
        <v>1</v>
      </c>
      <c r="N223" s="11">
        <v>461.0</v>
      </c>
      <c r="O223" s="11">
        <v>555.0</v>
      </c>
    </row>
    <row r="224" ht="15.75" customHeight="1">
      <c r="A224" s="5" t="s">
        <v>445</v>
      </c>
      <c r="B224" s="5" t="s">
        <v>303</v>
      </c>
      <c r="C224" s="5" t="s">
        <v>456</v>
      </c>
      <c r="D224" s="11">
        <v>546.0</v>
      </c>
      <c r="E224" s="11">
        <v>362.0</v>
      </c>
      <c r="F224" s="11">
        <v>605.0</v>
      </c>
      <c r="G224" s="11">
        <v>353.0</v>
      </c>
      <c r="H224" s="11" t="b">
        <f t="shared" si="1"/>
        <v>1</v>
      </c>
      <c r="I224" s="11">
        <v>716.0</v>
      </c>
      <c r="J224" s="11">
        <v>461.0</v>
      </c>
      <c r="K224" s="11">
        <v>775.0</v>
      </c>
      <c r="L224" s="11">
        <v>447.0</v>
      </c>
      <c r="M224" s="11" t="b">
        <f t="shared" si="2"/>
        <v>1</v>
      </c>
      <c r="N224" s="11">
        <v>623.0</v>
      </c>
      <c r="O224" s="11">
        <v>364.0</v>
      </c>
    </row>
    <row r="225" ht="15.75" customHeight="1">
      <c r="A225" s="5" t="s">
        <v>445</v>
      </c>
      <c r="B225" s="5" t="s">
        <v>303</v>
      </c>
      <c r="C225" s="5" t="s">
        <v>457</v>
      </c>
      <c r="D225" s="11">
        <v>729.0</v>
      </c>
      <c r="E225" s="11">
        <v>532.0</v>
      </c>
      <c r="F225" s="11">
        <v>841.0</v>
      </c>
      <c r="G225" s="11">
        <v>547.0</v>
      </c>
      <c r="H225" s="11" t="b">
        <f t="shared" si="1"/>
        <v>1</v>
      </c>
      <c r="I225" s="11">
        <v>938.0</v>
      </c>
      <c r="J225" s="11">
        <v>701.0</v>
      </c>
      <c r="K225" s="11">
        <v>982.0</v>
      </c>
      <c r="L225" s="11">
        <v>684.0</v>
      </c>
      <c r="M225" s="11" t="b">
        <f t="shared" si="2"/>
        <v>1</v>
      </c>
      <c r="N225" s="11">
        <v>846.0</v>
      </c>
      <c r="O225" s="11">
        <v>579.0</v>
      </c>
    </row>
    <row r="226" ht="15.75" customHeight="1">
      <c r="A226" s="5" t="s">
        <v>445</v>
      </c>
      <c r="B226" s="5" t="s">
        <v>303</v>
      </c>
      <c r="C226" s="5" t="s">
        <v>458</v>
      </c>
      <c r="D226" s="11">
        <v>576.0</v>
      </c>
      <c r="E226" s="11">
        <v>319.0</v>
      </c>
      <c r="F226" s="11">
        <v>630.0</v>
      </c>
      <c r="G226" s="11">
        <v>301.0</v>
      </c>
      <c r="H226" s="11" t="b">
        <f t="shared" si="1"/>
        <v>1</v>
      </c>
      <c r="I226" s="11">
        <v>725.0</v>
      </c>
      <c r="J226" s="11">
        <v>436.0</v>
      </c>
      <c r="K226" s="11">
        <v>750.0</v>
      </c>
      <c r="L226" s="11">
        <v>421.0</v>
      </c>
      <c r="M226" s="11" t="b">
        <f t="shared" si="2"/>
        <v>1</v>
      </c>
      <c r="N226" s="11">
        <v>616.0</v>
      </c>
      <c r="O226" s="11">
        <v>342.0</v>
      </c>
    </row>
    <row r="227" ht="15.75" customHeight="1">
      <c r="A227" s="5" t="s">
        <v>445</v>
      </c>
      <c r="B227" s="5" t="s">
        <v>303</v>
      </c>
      <c r="C227" s="5" t="s">
        <v>461</v>
      </c>
      <c r="D227" s="11">
        <v>427.0</v>
      </c>
      <c r="E227" s="11">
        <v>226.0</v>
      </c>
      <c r="F227" s="11">
        <v>463.0</v>
      </c>
      <c r="G227" s="11">
        <v>238.0</v>
      </c>
      <c r="H227" s="11" t="b">
        <f t="shared" si="1"/>
        <v>1</v>
      </c>
      <c r="I227" s="11">
        <v>590.0</v>
      </c>
      <c r="J227" s="11">
        <v>343.0</v>
      </c>
      <c r="K227" s="11">
        <v>592.0</v>
      </c>
      <c r="L227" s="11">
        <v>337.0</v>
      </c>
      <c r="M227" s="11" t="b">
        <f t="shared" si="2"/>
        <v>1</v>
      </c>
      <c r="N227" s="11">
        <v>465.0</v>
      </c>
      <c r="O227" s="11">
        <v>266.0</v>
      </c>
    </row>
    <row r="228" ht="15.75" customHeight="1">
      <c r="A228" s="5" t="s">
        <v>445</v>
      </c>
      <c r="B228" s="5" t="s">
        <v>303</v>
      </c>
      <c r="C228" s="5" t="s">
        <v>462</v>
      </c>
      <c r="D228" s="11">
        <v>558.0</v>
      </c>
      <c r="E228" s="11">
        <v>365.0</v>
      </c>
      <c r="F228" s="11">
        <v>594.0</v>
      </c>
      <c r="G228" s="11">
        <v>383.0</v>
      </c>
      <c r="H228" s="11" t="b">
        <f t="shared" si="1"/>
        <v>1</v>
      </c>
      <c r="I228" s="11">
        <v>749.0</v>
      </c>
      <c r="J228" s="11">
        <v>533.0</v>
      </c>
      <c r="K228" s="11">
        <v>740.0</v>
      </c>
      <c r="L228" s="11">
        <v>506.0</v>
      </c>
      <c r="M228" s="11" t="b">
        <f t="shared" si="2"/>
        <v>1</v>
      </c>
      <c r="N228" s="11">
        <v>594.0</v>
      </c>
      <c r="O228" s="11">
        <v>389.0</v>
      </c>
    </row>
    <row r="229" ht="15.75" customHeight="1">
      <c r="A229" s="5" t="s">
        <v>445</v>
      </c>
      <c r="B229" s="5" t="s">
        <v>303</v>
      </c>
      <c r="C229" s="5" t="s">
        <v>463</v>
      </c>
      <c r="D229" s="11">
        <v>729.0</v>
      </c>
      <c r="E229" s="11">
        <v>408.0</v>
      </c>
      <c r="F229" s="11">
        <v>777.0</v>
      </c>
      <c r="G229" s="11">
        <v>422.0</v>
      </c>
      <c r="H229" s="11" t="b">
        <f t="shared" si="1"/>
        <v>1</v>
      </c>
      <c r="I229" s="11">
        <v>1033.0</v>
      </c>
      <c r="J229" s="11">
        <v>625.0</v>
      </c>
      <c r="K229" s="11">
        <v>1037.0</v>
      </c>
      <c r="L229" s="11">
        <v>623.0</v>
      </c>
      <c r="M229" s="11" t="b">
        <f t="shared" si="2"/>
        <v>1</v>
      </c>
      <c r="N229" s="11">
        <v>744.0</v>
      </c>
      <c r="O229" s="11">
        <v>442.0</v>
      </c>
    </row>
    <row r="230" ht="15.75" customHeight="1">
      <c r="A230" s="5" t="s">
        <v>445</v>
      </c>
      <c r="B230" s="5" t="s">
        <v>303</v>
      </c>
      <c r="C230" s="5" t="s">
        <v>464</v>
      </c>
      <c r="D230" s="11">
        <v>538.0</v>
      </c>
      <c r="E230" s="11">
        <v>401.0</v>
      </c>
      <c r="F230" s="11">
        <v>611.0</v>
      </c>
      <c r="G230" s="11">
        <v>412.0</v>
      </c>
      <c r="H230" s="11" t="b">
        <f t="shared" si="1"/>
        <v>1</v>
      </c>
      <c r="I230" s="11">
        <v>657.0</v>
      </c>
      <c r="J230" s="11">
        <v>507.0</v>
      </c>
      <c r="K230" s="11">
        <v>681.0</v>
      </c>
      <c r="L230" s="11">
        <v>513.0</v>
      </c>
      <c r="M230" s="11" t="b">
        <f t="shared" si="2"/>
        <v>1</v>
      </c>
      <c r="N230" s="11">
        <v>576.0</v>
      </c>
      <c r="O230" s="11">
        <v>429.0</v>
      </c>
    </row>
    <row r="231" ht="15.75" customHeight="1">
      <c r="A231" s="5" t="s">
        <v>445</v>
      </c>
      <c r="B231" s="5" t="s">
        <v>303</v>
      </c>
      <c r="C231" s="5" t="s">
        <v>465</v>
      </c>
      <c r="D231" s="11">
        <v>431.0</v>
      </c>
      <c r="E231" s="11">
        <v>243.0</v>
      </c>
      <c r="F231" s="11">
        <v>458.0</v>
      </c>
      <c r="G231" s="11">
        <v>241.0</v>
      </c>
      <c r="H231" s="11" t="b">
        <f t="shared" si="1"/>
        <v>1</v>
      </c>
      <c r="I231" s="11">
        <v>519.0</v>
      </c>
      <c r="J231" s="11">
        <v>325.0</v>
      </c>
      <c r="K231" s="11">
        <v>529.0</v>
      </c>
      <c r="L231" s="11">
        <v>293.0</v>
      </c>
      <c r="M231" s="11" t="b">
        <f t="shared" si="2"/>
        <v>1</v>
      </c>
      <c r="N231" s="11">
        <v>446.0</v>
      </c>
      <c r="O231" s="11">
        <v>252.0</v>
      </c>
    </row>
    <row r="232" ht="15.75" customHeight="1">
      <c r="A232" s="5" t="s">
        <v>445</v>
      </c>
      <c r="B232" s="5" t="s">
        <v>303</v>
      </c>
      <c r="C232" s="5" t="s">
        <v>466</v>
      </c>
      <c r="D232" s="11">
        <v>499.0</v>
      </c>
      <c r="E232" s="11">
        <v>266.0</v>
      </c>
      <c r="F232" s="11">
        <v>545.0</v>
      </c>
      <c r="G232" s="11">
        <v>242.0</v>
      </c>
      <c r="H232" s="11" t="b">
        <f t="shared" si="1"/>
        <v>1</v>
      </c>
      <c r="I232" s="11">
        <v>720.0</v>
      </c>
      <c r="J232" s="11">
        <v>395.0</v>
      </c>
      <c r="K232" s="11">
        <v>767.0</v>
      </c>
      <c r="L232" s="11">
        <v>384.0</v>
      </c>
      <c r="M232" s="11" t="b">
        <f t="shared" si="2"/>
        <v>1</v>
      </c>
      <c r="N232" s="11">
        <v>571.0</v>
      </c>
      <c r="O232" s="11">
        <v>292.0</v>
      </c>
    </row>
    <row r="233" ht="15.75" customHeight="1">
      <c r="A233" s="5" t="s">
        <v>445</v>
      </c>
      <c r="B233" s="5" t="s">
        <v>303</v>
      </c>
      <c r="C233" s="5" t="s">
        <v>467</v>
      </c>
      <c r="D233" s="11">
        <v>703.0</v>
      </c>
      <c r="E233" s="11">
        <v>380.0</v>
      </c>
      <c r="F233" s="11">
        <v>710.0</v>
      </c>
      <c r="G233" s="11">
        <v>403.0</v>
      </c>
      <c r="H233" s="11" t="b">
        <f t="shared" si="1"/>
        <v>1</v>
      </c>
      <c r="I233" s="11">
        <v>913.0</v>
      </c>
      <c r="J233" s="11">
        <v>572.0</v>
      </c>
      <c r="K233" s="11">
        <v>906.0</v>
      </c>
      <c r="L233" s="11">
        <v>586.0</v>
      </c>
      <c r="M233" s="11" t="b">
        <f t="shared" si="2"/>
        <v>1</v>
      </c>
      <c r="N233" s="11">
        <v>703.0</v>
      </c>
      <c r="O233" s="11">
        <v>428.0</v>
      </c>
    </row>
    <row r="234" ht="15.75" customHeight="1">
      <c r="A234" s="5" t="s">
        <v>445</v>
      </c>
      <c r="B234" s="5" t="s">
        <v>303</v>
      </c>
      <c r="C234" s="5" t="s">
        <v>468</v>
      </c>
      <c r="D234" s="11">
        <v>698.0</v>
      </c>
      <c r="E234" s="11">
        <v>185.0</v>
      </c>
      <c r="F234" s="11">
        <v>510.0</v>
      </c>
      <c r="G234" s="11">
        <v>227.0</v>
      </c>
      <c r="H234" s="11" t="b">
        <f t="shared" si="1"/>
        <v>1</v>
      </c>
      <c r="I234" s="11">
        <v>871.0</v>
      </c>
      <c r="J234" s="11">
        <v>392.0</v>
      </c>
      <c r="K234" s="11">
        <v>954.0</v>
      </c>
      <c r="L234" s="11">
        <v>416.0</v>
      </c>
      <c r="M234" s="11" t="b">
        <f t="shared" si="2"/>
        <v>1</v>
      </c>
      <c r="N234" s="11">
        <v>527.0</v>
      </c>
      <c r="O234" s="11">
        <v>213.0</v>
      </c>
    </row>
    <row r="235" ht="15.75" customHeight="1">
      <c r="A235" s="5" t="s">
        <v>445</v>
      </c>
      <c r="B235" s="5" t="s">
        <v>303</v>
      </c>
      <c r="C235" s="5" t="s">
        <v>469</v>
      </c>
      <c r="D235" s="11">
        <v>528.0</v>
      </c>
      <c r="E235" s="11">
        <v>284.0</v>
      </c>
      <c r="F235" s="11">
        <v>540.0</v>
      </c>
      <c r="G235" s="11">
        <v>307.0</v>
      </c>
      <c r="H235" s="11" t="b">
        <f t="shared" si="1"/>
        <v>1</v>
      </c>
      <c r="I235" s="11">
        <v>742.0</v>
      </c>
      <c r="J235" s="11">
        <v>450.0</v>
      </c>
      <c r="K235" s="11">
        <v>821.0</v>
      </c>
      <c r="L235" s="11">
        <v>474.0</v>
      </c>
      <c r="M235" s="11" t="b">
        <f t="shared" si="2"/>
        <v>1</v>
      </c>
      <c r="N235" s="11">
        <v>551.0</v>
      </c>
      <c r="O235" s="11">
        <v>320.0</v>
      </c>
    </row>
    <row r="236" ht="15.75" customHeight="1">
      <c r="A236" s="5" t="s">
        <v>445</v>
      </c>
      <c r="B236" s="5" t="s">
        <v>303</v>
      </c>
      <c r="C236" s="5" t="s">
        <v>470</v>
      </c>
      <c r="D236" s="11">
        <v>192.0</v>
      </c>
      <c r="E236" s="11">
        <v>42.0</v>
      </c>
      <c r="F236" s="11">
        <v>156.0</v>
      </c>
      <c r="G236" s="11">
        <v>54.0</v>
      </c>
      <c r="H236" s="11" t="b">
        <f t="shared" si="1"/>
        <v>1</v>
      </c>
      <c r="I236" s="11">
        <v>281.0</v>
      </c>
      <c r="J236" s="11">
        <v>98.0</v>
      </c>
      <c r="K236" s="11">
        <v>283.0</v>
      </c>
      <c r="L236" s="11">
        <v>110.0</v>
      </c>
      <c r="M236" s="11" t="b">
        <f t="shared" si="2"/>
        <v>1</v>
      </c>
      <c r="N236" s="11">
        <v>160.0</v>
      </c>
      <c r="O236" s="11">
        <v>55.0</v>
      </c>
    </row>
    <row r="237" ht="15.75" customHeight="1">
      <c r="A237" s="5" t="s">
        <v>445</v>
      </c>
      <c r="B237" s="5" t="s">
        <v>303</v>
      </c>
      <c r="C237" s="5" t="s">
        <v>471</v>
      </c>
      <c r="D237" s="11">
        <v>347.0</v>
      </c>
      <c r="E237" s="11">
        <v>88.0</v>
      </c>
      <c r="F237" s="11">
        <v>353.0</v>
      </c>
      <c r="G237" s="11">
        <v>92.0</v>
      </c>
      <c r="H237" s="11" t="b">
        <f t="shared" si="1"/>
        <v>1</v>
      </c>
      <c r="I237" s="11">
        <v>496.0</v>
      </c>
      <c r="J237" s="11">
        <v>159.0</v>
      </c>
      <c r="K237" s="11">
        <v>450.0</v>
      </c>
      <c r="L237" s="11">
        <v>179.0</v>
      </c>
      <c r="M237" s="11" t="b">
        <f t="shared" si="2"/>
        <v>1</v>
      </c>
      <c r="N237" s="11">
        <v>321.0</v>
      </c>
      <c r="O237" s="11">
        <v>120.0</v>
      </c>
    </row>
    <row r="238" ht="15.75" customHeight="1">
      <c r="A238" s="5" t="s">
        <v>445</v>
      </c>
      <c r="B238" s="5" t="s">
        <v>303</v>
      </c>
      <c r="C238" s="5" t="s">
        <v>473</v>
      </c>
      <c r="D238" s="11">
        <v>300.0</v>
      </c>
      <c r="E238" s="11">
        <v>70.0</v>
      </c>
      <c r="F238" s="11">
        <v>266.0</v>
      </c>
      <c r="G238" s="11">
        <v>88.0</v>
      </c>
      <c r="H238" s="11" t="b">
        <f t="shared" si="1"/>
        <v>1</v>
      </c>
      <c r="I238" s="11">
        <v>492.0</v>
      </c>
      <c r="J238" s="11">
        <v>174.0</v>
      </c>
      <c r="K238" s="11">
        <v>442.0</v>
      </c>
      <c r="L238" s="11">
        <v>161.0</v>
      </c>
      <c r="M238" s="11" t="b">
        <f t="shared" si="2"/>
        <v>1</v>
      </c>
      <c r="N238" s="11">
        <v>270.0</v>
      </c>
      <c r="O238" s="11">
        <v>98.0</v>
      </c>
    </row>
    <row r="239" ht="15.75" customHeight="1">
      <c r="A239" s="5" t="s">
        <v>445</v>
      </c>
      <c r="B239" s="5" t="s">
        <v>303</v>
      </c>
      <c r="C239" s="5" t="s">
        <v>474</v>
      </c>
      <c r="D239" s="11">
        <v>371.0</v>
      </c>
      <c r="E239" s="11">
        <v>92.0</v>
      </c>
      <c r="F239" s="11">
        <v>353.0</v>
      </c>
      <c r="G239" s="11">
        <v>88.0</v>
      </c>
      <c r="H239" s="11" t="b">
        <f t="shared" si="1"/>
        <v>1</v>
      </c>
      <c r="I239" s="11">
        <v>697.0</v>
      </c>
      <c r="J239" s="11">
        <v>210.0</v>
      </c>
      <c r="K239" s="11">
        <v>599.0</v>
      </c>
      <c r="L239" s="11">
        <v>203.0</v>
      </c>
      <c r="M239" s="11" t="b">
        <f t="shared" si="2"/>
        <v>1</v>
      </c>
      <c r="N239" s="11">
        <v>368.0</v>
      </c>
      <c r="O239" s="11">
        <v>106.0</v>
      </c>
    </row>
    <row r="240" ht="15.75" customHeight="1">
      <c r="A240" s="5" t="s">
        <v>445</v>
      </c>
      <c r="B240" s="5" t="s">
        <v>303</v>
      </c>
      <c r="C240" s="5" t="s">
        <v>475</v>
      </c>
      <c r="D240" s="11">
        <v>725.0</v>
      </c>
      <c r="E240" s="11">
        <v>156.0</v>
      </c>
      <c r="F240" s="11">
        <v>691.0</v>
      </c>
      <c r="G240" s="11">
        <v>98.0</v>
      </c>
      <c r="H240" s="11" t="b">
        <f t="shared" si="1"/>
        <v>1</v>
      </c>
      <c r="I240" s="11">
        <v>943.0</v>
      </c>
      <c r="J240" s="11">
        <v>204.0</v>
      </c>
      <c r="K240" s="11">
        <v>1506.0</v>
      </c>
      <c r="L240" s="11">
        <v>338.0</v>
      </c>
      <c r="M240" s="11" t="b">
        <f t="shared" si="2"/>
        <v>1</v>
      </c>
      <c r="N240" s="11">
        <v>690.0</v>
      </c>
      <c r="O240" s="11">
        <v>146.0</v>
      </c>
    </row>
    <row r="241" ht="15.75" customHeight="1">
      <c r="A241" s="5" t="s">
        <v>445</v>
      </c>
      <c r="B241" s="5" t="s">
        <v>303</v>
      </c>
      <c r="C241" s="5" t="s">
        <v>476</v>
      </c>
      <c r="D241" s="11">
        <v>394.0</v>
      </c>
      <c r="E241" s="11">
        <v>90.0</v>
      </c>
      <c r="F241" s="11">
        <v>370.0</v>
      </c>
      <c r="G241" s="11">
        <v>96.0</v>
      </c>
      <c r="H241" s="11" t="b">
        <f t="shared" si="1"/>
        <v>1</v>
      </c>
      <c r="I241" s="11">
        <v>726.0</v>
      </c>
      <c r="J241" s="11">
        <v>224.0</v>
      </c>
      <c r="K241" s="11">
        <v>645.0</v>
      </c>
      <c r="L241" s="11">
        <v>243.0</v>
      </c>
      <c r="M241" s="11" t="b">
        <f t="shared" si="2"/>
        <v>1</v>
      </c>
      <c r="N241" s="11">
        <v>390.0</v>
      </c>
      <c r="O241" s="11">
        <v>118.0</v>
      </c>
    </row>
    <row r="242" ht="15.75" customHeight="1">
      <c r="A242" s="5" t="s">
        <v>445</v>
      </c>
      <c r="B242" s="5" t="s">
        <v>303</v>
      </c>
      <c r="C242" s="5" t="s">
        <v>477</v>
      </c>
      <c r="D242" s="11">
        <v>444.0</v>
      </c>
      <c r="E242" s="11">
        <v>109.0</v>
      </c>
      <c r="F242" s="11">
        <v>378.0</v>
      </c>
      <c r="G242" s="11">
        <v>119.0</v>
      </c>
      <c r="H242" s="11" t="b">
        <f t="shared" si="1"/>
        <v>1</v>
      </c>
      <c r="I242" s="11">
        <v>685.0</v>
      </c>
      <c r="J242" s="11">
        <v>229.0</v>
      </c>
      <c r="K242" s="11">
        <v>628.0</v>
      </c>
      <c r="L242" s="11">
        <v>267.0</v>
      </c>
      <c r="M242" s="11" t="b">
        <f t="shared" si="2"/>
        <v>1</v>
      </c>
      <c r="N242" s="11">
        <v>370.0</v>
      </c>
      <c r="O242" s="11">
        <v>129.0</v>
      </c>
    </row>
    <row r="243" ht="15.75" customHeight="1">
      <c r="A243" s="5" t="s">
        <v>445</v>
      </c>
      <c r="B243" s="5" t="s">
        <v>303</v>
      </c>
      <c r="C243" s="5" t="s">
        <v>478</v>
      </c>
      <c r="D243" s="11">
        <v>376.0</v>
      </c>
      <c r="E243" s="11">
        <v>142.0</v>
      </c>
      <c r="F243" s="11">
        <v>412.0</v>
      </c>
      <c r="G243" s="11">
        <v>152.0</v>
      </c>
      <c r="H243" s="11" t="b">
        <f t="shared" si="1"/>
        <v>1</v>
      </c>
      <c r="I243" s="11">
        <v>417.0</v>
      </c>
      <c r="J243" s="11">
        <v>174.0</v>
      </c>
      <c r="K243" s="11">
        <v>473.0</v>
      </c>
      <c r="L243" s="11">
        <v>153.0</v>
      </c>
      <c r="M243" s="11" t="b">
        <f t="shared" si="2"/>
        <v>1</v>
      </c>
      <c r="N243" s="11">
        <v>392.0</v>
      </c>
      <c r="O243" s="11">
        <v>142.0</v>
      </c>
    </row>
    <row r="244" ht="15.75" customHeight="1">
      <c r="A244" s="5" t="s">
        <v>445</v>
      </c>
      <c r="B244" s="5" t="s">
        <v>303</v>
      </c>
      <c r="C244" s="5" t="s">
        <v>479</v>
      </c>
      <c r="D244" s="11">
        <v>518.0</v>
      </c>
      <c r="E244" s="11">
        <v>180.0</v>
      </c>
      <c r="F244" s="11">
        <v>546.0</v>
      </c>
      <c r="G244" s="11">
        <v>190.0</v>
      </c>
      <c r="H244" s="11" t="b">
        <f t="shared" si="1"/>
        <v>1</v>
      </c>
      <c r="I244" s="11">
        <v>756.0</v>
      </c>
      <c r="J244" s="11">
        <v>301.0</v>
      </c>
      <c r="K244" s="11">
        <v>745.0</v>
      </c>
      <c r="L244" s="11">
        <v>301.0</v>
      </c>
      <c r="M244" s="11" t="b">
        <f t="shared" si="2"/>
        <v>1</v>
      </c>
      <c r="N244" s="11">
        <v>580.0</v>
      </c>
      <c r="O244" s="11">
        <v>218.0</v>
      </c>
    </row>
    <row r="245" ht="15.75" customHeight="1">
      <c r="A245" s="5" t="s">
        <v>445</v>
      </c>
      <c r="B245" s="5" t="s">
        <v>303</v>
      </c>
      <c r="C245" s="5" t="s">
        <v>480</v>
      </c>
      <c r="D245" s="11">
        <v>458.0</v>
      </c>
      <c r="E245" s="11">
        <v>170.0</v>
      </c>
      <c r="F245" s="11">
        <v>483.0</v>
      </c>
      <c r="G245" s="11">
        <v>192.0</v>
      </c>
      <c r="H245" s="11" t="b">
        <f t="shared" si="1"/>
        <v>1</v>
      </c>
      <c r="I245" s="11">
        <v>678.0</v>
      </c>
      <c r="J245" s="11">
        <v>289.0</v>
      </c>
      <c r="K245" s="11">
        <v>682.0</v>
      </c>
      <c r="L245" s="11">
        <v>313.0</v>
      </c>
      <c r="M245" s="11" t="b">
        <f t="shared" si="2"/>
        <v>1</v>
      </c>
      <c r="N245" s="11">
        <v>472.0</v>
      </c>
      <c r="O245" s="11">
        <v>210.0</v>
      </c>
    </row>
    <row r="246" ht="15.75" customHeight="1">
      <c r="A246" s="5" t="s">
        <v>445</v>
      </c>
      <c r="B246" s="5" t="s">
        <v>303</v>
      </c>
      <c r="C246" s="5" t="s">
        <v>481</v>
      </c>
      <c r="D246" s="11">
        <v>477.0</v>
      </c>
      <c r="E246" s="11">
        <v>241.0</v>
      </c>
      <c r="F246" s="11">
        <v>563.0</v>
      </c>
      <c r="G246" s="11">
        <v>231.0</v>
      </c>
      <c r="H246" s="11" t="b">
        <f t="shared" si="1"/>
        <v>1</v>
      </c>
      <c r="I246" s="11">
        <v>683.0</v>
      </c>
      <c r="J246" s="11">
        <v>340.0</v>
      </c>
      <c r="K246" s="11">
        <v>711.0</v>
      </c>
      <c r="L246" s="11">
        <v>341.0</v>
      </c>
      <c r="M246" s="11" t="b">
        <f t="shared" si="2"/>
        <v>1</v>
      </c>
      <c r="N246" s="11">
        <v>533.0</v>
      </c>
      <c r="O246" s="11">
        <v>252.0</v>
      </c>
    </row>
    <row r="247" ht="15.75" customHeight="1">
      <c r="A247" s="5" t="s">
        <v>445</v>
      </c>
      <c r="B247" s="5" t="s">
        <v>303</v>
      </c>
      <c r="C247" s="5" t="s">
        <v>482</v>
      </c>
      <c r="D247" s="11">
        <v>445.0</v>
      </c>
      <c r="E247" s="11">
        <v>194.0</v>
      </c>
      <c r="F247" s="11"/>
      <c r="G247" s="11"/>
      <c r="H247" s="11" t="b">
        <f t="shared" si="1"/>
        <v>0</v>
      </c>
      <c r="I247" s="11">
        <v>301.0</v>
      </c>
      <c r="J247" s="11">
        <v>166.0</v>
      </c>
      <c r="K247" s="11"/>
      <c r="L247" s="11"/>
      <c r="M247" s="11" t="b">
        <f t="shared" si="2"/>
        <v>0</v>
      </c>
      <c r="N247" s="11">
        <v>945.0</v>
      </c>
      <c r="O247" s="11">
        <v>483.0</v>
      </c>
    </row>
    <row r="248" ht="15.75" customHeight="1">
      <c r="A248" s="5" t="s">
        <v>445</v>
      </c>
      <c r="B248" s="5" t="s">
        <v>483</v>
      </c>
      <c r="C248" s="5" t="s">
        <v>484</v>
      </c>
      <c r="D248" s="11">
        <v>336.0</v>
      </c>
      <c r="E248" s="11">
        <v>322.0</v>
      </c>
      <c r="F248" s="11">
        <v>374.0</v>
      </c>
      <c r="G248" s="11">
        <v>338.0</v>
      </c>
      <c r="H248" s="11" t="b">
        <f t="shared" si="1"/>
        <v>1</v>
      </c>
      <c r="I248" s="11">
        <v>427.0</v>
      </c>
      <c r="J248" s="11">
        <v>423.0</v>
      </c>
      <c r="K248" s="11">
        <v>466.0</v>
      </c>
      <c r="L248" s="11">
        <v>405.0</v>
      </c>
      <c r="M248" s="11" t="b">
        <f t="shared" si="2"/>
        <v>1</v>
      </c>
      <c r="N248" s="11">
        <v>376.0</v>
      </c>
      <c r="O248" s="11">
        <v>343.0</v>
      </c>
    </row>
    <row r="249" ht="15.75" customHeight="1">
      <c r="A249" s="5" t="s">
        <v>445</v>
      </c>
      <c r="B249" s="5" t="s">
        <v>483</v>
      </c>
      <c r="C249" s="5" t="s">
        <v>485</v>
      </c>
      <c r="D249" s="11">
        <v>437.0</v>
      </c>
      <c r="E249" s="11">
        <v>410.0</v>
      </c>
      <c r="F249" s="11">
        <v>485.0</v>
      </c>
      <c r="G249" s="11">
        <v>421.0</v>
      </c>
      <c r="H249" s="11" t="b">
        <f t="shared" si="1"/>
        <v>1</v>
      </c>
      <c r="I249" s="11">
        <v>553.0</v>
      </c>
      <c r="J249" s="11">
        <v>540.0</v>
      </c>
      <c r="K249" s="11">
        <v>552.0</v>
      </c>
      <c r="L249" s="11">
        <v>506.0</v>
      </c>
      <c r="M249" s="11" t="b">
        <f t="shared" si="2"/>
        <v>1</v>
      </c>
      <c r="N249" s="11">
        <v>483.0</v>
      </c>
      <c r="O249" s="11">
        <v>446.0</v>
      </c>
    </row>
    <row r="250" ht="15.75" customHeight="1">
      <c r="A250" s="5" t="s">
        <v>445</v>
      </c>
      <c r="B250" s="5" t="s">
        <v>483</v>
      </c>
      <c r="C250" s="5" t="s">
        <v>488</v>
      </c>
      <c r="D250" s="11">
        <v>459.0</v>
      </c>
      <c r="E250" s="11">
        <v>350.0</v>
      </c>
      <c r="F250" s="11">
        <v>523.0</v>
      </c>
      <c r="G250" s="11">
        <v>389.0</v>
      </c>
      <c r="H250" s="11" t="b">
        <f t="shared" si="1"/>
        <v>1</v>
      </c>
      <c r="I250" s="11">
        <v>675.0</v>
      </c>
      <c r="J250" s="11">
        <v>571.0</v>
      </c>
      <c r="K250" s="11">
        <v>722.0</v>
      </c>
      <c r="L250" s="11">
        <v>596.0</v>
      </c>
      <c r="M250" s="11" t="b">
        <f t="shared" si="2"/>
        <v>1</v>
      </c>
      <c r="N250" s="11">
        <v>544.0</v>
      </c>
      <c r="O250" s="11">
        <v>446.0</v>
      </c>
    </row>
    <row r="251" ht="15.75" customHeight="1">
      <c r="A251" s="5" t="s">
        <v>445</v>
      </c>
      <c r="B251" s="5" t="s">
        <v>483</v>
      </c>
      <c r="C251" s="5" t="s">
        <v>489</v>
      </c>
      <c r="D251" s="11">
        <v>188.0</v>
      </c>
      <c r="E251" s="11">
        <v>207.0</v>
      </c>
      <c r="F251" s="11">
        <v>232.0</v>
      </c>
      <c r="G251" s="11">
        <v>250.0</v>
      </c>
      <c r="H251" s="11" t="b">
        <f t="shared" si="1"/>
        <v>1</v>
      </c>
      <c r="I251" s="11">
        <v>291.0</v>
      </c>
      <c r="J251" s="11">
        <v>331.0</v>
      </c>
      <c r="K251" s="11">
        <v>339.0</v>
      </c>
      <c r="L251" s="11">
        <v>338.0</v>
      </c>
      <c r="M251" s="11" t="b">
        <f t="shared" si="2"/>
        <v>1</v>
      </c>
      <c r="N251" s="11">
        <v>257.0</v>
      </c>
      <c r="O251" s="11">
        <v>257.0</v>
      </c>
    </row>
    <row r="252" ht="15.75" customHeight="1">
      <c r="A252" s="5" t="s">
        <v>445</v>
      </c>
      <c r="B252" s="5" t="s">
        <v>483</v>
      </c>
      <c r="C252" s="5" t="s">
        <v>490</v>
      </c>
      <c r="D252" s="11">
        <v>393.0</v>
      </c>
      <c r="E252" s="11">
        <v>307.0</v>
      </c>
      <c r="F252" s="11">
        <v>435.0</v>
      </c>
      <c r="G252" s="11">
        <v>317.0</v>
      </c>
      <c r="H252" s="11" t="b">
        <f t="shared" si="1"/>
        <v>1</v>
      </c>
      <c r="I252" s="11">
        <v>590.0</v>
      </c>
      <c r="J252" s="11">
        <v>484.0</v>
      </c>
      <c r="K252" s="11">
        <v>579.0</v>
      </c>
      <c r="L252" s="11">
        <v>482.0</v>
      </c>
      <c r="M252" s="11" t="b">
        <f t="shared" si="2"/>
        <v>1</v>
      </c>
      <c r="N252" s="11">
        <v>440.0</v>
      </c>
      <c r="O252" s="11">
        <v>352.0</v>
      </c>
    </row>
    <row r="253" ht="15.75" customHeight="1">
      <c r="A253" s="5" t="s">
        <v>445</v>
      </c>
      <c r="B253" s="5" t="s">
        <v>483</v>
      </c>
      <c r="C253" s="5" t="s">
        <v>491</v>
      </c>
      <c r="D253" s="11">
        <v>397.0</v>
      </c>
      <c r="E253" s="11">
        <v>322.0</v>
      </c>
      <c r="F253" s="11">
        <v>437.0</v>
      </c>
      <c r="G253" s="11">
        <v>364.0</v>
      </c>
      <c r="H253" s="11" t="b">
        <f t="shared" si="1"/>
        <v>1</v>
      </c>
      <c r="I253" s="11">
        <v>552.0</v>
      </c>
      <c r="J253" s="11">
        <v>507.0</v>
      </c>
      <c r="K253" s="11">
        <v>562.0</v>
      </c>
      <c r="L253" s="11">
        <v>525.0</v>
      </c>
      <c r="M253" s="11" t="b">
        <f t="shared" si="2"/>
        <v>1</v>
      </c>
      <c r="N253" s="11">
        <v>440.0</v>
      </c>
      <c r="O253" s="11">
        <v>400.0</v>
      </c>
    </row>
    <row r="254" ht="15.75" customHeight="1">
      <c r="A254" s="5" t="s">
        <v>445</v>
      </c>
      <c r="B254" s="5" t="s">
        <v>483</v>
      </c>
      <c r="C254" s="5" t="s">
        <v>492</v>
      </c>
      <c r="D254" s="11">
        <v>227.0</v>
      </c>
      <c r="E254" s="11">
        <v>210.0</v>
      </c>
      <c r="F254" s="11">
        <v>279.0</v>
      </c>
      <c r="G254" s="11">
        <v>214.0</v>
      </c>
      <c r="H254" s="11" t="b">
        <f t="shared" si="1"/>
        <v>1</v>
      </c>
      <c r="I254" s="11">
        <v>333.0</v>
      </c>
      <c r="J254" s="11">
        <v>302.0</v>
      </c>
      <c r="K254" s="11">
        <v>337.0</v>
      </c>
      <c r="L254" s="11">
        <v>296.0</v>
      </c>
      <c r="M254" s="11" t="b">
        <f t="shared" si="2"/>
        <v>1</v>
      </c>
      <c r="N254" s="11">
        <v>276.0</v>
      </c>
      <c r="O254" s="11">
        <v>238.0</v>
      </c>
    </row>
    <row r="255" ht="15.75" customHeight="1">
      <c r="A255" s="5" t="s">
        <v>445</v>
      </c>
      <c r="B255" s="5" t="s">
        <v>483</v>
      </c>
      <c r="C255" s="5" t="s">
        <v>493</v>
      </c>
      <c r="D255" s="11">
        <v>358.0</v>
      </c>
      <c r="E255" s="11">
        <v>259.0</v>
      </c>
      <c r="F255" s="11">
        <v>374.0</v>
      </c>
      <c r="G255" s="11">
        <v>251.0</v>
      </c>
      <c r="H255" s="11" t="b">
        <f t="shared" si="1"/>
        <v>1</v>
      </c>
      <c r="I255" s="11">
        <v>505.0</v>
      </c>
      <c r="J255" s="11">
        <v>391.0</v>
      </c>
      <c r="K255" s="11">
        <v>517.0</v>
      </c>
      <c r="L255" s="11">
        <v>388.0</v>
      </c>
      <c r="M255" s="11" t="b">
        <f t="shared" si="2"/>
        <v>1</v>
      </c>
      <c r="N255" s="11">
        <v>402.0</v>
      </c>
      <c r="O255" s="11">
        <v>304.0</v>
      </c>
    </row>
    <row r="256" ht="15.75" customHeight="1">
      <c r="A256" s="5" t="s">
        <v>445</v>
      </c>
      <c r="B256" s="5" t="s">
        <v>483</v>
      </c>
      <c r="C256" s="5" t="s">
        <v>494</v>
      </c>
      <c r="D256" s="11">
        <v>233.0</v>
      </c>
      <c r="E256" s="11">
        <v>162.0</v>
      </c>
      <c r="F256" s="11">
        <v>245.0</v>
      </c>
      <c r="G256" s="11">
        <v>160.0</v>
      </c>
      <c r="H256" s="11" t="b">
        <f t="shared" si="1"/>
        <v>1</v>
      </c>
      <c r="I256" s="11">
        <v>313.0</v>
      </c>
      <c r="J256" s="11">
        <v>235.0</v>
      </c>
      <c r="K256" s="11">
        <v>329.0</v>
      </c>
      <c r="L256" s="11">
        <v>217.0</v>
      </c>
      <c r="M256" s="11" t="b">
        <f t="shared" si="2"/>
        <v>1</v>
      </c>
      <c r="N256" s="11">
        <v>259.0</v>
      </c>
      <c r="O256" s="11">
        <v>170.0</v>
      </c>
    </row>
    <row r="257" ht="15.75" customHeight="1">
      <c r="A257" s="5" t="s">
        <v>445</v>
      </c>
      <c r="B257" s="5" t="s">
        <v>483</v>
      </c>
      <c r="C257" s="5" t="s">
        <v>495</v>
      </c>
      <c r="D257" s="11">
        <v>247.0</v>
      </c>
      <c r="E257" s="11">
        <v>253.0</v>
      </c>
      <c r="F257" s="11">
        <v>276.0</v>
      </c>
      <c r="G257" s="11">
        <v>276.0</v>
      </c>
      <c r="H257" s="11" t="b">
        <f t="shared" si="1"/>
        <v>1</v>
      </c>
      <c r="I257" s="11">
        <v>325.0</v>
      </c>
      <c r="J257" s="11">
        <v>363.0</v>
      </c>
      <c r="K257" s="11">
        <v>352.0</v>
      </c>
      <c r="L257" s="11">
        <v>326.0</v>
      </c>
      <c r="M257" s="11" t="b">
        <f t="shared" si="2"/>
        <v>1</v>
      </c>
      <c r="N257" s="11">
        <v>275.0</v>
      </c>
      <c r="O257" s="11">
        <v>269.0</v>
      </c>
    </row>
    <row r="258" ht="15.75" customHeight="1">
      <c r="A258" s="5" t="s">
        <v>445</v>
      </c>
      <c r="B258" s="5" t="s">
        <v>483</v>
      </c>
      <c r="C258" s="5" t="s">
        <v>496</v>
      </c>
      <c r="D258" s="11">
        <v>300.0</v>
      </c>
      <c r="E258" s="11">
        <v>253.0</v>
      </c>
      <c r="F258" s="11">
        <v>353.0</v>
      </c>
      <c r="G258" s="11">
        <v>293.0</v>
      </c>
      <c r="H258" s="11" t="b">
        <f t="shared" si="1"/>
        <v>1</v>
      </c>
      <c r="I258" s="11">
        <v>415.0</v>
      </c>
      <c r="J258" s="11">
        <v>381.0</v>
      </c>
      <c r="K258" s="11">
        <v>420.0</v>
      </c>
      <c r="L258" s="11">
        <v>378.0</v>
      </c>
      <c r="M258" s="11" t="b">
        <f t="shared" si="2"/>
        <v>1</v>
      </c>
      <c r="N258" s="11">
        <v>348.0</v>
      </c>
      <c r="O258" s="11">
        <v>305.0</v>
      </c>
    </row>
    <row r="259" ht="15.75" customHeight="1">
      <c r="A259" s="5" t="s">
        <v>445</v>
      </c>
      <c r="B259" s="5" t="s">
        <v>483</v>
      </c>
      <c r="C259" s="5" t="s">
        <v>498</v>
      </c>
      <c r="D259" s="11">
        <v>369.0</v>
      </c>
      <c r="E259" s="11">
        <v>277.0</v>
      </c>
      <c r="F259" s="11">
        <v>400.0</v>
      </c>
      <c r="G259" s="11">
        <v>303.0</v>
      </c>
      <c r="H259" s="11" t="b">
        <f t="shared" si="1"/>
        <v>1</v>
      </c>
      <c r="I259" s="11">
        <v>495.0</v>
      </c>
      <c r="J259" s="11">
        <v>397.0</v>
      </c>
      <c r="K259" s="11">
        <v>522.0</v>
      </c>
      <c r="L259" s="11">
        <v>400.0</v>
      </c>
      <c r="M259" s="11" t="b">
        <f t="shared" si="2"/>
        <v>1</v>
      </c>
      <c r="N259" s="11">
        <v>437.0</v>
      </c>
      <c r="O259" s="11">
        <v>333.0</v>
      </c>
    </row>
    <row r="260" ht="15.75" customHeight="1">
      <c r="A260" s="5" t="s">
        <v>445</v>
      </c>
      <c r="B260" s="5" t="s">
        <v>483</v>
      </c>
      <c r="C260" s="5" t="s">
        <v>499</v>
      </c>
      <c r="D260" s="11">
        <v>314.0</v>
      </c>
      <c r="E260" s="11">
        <v>312.0</v>
      </c>
      <c r="F260" s="11">
        <v>356.0</v>
      </c>
      <c r="G260" s="11">
        <v>330.0</v>
      </c>
      <c r="H260" s="11" t="b">
        <f t="shared" si="1"/>
        <v>1</v>
      </c>
      <c r="I260" s="11">
        <v>415.0</v>
      </c>
      <c r="J260" s="11">
        <v>452.0</v>
      </c>
      <c r="K260" s="11">
        <v>436.0</v>
      </c>
      <c r="L260" s="11">
        <v>423.0</v>
      </c>
      <c r="M260" s="11" t="b">
        <f t="shared" si="2"/>
        <v>1</v>
      </c>
      <c r="N260" s="11">
        <v>337.0</v>
      </c>
      <c r="O260" s="11">
        <v>330.0</v>
      </c>
    </row>
    <row r="261" ht="15.75" customHeight="1">
      <c r="A261" s="5" t="s">
        <v>445</v>
      </c>
      <c r="B261" s="5" t="s">
        <v>483</v>
      </c>
      <c r="C261" s="5" t="s">
        <v>500</v>
      </c>
      <c r="D261" s="11">
        <v>701.0</v>
      </c>
      <c r="E261" s="11">
        <v>553.0</v>
      </c>
      <c r="F261" s="11">
        <v>719.0</v>
      </c>
      <c r="G261" s="11">
        <v>538.0</v>
      </c>
      <c r="H261" s="11" t="b">
        <f t="shared" si="1"/>
        <v>1</v>
      </c>
      <c r="I261" s="11">
        <v>955.0</v>
      </c>
      <c r="J261" s="11">
        <v>776.0</v>
      </c>
      <c r="K261" s="11">
        <v>925.0</v>
      </c>
      <c r="L261" s="11">
        <v>710.0</v>
      </c>
      <c r="M261" s="11" t="b">
        <f t="shared" si="2"/>
        <v>1</v>
      </c>
      <c r="N261" s="11">
        <v>749.0</v>
      </c>
      <c r="O261" s="11">
        <v>577.0</v>
      </c>
    </row>
    <row r="262" ht="15.75" customHeight="1">
      <c r="A262" s="5" t="s">
        <v>445</v>
      </c>
      <c r="B262" s="5" t="s">
        <v>483</v>
      </c>
      <c r="C262" s="5" t="s">
        <v>501</v>
      </c>
      <c r="D262" s="11">
        <v>326.0</v>
      </c>
      <c r="E262" s="11">
        <v>354.0</v>
      </c>
      <c r="F262" s="11">
        <v>391.0</v>
      </c>
      <c r="G262" s="11">
        <v>384.0</v>
      </c>
      <c r="H262" s="11" t="b">
        <f t="shared" si="1"/>
        <v>1</v>
      </c>
      <c r="I262" s="11">
        <v>483.0</v>
      </c>
      <c r="J262" s="11">
        <v>536.0</v>
      </c>
      <c r="K262" s="11">
        <v>535.0</v>
      </c>
      <c r="L262" s="11">
        <v>514.0</v>
      </c>
      <c r="M262" s="11" t="b">
        <f t="shared" si="2"/>
        <v>1</v>
      </c>
      <c r="N262" s="11">
        <v>404.0</v>
      </c>
      <c r="O262" s="11">
        <v>398.0</v>
      </c>
    </row>
    <row r="263" ht="15.75" customHeight="1">
      <c r="A263" s="5" t="s">
        <v>445</v>
      </c>
      <c r="B263" s="5" t="s">
        <v>483</v>
      </c>
      <c r="C263" s="5" t="s">
        <v>502</v>
      </c>
      <c r="D263" s="11">
        <v>367.0</v>
      </c>
      <c r="E263" s="11">
        <v>350.0</v>
      </c>
      <c r="F263" s="11">
        <v>395.0</v>
      </c>
      <c r="G263" s="11">
        <v>387.0</v>
      </c>
      <c r="H263" s="11" t="b">
        <f t="shared" si="1"/>
        <v>1</v>
      </c>
      <c r="I263" s="11">
        <v>450.0</v>
      </c>
      <c r="J263" s="11">
        <v>489.0</v>
      </c>
      <c r="K263" s="11">
        <v>499.0</v>
      </c>
      <c r="L263" s="11">
        <v>468.0</v>
      </c>
      <c r="M263" s="11" t="b">
        <f t="shared" si="2"/>
        <v>1</v>
      </c>
      <c r="N263" s="11">
        <v>400.0</v>
      </c>
      <c r="O263" s="11">
        <v>383.0</v>
      </c>
    </row>
    <row r="264" ht="15.75" customHeight="1">
      <c r="A264" s="5" t="s">
        <v>445</v>
      </c>
      <c r="B264" s="5" t="s">
        <v>483</v>
      </c>
      <c r="C264" s="5" t="s">
        <v>503</v>
      </c>
      <c r="D264" s="11">
        <v>356.0</v>
      </c>
      <c r="E264" s="11">
        <v>327.0</v>
      </c>
      <c r="F264" s="11">
        <v>407.0</v>
      </c>
      <c r="G264" s="11">
        <v>347.0</v>
      </c>
      <c r="H264" s="11" t="b">
        <f t="shared" si="1"/>
        <v>1</v>
      </c>
      <c r="I264" s="11">
        <v>491.0</v>
      </c>
      <c r="J264" s="11">
        <v>474.0</v>
      </c>
      <c r="K264" s="11">
        <v>503.0</v>
      </c>
      <c r="L264" s="11">
        <v>468.0</v>
      </c>
      <c r="M264" s="11" t="b">
        <f t="shared" si="2"/>
        <v>1</v>
      </c>
      <c r="N264" s="11">
        <v>395.0</v>
      </c>
      <c r="O264" s="11">
        <v>362.0</v>
      </c>
    </row>
    <row r="265" ht="15.75" customHeight="1">
      <c r="A265" s="5" t="s">
        <v>445</v>
      </c>
      <c r="B265" s="5" t="s">
        <v>504</v>
      </c>
      <c r="C265" s="5" t="s">
        <v>505</v>
      </c>
      <c r="D265" s="11">
        <v>612.0</v>
      </c>
      <c r="E265" s="11">
        <v>1026.0</v>
      </c>
      <c r="F265" s="11">
        <v>730.0</v>
      </c>
      <c r="G265" s="11">
        <v>1145.0</v>
      </c>
      <c r="H265" s="11" t="b">
        <f t="shared" si="1"/>
        <v>1</v>
      </c>
      <c r="I265" s="11">
        <v>854.0</v>
      </c>
      <c r="J265" s="11">
        <v>1536.0</v>
      </c>
      <c r="K265" s="11">
        <v>939.0</v>
      </c>
      <c r="L265" s="11">
        <v>1452.0</v>
      </c>
      <c r="M265" s="11" t="b">
        <f t="shared" si="2"/>
        <v>1</v>
      </c>
      <c r="N265" s="11">
        <v>714.0</v>
      </c>
      <c r="O265" s="11">
        <v>1144.0</v>
      </c>
    </row>
    <row r="266" ht="15.75" customHeight="1">
      <c r="A266" s="5" t="s">
        <v>445</v>
      </c>
      <c r="B266" s="5" t="s">
        <v>504</v>
      </c>
      <c r="C266" s="5" t="s">
        <v>506</v>
      </c>
      <c r="D266" s="11">
        <v>566.0</v>
      </c>
      <c r="E266" s="11">
        <v>827.0</v>
      </c>
      <c r="F266" s="11">
        <v>692.0</v>
      </c>
      <c r="G266" s="11">
        <v>909.0</v>
      </c>
      <c r="H266" s="11" t="b">
        <f t="shared" si="1"/>
        <v>1</v>
      </c>
      <c r="I266" s="11">
        <v>809.0</v>
      </c>
      <c r="J266" s="11">
        <v>1228.0</v>
      </c>
      <c r="K266" s="11">
        <v>820.0</v>
      </c>
      <c r="L266" s="11">
        <v>1185.0</v>
      </c>
      <c r="M266" s="11" t="b">
        <f t="shared" si="2"/>
        <v>1</v>
      </c>
      <c r="N266" s="11">
        <v>669.0</v>
      </c>
      <c r="O266" s="11">
        <v>931.0</v>
      </c>
    </row>
    <row r="267" ht="15.75" customHeight="1">
      <c r="A267" s="5" t="s">
        <v>445</v>
      </c>
      <c r="B267" s="5" t="s">
        <v>504</v>
      </c>
      <c r="C267" s="5" t="s">
        <v>507</v>
      </c>
      <c r="D267" s="11">
        <v>273.0</v>
      </c>
      <c r="E267" s="11">
        <v>538.0</v>
      </c>
      <c r="F267" s="11">
        <v>315.0</v>
      </c>
      <c r="G267" s="11">
        <v>608.0</v>
      </c>
      <c r="H267" s="11" t="b">
        <f t="shared" si="1"/>
        <v>1</v>
      </c>
      <c r="I267" s="11">
        <v>383.0</v>
      </c>
      <c r="J267" s="11">
        <v>804.0</v>
      </c>
      <c r="K267" s="11">
        <v>410.0</v>
      </c>
      <c r="L267" s="11">
        <v>822.0</v>
      </c>
      <c r="M267" s="11" t="b">
        <f t="shared" si="2"/>
        <v>1</v>
      </c>
      <c r="N267" s="11">
        <v>322.0</v>
      </c>
      <c r="O267" s="11">
        <v>641.0</v>
      </c>
    </row>
    <row r="268" ht="15.75" customHeight="1">
      <c r="A268" s="5" t="s">
        <v>445</v>
      </c>
      <c r="B268" s="5" t="s">
        <v>508</v>
      </c>
      <c r="C268" s="5" t="s">
        <v>508</v>
      </c>
      <c r="D268" s="11">
        <v>25.0</v>
      </c>
      <c r="E268" s="11">
        <v>44.0</v>
      </c>
      <c r="F268" s="11">
        <v>31.0</v>
      </c>
      <c r="G268" s="11">
        <v>55.0</v>
      </c>
      <c r="H268" s="11" t="b">
        <f t="shared" si="1"/>
        <v>1</v>
      </c>
      <c r="I268" s="11">
        <v>42.0</v>
      </c>
      <c r="J268" s="11">
        <v>79.0</v>
      </c>
      <c r="K268" s="11">
        <v>40.0</v>
      </c>
      <c r="L268" s="11">
        <v>83.0</v>
      </c>
      <c r="M268" s="11" t="b">
        <f t="shared" si="2"/>
        <v>1</v>
      </c>
      <c r="N268" s="11">
        <v>34.0</v>
      </c>
      <c r="O268" s="11">
        <v>63.0</v>
      </c>
    </row>
    <row r="269" ht="15.75" customHeight="1">
      <c r="A269" s="5" t="s">
        <v>445</v>
      </c>
      <c r="B269" s="5" t="s">
        <v>509</v>
      </c>
      <c r="C269" s="5" t="s">
        <v>510</v>
      </c>
      <c r="D269" s="11">
        <v>438.0</v>
      </c>
      <c r="E269" s="11">
        <v>657.0</v>
      </c>
      <c r="F269" s="11">
        <v>551.0</v>
      </c>
      <c r="G269" s="11">
        <v>740.0</v>
      </c>
      <c r="H269" s="11" t="b">
        <f t="shared" si="1"/>
        <v>1</v>
      </c>
      <c r="I269" s="11">
        <v>673.0</v>
      </c>
      <c r="J269" s="11">
        <v>1062.0</v>
      </c>
      <c r="K269" s="11">
        <v>774.0</v>
      </c>
      <c r="L269" s="11">
        <v>1032.0</v>
      </c>
      <c r="M269" s="11" t="b">
        <f t="shared" si="2"/>
        <v>1</v>
      </c>
      <c r="N269" s="11">
        <v>591.0</v>
      </c>
      <c r="O269" s="11">
        <v>826.0</v>
      </c>
    </row>
    <row r="270" ht="15.75" customHeight="1">
      <c r="A270" s="5" t="s">
        <v>445</v>
      </c>
      <c r="B270" s="5" t="s">
        <v>509</v>
      </c>
      <c r="C270" s="5" t="s">
        <v>512</v>
      </c>
      <c r="D270" s="11">
        <v>508.0</v>
      </c>
      <c r="E270" s="11">
        <v>654.0</v>
      </c>
      <c r="F270" s="11">
        <v>558.0</v>
      </c>
      <c r="G270" s="11">
        <v>668.0</v>
      </c>
      <c r="H270" s="11" t="b">
        <f t="shared" si="1"/>
        <v>1</v>
      </c>
      <c r="I270" s="11">
        <v>684.0</v>
      </c>
      <c r="J270" s="11">
        <v>940.0</v>
      </c>
      <c r="K270" s="11">
        <v>710.0</v>
      </c>
      <c r="L270" s="11">
        <v>927.0</v>
      </c>
      <c r="M270" s="11" t="b">
        <f t="shared" si="2"/>
        <v>1</v>
      </c>
      <c r="N270" s="11">
        <v>525.0</v>
      </c>
      <c r="O270" s="11">
        <v>700.0</v>
      </c>
    </row>
    <row r="271" ht="15.75" customHeight="1">
      <c r="A271" s="5" t="s">
        <v>445</v>
      </c>
      <c r="B271" s="5" t="s">
        <v>513</v>
      </c>
      <c r="C271" s="5" t="s">
        <v>513</v>
      </c>
      <c r="D271" s="11">
        <v>126.0</v>
      </c>
      <c r="E271" s="11">
        <v>222.0</v>
      </c>
      <c r="F271" s="11">
        <v>137.0</v>
      </c>
      <c r="G271" s="11">
        <v>214.0</v>
      </c>
      <c r="H271" s="11" t="b">
        <f t="shared" si="1"/>
        <v>1</v>
      </c>
      <c r="I271" s="11">
        <v>184.0</v>
      </c>
      <c r="J271" s="11">
        <v>327.0</v>
      </c>
      <c r="K271" s="11">
        <v>217.0</v>
      </c>
      <c r="L271" s="11">
        <v>309.0</v>
      </c>
      <c r="M271" s="11" t="b">
        <f t="shared" si="2"/>
        <v>1</v>
      </c>
      <c r="N271" s="11">
        <v>146.0</v>
      </c>
      <c r="O271" s="11">
        <v>214.0</v>
      </c>
    </row>
    <row r="272" ht="15.75" customHeight="1">
      <c r="A272" s="5" t="s">
        <v>445</v>
      </c>
      <c r="B272" s="5" t="s">
        <v>514</v>
      </c>
      <c r="C272" s="5" t="s">
        <v>515</v>
      </c>
      <c r="D272" s="11">
        <v>220.0</v>
      </c>
      <c r="E272" s="11">
        <v>84.0</v>
      </c>
      <c r="F272" s="11"/>
      <c r="G272" s="11"/>
      <c r="H272" s="11" t="b">
        <f t="shared" si="1"/>
        <v>0</v>
      </c>
      <c r="I272" s="11">
        <v>312.0</v>
      </c>
      <c r="J272" s="11">
        <v>129.0</v>
      </c>
      <c r="K272" s="11"/>
      <c r="L272" s="11"/>
      <c r="M272" s="11" t="b">
        <f t="shared" si="2"/>
        <v>0</v>
      </c>
      <c r="N272" s="11">
        <v>574.0</v>
      </c>
      <c r="O272" s="11">
        <v>249.0</v>
      </c>
    </row>
    <row r="273" ht="15.75" customHeight="1">
      <c r="A273" s="5" t="s">
        <v>445</v>
      </c>
      <c r="B273" s="5" t="s">
        <v>514</v>
      </c>
      <c r="C273" s="5" t="s">
        <v>516</v>
      </c>
      <c r="D273" s="11">
        <v>343.0</v>
      </c>
      <c r="E273" s="11">
        <v>129.0</v>
      </c>
      <c r="F273" s="11">
        <v>329.0</v>
      </c>
      <c r="G273" s="11">
        <v>127.0</v>
      </c>
      <c r="H273" s="11" t="b">
        <f t="shared" si="1"/>
        <v>1</v>
      </c>
      <c r="I273" s="11">
        <v>493.0</v>
      </c>
      <c r="J273" s="11">
        <v>207.0</v>
      </c>
      <c r="K273" s="11"/>
      <c r="L273" s="11"/>
      <c r="M273" s="11" t="b">
        <f t="shared" si="2"/>
        <v>0</v>
      </c>
      <c r="N273" s="11">
        <v>538.0</v>
      </c>
      <c r="O273" s="11">
        <v>242.0</v>
      </c>
    </row>
    <row r="274" ht="15.75" customHeight="1">
      <c r="A274" s="5" t="s">
        <v>445</v>
      </c>
      <c r="B274" s="5" t="s">
        <v>514</v>
      </c>
      <c r="C274" s="5" t="s">
        <v>517</v>
      </c>
      <c r="D274" s="11">
        <v>361.0</v>
      </c>
      <c r="E274" s="11">
        <v>106.0</v>
      </c>
      <c r="F274" s="11">
        <v>372.0</v>
      </c>
      <c r="G274" s="11">
        <v>118.0</v>
      </c>
      <c r="H274" s="11" t="b">
        <f t="shared" si="1"/>
        <v>1</v>
      </c>
      <c r="I274" s="11">
        <v>469.0</v>
      </c>
      <c r="J274" s="11">
        <v>167.0</v>
      </c>
      <c r="K274" s="11">
        <v>492.0</v>
      </c>
      <c r="L274" s="11">
        <v>197.0</v>
      </c>
      <c r="M274" s="11" t="b">
        <f t="shared" si="2"/>
        <v>1</v>
      </c>
      <c r="N274" s="11">
        <v>437.0</v>
      </c>
      <c r="O274" s="11">
        <v>166.0</v>
      </c>
    </row>
    <row r="275" ht="15.75" customHeight="1">
      <c r="A275" s="5" t="s">
        <v>445</v>
      </c>
      <c r="B275" s="5" t="s">
        <v>514</v>
      </c>
      <c r="C275" s="5" t="s">
        <v>518</v>
      </c>
      <c r="D275" s="11">
        <v>603.0</v>
      </c>
      <c r="E275" s="11">
        <v>216.0</v>
      </c>
      <c r="F275" s="11">
        <v>665.0</v>
      </c>
      <c r="G275" s="11">
        <v>201.0</v>
      </c>
      <c r="H275" s="11" t="b">
        <f t="shared" si="1"/>
        <v>1</v>
      </c>
      <c r="I275" s="11">
        <v>716.0</v>
      </c>
      <c r="J275" s="11">
        <v>259.0</v>
      </c>
      <c r="K275" s="11">
        <v>743.0</v>
      </c>
      <c r="L275" s="11">
        <v>265.0</v>
      </c>
      <c r="M275" s="11" t="b">
        <f t="shared" si="2"/>
        <v>1</v>
      </c>
      <c r="N275" s="11">
        <v>610.0</v>
      </c>
      <c r="O275" s="11">
        <v>211.0</v>
      </c>
    </row>
    <row r="276" ht="15.75" customHeight="1">
      <c r="A276" s="5" t="s">
        <v>445</v>
      </c>
      <c r="B276" s="5" t="s">
        <v>514</v>
      </c>
      <c r="C276" s="5" t="s">
        <v>519</v>
      </c>
      <c r="D276" s="11">
        <v>186.0</v>
      </c>
      <c r="E276" s="11">
        <v>51.0</v>
      </c>
      <c r="F276" s="11">
        <v>460.0</v>
      </c>
      <c r="G276" s="11">
        <v>76.0</v>
      </c>
      <c r="H276" s="11" t="b">
        <f t="shared" si="1"/>
        <v>1</v>
      </c>
      <c r="I276" s="11">
        <v>658.0</v>
      </c>
      <c r="J276" s="11">
        <v>165.0</v>
      </c>
      <c r="K276" s="11">
        <v>1109.0</v>
      </c>
      <c r="L276" s="11">
        <v>290.0</v>
      </c>
      <c r="M276" s="11" t="b">
        <f t="shared" si="2"/>
        <v>1</v>
      </c>
      <c r="N276" s="11">
        <v>479.0</v>
      </c>
      <c r="O276" s="11">
        <v>112.0</v>
      </c>
    </row>
    <row r="277" ht="15.75" customHeight="1">
      <c r="A277" s="5" t="s">
        <v>445</v>
      </c>
      <c r="B277" s="5" t="s">
        <v>514</v>
      </c>
      <c r="C277" s="5" t="s">
        <v>520</v>
      </c>
      <c r="D277" s="11">
        <v>483.0</v>
      </c>
      <c r="E277" s="11">
        <v>177.0</v>
      </c>
      <c r="F277" s="11">
        <v>507.0</v>
      </c>
      <c r="G277" s="11">
        <v>172.0</v>
      </c>
      <c r="H277" s="11" t="b">
        <f t="shared" si="1"/>
        <v>1</v>
      </c>
      <c r="I277" s="11">
        <v>607.0</v>
      </c>
      <c r="J277" s="11">
        <v>240.0</v>
      </c>
      <c r="K277" s="11">
        <v>566.0</v>
      </c>
      <c r="L277" s="11">
        <v>257.0</v>
      </c>
      <c r="M277" s="11" t="b">
        <f t="shared" si="2"/>
        <v>1</v>
      </c>
      <c r="N277" s="11">
        <v>479.0</v>
      </c>
      <c r="O277" s="11">
        <v>212.0</v>
      </c>
    </row>
    <row r="278" ht="15.75" customHeight="1">
      <c r="A278" s="5" t="s">
        <v>445</v>
      </c>
      <c r="B278" s="5" t="s">
        <v>514</v>
      </c>
      <c r="C278" s="5" t="s">
        <v>521</v>
      </c>
      <c r="D278" s="11">
        <v>340.0</v>
      </c>
      <c r="E278" s="11">
        <v>149.0</v>
      </c>
      <c r="F278" s="11">
        <v>364.0</v>
      </c>
      <c r="G278" s="11">
        <v>155.0</v>
      </c>
      <c r="H278" s="11" t="b">
        <f t="shared" si="1"/>
        <v>1</v>
      </c>
      <c r="I278" s="11">
        <v>518.0</v>
      </c>
      <c r="J278" s="11">
        <v>260.0</v>
      </c>
      <c r="K278" s="11">
        <v>517.0</v>
      </c>
      <c r="L278" s="11">
        <v>265.0</v>
      </c>
      <c r="M278" s="11" t="b">
        <f t="shared" si="2"/>
        <v>1</v>
      </c>
      <c r="N278" s="11">
        <v>334.0</v>
      </c>
      <c r="O278" s="11">
        <v>176.0</v>
      </c>
    </row>
    <row r="279" ht="15.75" customHeight="1">
      <c r="A279" s="5" t="s">
        <v>445</v>
      </c>
      <c r="B279" s="5" t="s">
        <v>514</v>
      </c>
      <c r="C279" s="5" t="s">
        <v>522</v>
      </c>
      <c r="D279" s="11">
        <v>179.0</v>
      </c>
      <c r="E279" s="11">
        <v>51.0</v>
      </c>
      <c r="F279" s="11">
        <v>154.0</v>
      </c>
      <c r="G279" s="11">
        <v>58.0</v>
      </c>
      <c r="H279" s="11" t="b">
        <f t="shared" si="1"/>
        <v>1</v>
      </c>
      <c r="I279" s="11">
        <v>217.0</v>
      </c>
      <c r="J279" s="11">
        <v>85.0</v>
      </c>
      <c r="K279" s="11">
        <v>233.0</v>
      </c>
      <c r="L279" s="11">
        <v>84.0</v>
      </c>
      <c r="M279" s="11" t="b">
        <f t="shared" si="2"/>
        <v>1</v>
      </c>
      <c r="N279" s="11">
        <v>148.0</v>
      </c>
      <c r="O279" s="11">
        <v>55.0</v>
      </c>
    </row>
    <row r="280" ht="15.75" customHeight="1">
      <c r="A280" s="5" t="s">
        <v>445</v>
      </c>
      <c r="B280" s="5" t="s">
        <v>514</v>
      </c>
      <c r="C280" s="5" t="s">
        <v>523</v>
      </c>
      <c r="D280" s="11">
        <v>245.0</v>
      </c>
      <c r="E280" s="11">
        <v>67.0</v>
      </c>
      <c r="F280" s="11">
        <v>245.0</v>
      </c>
      <c r="G280" s="11">
        <v>79.0</v>
      </c>
      <c r="H280" s="11" t="b">
        <f t="shared" si="1"/>
        <v>1</v>
      </c>
      <c r="I280" s="11">
        <v>365.0</v>
      </c>
      <c r="J280" s="11">
        <v>131.0</v>
      </c>
      <c r="K280" s="11">
        <v>391.0</v>
      </c>
      <c r="L280" s="11">
        <v>126.0</v>
      </c>
      <c r="M280" s="11" t="b">
        <f t="shared" si="2"/>
        <v>1</v>
      </c>
      <c r="N280" s="11">
        <v>231.0</v>
      </c>
      <c r="O280" s="11">
        <v>87.0</v>
      </c>
    </row>
    <row r="281" ht="15.75" customHeight="1">
      <c r="A281" s="5" t="s">
        <v>445</v>
      </c>
      <c r="B281" s="5" t="s">
        <v>514</v>
      </c>
      <c r="C281" s="5" t="s">
        <v>526</v>
      </c>
      <c r="D281" s="11">
        <v>270.0</v>
      </c>
      <c r="E281" s="11">
        <v>77.0</v>
      </c>
      <c r="F281" s="11">
        <v>262.0</v>
      </c>
      <c r="G281" s="11">
        <v>82.0</v>
      </c>
      <c r="H281" s="11" t="b">
        <f t="shared" si="1"/>
        <v>1</v>
      </c>
      <c r="I281" s="11">
        <v>424.0</v>
      </c>
      <c r="J281" s="11">
        <v>148.0</v>
      </c>
      <c r="K281" s="11">
        <v>381.0</v>
      </c>
      <c r="L281" s="11">
        <v>184.0</v>
      </c>
      <c r="M281" s="11" t="b">
        <f t="shared" si="2"/>
        <v>1</v>
      </c>
      <c r="N281" s="11">
        <v>240.0</v>
      </c>
      <c r="O281" s="11">
        <v>111.0</v>
      </c>
    </row>
    <row r="282" ht="15.75" customHeight="1">
      <c r="A282" s="5" t="s">
        <v>445</v>
      </c>
      <c r="B282" s="5" t="s">
        <v>514</v>
      </c>
      <c r="C282" s="5" t="s">
        <v>527</v>
      </c>
      <c r="D282" s="11">
        <v>524.0</v>
      </c>
      <c r="E282" s="11">
        <v>194.0</v>
      </c>
      <c r="F282" s="11"/>
      <c r="G282" s="11"/>
      <c r="H282" s="11" t="b">
        <f t="shared" si="1"/>
        <v>0</v>
      </c>
      <c r="I282" s="11">
        <v>443.0</v>
      </c>
      <c r="J282" s="11">
        <v>180.0</v>
      </c>
      <c r="K282" s="11"/>
      <c r="L282" s="11"/>
      <c r="M282" s="11" t="b">
        <f t="shared" si="2"/>
        <v>0</v>
      </c>
      <c r="N282" s="11">
        <v>1143.0</v>
      </c>
      <c r="O282" s="11">
        <v>498.0</v>
      </c>
    </row>
    <row r="283" ht="15.75" customHeight="1">
      <c r="A283" s="5" t="s">
        <v>445</v>
      </c>
      <c r="B283" s="5" t="s">
        <v>514</v>
      </c>
      <c r="C283" s="5" t="s">
        <v>528</v>
      </c>
      <c r="D283" s="11">
        <v>694.0</v>
      </c>
      <c r="E283" s="11">
        <v>239.0</v>
      </c>
      <c r="F283" s="11">
        <v>643.0</v>
      </c>
      <c r="G283" s="11">
        <v>261.0</v>
      </c>
      <c r="H283" s="11" t="b">
        <f t="shared" si="1"/>
        <v>1</v>
      </c>
      <c r="I283" s="11">
        <v>965.0</v>
      </c>
      <c r="J283" s="11">
        <v>421.0</v>
      </c>
      <c r="K283" s="11">
        <v>912.0</v>
      </c>
      <c r="L283" s="11">
        <v>445.0</v>
      </c>
      <c r="M283" s="11" t="b">
        <f t="shared" si="2"/>
        <v>1</v>
      </c>
      <c r="N283" s="11">
        <v>627.0</v>
      </c>
      <c r="O283" s="11">
        <v>299.0</v>
      </c>
    </row>
    <row r="284" ht="15.75" customHeight="1">
      <c r="A284" s="5" t="s">
        <v>445</v>
      </c>
      <c r="B284" s="5" t="s">
        <v>529</v>
      </c>
      <c r="C284" s="5" t="s">
        <v>530</v>
      </c>
      <c r="D284" s="11">
        <v>1002.0</v>
      </c>
      <c r="E284" s="11">
        <v>1019.0</v>
      </c>
      <c r="F284" s="11">
        <v>1089.0</v>
      </c>
      <c r="G284" s="11">
        <v>1068.0</v>
      </c>
      <c r="H284" s="11" t="b">
        <f t="shared" si="1"/>
        <v>1</v>
      </c>
      <c r="I284" s="11">
        <v>1343.0</v>
      </c>
      <c r="J284" s="11">
        <v>1462.0</v>
      </c>
      <c r="K284" s="11">
        <v>1361.0</v>
      </c>
      <c r="L284" s="11">
        <v>1448.0</v>
      </c>
      <c r="M284" s="11" t="b">
        <f t="shared" si="2"/>
        <v>1</v>
      </c>
      <c r="N284" s="11">
        <v>1099.0</v>
      </c>
      <c r="O284" s="11">
        <v>1141.0</v>
      </c>
    </row>
    <row r="285" ht="15.75" customHeight="1">
      <c r="A285" s="5" t="s">
        <v>445</v>
      </c>
      <c r="B285" s="5" t="s">
        <v>529</v>
      </c>
      <c r="C285" s="5" t="s">
        <v>531</v>
      </c>
      <c r="D285" s="11">
        <v>1172.0</v>
      </c>
      <c r="E285" s="11">
        <v>1019.0</v>
      </c>
      <c r="F285" s="11">
        <v>1273.0</v>
      </c>
      <c r="G285" s="11">
        <v>1133.0</v>
      </c>
      <c r="H285" s="11" t="b">
        <f t="shared" si="1"/>
        <v>1</v>
      </c>
      <c r="I285" s="11">
        <v>1566.0</v>
      </c>
      <c r="J285" s="11">
        <v>1497.0</v>
      </c>
      <c r="K285" s="11">
        <v>1673.0</v>
      </c>
      <c r="L285" s="11">
        <v>1448.0</v>
      </c>
      <c r="M285" s="11" t="b">
        <f t="shared" si="2"/>
        <v>1</v>
      </c>
      <c r="N285" s="11">
        <v>1306.0</v>
      </c>
      <c r="O285" s="11">
        <v>1168.0</v>
      </c>
    </row>
    <row r="286" ht="15.75" customHeight="1">
      <c r="A286" s="5" t="s">
        <v>445</v>
      </c>
      <c r="B286" s="5" t="s">
        <v>529</v>
      </c>
      <c r="C286" s="5" t="s">
        <v>532</v>
      </c>
      <c r="D286" s="11">
        <v>730.0</v>
      </c>
      <c r="E286" s="11">
        <v>586.0</v>
      </c>
      <c r="F286" s="11">
        <v>796.0</v>
      </c>
      <c r="G286" s="11">
        <v>678.0</v>
      </c>
      <c r="H286" s="11" t="b">
        <f t="shared" si="1"/>
        <v>1</v>
      </c>
      <c r="I286" s="11">
        <v>977.0</v>
      </c>
      <c r="J286" s="11">
        <v>880.0</v>
      </c>
      <c r="K286" s="11">
        <v>975.0</v>
      </c>
      <c r="L286" s="11">
        <v>935.0</v>
      </c>
      <c r="M286" s="11" t="b">
        <f t="shared" si="2"/>
        <v>1</v>
      </c>
      <c r="N286" s="11">
        <v>789.0</v>
      </c>
      <c r="O286" s="11">
        <v>717.0</v>
      </c>
    </row>
    <row r="287" ht="15.75" customHeight="1">
      <c r="A287" s="5" t="s">
        <v>445</v>
      </c>
      <c r="B287" s="5" t="s">
        <v>529</v>
      </c>
      <c r="C287" s="5" t="s">
        <v>533</v>
      </c>
      <c r="D287" s="11">
        <v>921.0</v>
      </c>
      <c r="E287" s="11">
        <v>816.0</v>
      </c>
      <c r="F287" s="11">
        <v>1000.0</v>
      </c>
      <c r="G287" s="11">
        <v>903.0</v>
      </c>
      <c r="H287" s="11" t="b">
        <f t="shared" si="1"/>
        <v>1</v>
      </c>
      <c r="I287" s="11">
        <v>1316.0</v>
      </c>
      <c r="J287" s="11">
        <v>1241.0</v>
      </c>
      <c r="K287" s="11">
        <v>1349.0</v>
      </c>
      <c r="L287" s="11">
        <v>1196.0</v>
      </c>
      <c r="M287" s="11" t="b">
        <f t="shared" si="2"/>
        <v>1</v>
      </c>
      <c r="N287" s="11">
        <v>1037.0</v>
      </c>
      <c r="O287" s="11">
        <v>919.0</v>
      </c>
    </row>
    <row r="288" ht="15.75" customHeight="1">
      <c r="A288" s="5" t="s">
        <v>445</v>
      </c>
      <c r="B288" s="5" t="s">
        <v>535</v>
      </c>
      <c r="C288" s="5" t="s">
        <v>535</v>
      </c>
      <c r="D288" s="11">
        <v>545.0</v>
      </c>
      <c r="E288" s="11">
        <v>286.0</v>
      </c>
      <c r="F288" s="11">
        <v>480.0</v>
      </c>
      <c r="G288" s="11">
        <v>330.0</v>
      </c>
      <c r="H288" s="11" t="b">
        <f t="shared" si="1"/>
        <v>1</v>
      </c>
      <c r="I288" s="11">
        <v>750.0</v>
      </c>
      <c r="J288" s="11">
        <v>515.0</v>
      </c>
      <c r="K288" s="11">
        <v>714.0</v>
      </c>
      <c r="L288" s="11">
        <v>484.0</v>
      </c>
      <c r="M288" s="11" t="b">
        <f t="shared" si="2"/>
        <v>1</v>
      </c>
      <c r="N288" s="11">
        <v>486.0</v>
      </c>
      <c r="O288" s="11">
        <v>325.0</v>
      </c>
    </row>
    <row r="289" ht="15.75" customHeight="1">
      <c r="A289" s="5" t="s">
        <v>445</v>
      </c>
      <c r="B289" s="5" t="s">
        <v>536</v>
      </c>
      <c r="C289" s="5" t="s">
        <v>536</v>
      </c>
      <c r="D289" s="11">
        <v>72.0</v>
      </c>
      <c r="E289" s="11">
        <v>56.0</v>
      </c>
      <c r="F289" s="11">
        <v>72.0</v>
      </c>
      <c r="G289" s="11">
        <v>69.0</v>
      </c>
      <c r="H289" s="11" t="b">
        <f t="shared" si="1"/>
        <v>1</v>
      </c>
      <c r="I289" s="11">
        <v>104.0</v>
      </c>
      <c r="J289" s="11">
        <v>101.0</v>
      </c>
      <c r="K289" s="11">
        <v>109.0</v>
      </c>
      <c r="L289" s="11">
        <v>97.0</v>
      </c>
      <c r="M289" s="11" t="b">
        <f t="shared" si="2"/>
        <v>1</v>
      </c>
      <c r="N289" s="11">
        <v>76.0</v>
      </c>
      <c r="O289" s="11">
        <v>68.0</v>
      </c>
    </row>
    <row r="290" ht="15.75" customHeight="1">
      <c r="A290" s="5" t="s">
        <v>445</v>
      </c>
      <c r="B290" s="5" t="s">
        <v>339</v>
      </c>
      <c r="C290" s="5" t="s">
        <v>537</v>
      </c>
      <c r="D290" s="11">
        <v>722.0</v>
      </c>
      <c r="E290" s="11">
        <v>566.0</v>
      </c>
      <c r="F290" s="11">
        <v>770.0</v>
      </c>
      <c r="G290" s="11">
        <v>546.0</v>
      </c>
      <c r="H290" s="11" t="b">
        <f t="shared" si="1"/>
        <v>1</v>
      </c>
      <c r="I290" s="11">
        <v>907.0</v>
      </c>
      <c r="J290" s="11">
        <v>733.0</v>
      </c>
      <c r="K290" s="11">
        <v>955.0</v>
      </c>
      <c r="L290" s="11">
        <v>692.0</v>
      </c>
      <c r="M290" s="11" t="b">
        <f t="shared" si="2"/>
        <v>1</v>
      </c>
      <c r="N290" s="11">
        <v>745.0</v>
      </c>
      <c r="O290" s="11">
        <v>551.0</v>
      </c>
    </row>
    <row r="291" ht="15.75" customHeight="1">
      <c r="A291" s="5" t="s">
        <v>445</v>
      </c>
      <c r="B291" s="5" t="s">
        <v>339</v>
      </c>
      <c r="C291" s="5" t="s">
        <v>538</v>
      </c>
      <c r="D291" s="11">
        <v>683.0</v>
      </c>
      <c r="E291" s="11">
        <v>589.0</v>
      </c>
      <c r="F291" s="11">
        <v>731.0</v>
      </c>
      <c r="G291" s="11">
        <v>608.0</v>
      </c>
      <c r="H291" s="11" t="b">
        <f t="shared" si="1"/>
        <v>1</v>
      </c>
      <c r="I291" s="11">
        <v>843.0</v>
      </c>
      <c r="J291" s="11">
        <v>781.0</v>
      </c>
      <c r="K291" s="11">
        <v>910.0</v>
      </c>
      <c r="L291" s="11">
        <v>742.0</v>
      </c>
      <c r="M291" s="11" t="b">
        <f t="shared" si="2"/>
        <v>1</v>
      </c>
      <c r="N291" s="11">
        <v>710.0</v>
      </c>
      <c r="O291" s="11">
        <v>604.0</v>
      </c>
    </row>
    <row r="292" ht="15.75" customHeight="1">
      <c r="A292" s="5" t="s">
        <v>445</v>
      </c>
      <c r="B292" s="5" t="s">
        <v>339</v>
      </c>
      <c r="C292" s="5" t="s">
        <v>539</v>
      </c>
      <c r="D292" s="11">
        <v>341.0</v>
      </c>
      <c r="E292" s="11">
        <v>318.0</v>
      </c>
      <c r="F292" s="11">
        <v>388.0</v>
      </c>
      <c r="G292" s="11">
        <v>338.0</v>
      </c>
      <c r="H292" s="11" t="b">
        <f t="shared" si="1"/>
        <v>1</v>
      </c>
      <c r="I292" s="11">
        <v>434.0</v>
      </c>
      <c r="J292" s="11">
        <v>421.0</v>
      </c>
      <c r="K292" s="11">
        <v>446.0</v>
      </c>
      <c r="L292" s="11">
        <v>410.0</v>
      </c>
      <c r="M292" s="11" t="b">
        <f t="shared" si="2"/>
        <v>1</v>
      </c>
      <c r="N292" s="11">
        <v>379.0</v>
      </c>
      <c r="O292" s="11">
        <v>351.0</v>
      </c>
    </row>
    <row r="293" ht="15.75" customHeight="1">
      <c r="A293" s="5" t="s">
        <v>445</v>
      </c>
      <c r="B293" s="5" t="s">
        <v>339</v>
      </c>
      <c r="C293" s="5" t="s">
        <v>540</v>
      </c>
      <c r="D293" s="11">
        <v>521.0</v>
      </c>
      <c r="E293" s="11">
        <v>497.0</v>
      </c>
      <c r="F293" s="11">
        <v>603.0</v>
      </c>
      <c r="G293" s="11">
        <v>543.0</v>
      </c>
      <c r="H293" s="11" t="b">
        <f t="shared" si="1"/>
        <v>1</v>
      </c>
      <c r="I293" s="11">
        <v>718.0</v>
      </c>
      <c r="J293" s="11">
        <v>719.0</v>
      </c>
      <c r="K293" s="11">
        <v>744.0</v>
      </c>
      <c r="L293" s="11">
        <v>678.0</v>
      </c>
      <c r="M293" s="11" t="b">
        <f t="shared" si="2"/>
        <v>1</v>
      </c>
      <c r="N293" s="11">
        <v>595.0</v>
      </c>
      <c r="O293" s="11">
        <v>560.0</v>
      </c>
    </row>
    <row r="294" ht="15.75" customHeight="1">
      <c r="A294" s="5" t="s">
        <v>445</v>
      </c>
      <c r="B294" s="5" t="s">
        <v>339</v>
      </c>
      <c r="C294" s="5" t="s">
        <v>541</v>
      </c>
      <c r="D294" s="11">
        <v>574.0</v>
      </c>
      <c r="E294" s="11">
        <v>461.0</v>
      </c>
      <c r="F294" s="11">
        <v>656.0</v>
      </c>
      <c r="G294" s="11">
        <v>499.0</v>
      </c>
      <c r="H294" s="11" t="b">
        <f t="shared" si="1"/>
        <v>1</v>
      </c>
      <c r="I294" s="11">
        <v>770.0</v>
      </c>
      <c r="J294" s="11">
        <v>647.0</v>
      </c>
      <c r="K294" s="11">
        <v>775.0</v>
      </c>
      <c r="L294" s="11">
        <v>645.0</v>
      </c>
      <c r="M294" s="11" t="b">
        <f t="shared" si="2"/>
        <v>1</v>
      </c>
      <c r="N294" s="11">
        <v>662.0</v>
      </c>
      <c r="O294" s="11">
        <v>539.0</v>
      </c>
    </row>
    <row r="295" ht="15.75" customHeight="1">
      <c r="A295" s="5" t="s">
        <v>445</v>
      </c>
      <c r="B295" s="5" t="s">
        <v>339</v>
      </c>
      <c r="C295" s="5" t="s">
        <v>542</v>
      </c>
      <c r="D295" s="11">
        <v>381.0</v>
      </c>
      <c r="E295" s="11">
        <v>356.0</v>
      </c>
      <c r="F295" s="11">
        <v>422.0</v>
      </c>
      <c r="G295" s="11">
        <v>349.0</v>
      </c>
      <c r="H295" s="11" t="b">
        <f t="shared" si="1"/>
        <v>1</v>
      </c>
      <c r="I295" s="11">
        <v>505.0</v>
      </c>
      <c r="J295" s="11">
        <v>472.0</v>
      </c>
      <c r="K295" s="11">
        <v>511.0</v>
      </c>
      <c r="L295" s="11">
        <v>453.0</v>
      </c>
      <c r="M295" s="11" t="b">
        <f t="shared" si="2"/>
        <v>1</v>
      </c>
      <c r="N295" s="11">
        <v>386.0</v>
      </c>
      <c r="O295" s="11">
        <v>344.0</v>
      </c>
    </row>
    <row r="296" ht="15.75" customHeight="1">
      <c r="A296" s="5" t="s">
        <v>445</v>
      </c>
      <c r="B296" s="5" t="s">
        <v>543</v>
      </c>
      <c r="C296" s="5" t="s">
        <v>544</v>
      </c>
      <c r="D296" s="11">
        <v>419.0</v>
      </c>
      <c r="E296" s="11">
        <v>407.0</v>
      </c>
      <c r="F296" s="11">
        <v>430.0</v>
      </c>
      <c r="G296" s="11">
        <v>446.0</v>
      </c>
      <c r="H296" s="11" t="b">
        <f t="shared" si="1"/>
        <v>1</v>
      </c>
      <c r="I296" s="11">
        <v>576.0</v>
      </c>
      <c r="J296" s="11">
        <v>616.0</v>
      </c>
      <c r="K296" s="11">
        <v>553.0</v>
      </c>
      <c r="L296" s="11">
        <v>581.0</v>
      </c>
      <c r="M296" s="11" t="b">
        <f t="shared" si="2"/>
        <v>1</v>
      </c>
      <c r="N296" s="11">
        <v>451.0</v>
      </c>
      <c r="O296" s="11">
        <v>459.0</v>
      </c>
    </row>
    <row r="297" ht="15.75" customHeight="1">
      <c r="A297" s="5" t="s">
        <v>445</v>
      </c>
      <c r="B297" s="5" t="s">
        <v>543</v>
      </c>
      <c r="C297" s="5" t="s">
        <v>547</v>
      </c>
      <c r="D297" s="11">
        <v>328.0</v>
      </c>
      <c r="E297" s="11">
        <v>296.0</v>
      </c>
      <c r="F297" s="11">
        <v>363.0</v>
      </c>
      <c r="G297" s="11">
        <v>318.0</v>
      </c>
      <c r="H297" s="11" t="b">
        <f t="shared" si="1"/>
        <v>1</v>
      </c>
      <c r="I297" s="11">
        <v>457.0</v>
      </c>
      <c r="J297" s="11">
        <v>438.0</v>
      </c>
      <c r="K297" s="11">
        <v>473.0</v>
      </c>
      <c r="L297" s="11">
        <v>465.0</v>
      </c>
      <c r="M297" s="11" t="b">
        <f t="shared" si="2"/>
        <v>1</v>
      </c>
      <c r="N297" s="11">
        <v>364.0</v>
      </c>
      <c r="O297" s="11">
        <v>337.0</v>
      </c>
    </row>
    <row r="298" ht="15.75" customHeight="1">
      <c r="A298" s="5" t="s">
        <v>445</v>
      </c>
      <c r="B298" s="5" t="s">
        <v>543</v>
      </c>
      <c r="C298" s="5" t="s">
        <v>548</v>
      </c>
      <c r="D298" s="11">
        <v>517.0</v>
      </c>
      <c r="E298" s="11">
        <v>456.0</v>
      </c>
      <c r="F298" s="11">
        <v>579.0</v>
      </c>
      <c r="G298" s="11">
        <v>437.0</v>
      </c>
      <c r="H298" s="11" t="b">
        <f t="shared" si="1"/>
        <v>1</v>
      </c>
      <c r="I298" s="11">
        <v>676.0</v>
      </c>
      <c r="J298" s="11">
        <v>596.0</v>
      </c>
      <c r="K298" s="11">
        <v>700.0</v>
      </c>
      <c r="L298" s="11">
        <v>639.0</v>
      </c>
      <c r="M298" s="11" t="b">
        <f t="shared" si="2"/>
        <v>1</v>
      </c>
      <c r="N298" s="11">
        <v>538.0</v>
      </c>
      <c r="O298" s="11">
        <v>479.0</v>
      </c>
    </row>
    <row r="299" ht="15.75" customHeight="1">
      <c r="A299" s="5" t="s">
        <v>445</v>
      </c>
      <c r="B299" s="5" t="s">
        <v>403</v>
      </c>
      <c r="C299" s="5" t="s">
        <v>549</v>
      </c>
      <c r="D299" s="11">
        <v>407.0</v>
      </c>
      <c r="E299" s="11">
        <v>754.0</v>
      </c>
      <c r="F299" s="11">
        <v>454.0</v>
      </c>
      <c r="G299" s="11">
        <v>825.0</v>
      </c>
      <c r="H299" s="11" t="b">
        <f t="shared" si="1"/>
        <v>1</v>
      </c>
      <c r="I299" s="11">
        <v>547.0</v>
      </c>
      <c r="J299" s="11">
        <v>1111.0</v>
      </c>
      <c r="K299" s="11">
        <v>546.0</v>
      </c>
      <c r="L299" s="11">
        <v>1089.0</v>
      </c>
      <c r="M299" s="11" t="b">
        <f t="shared" si="2"/>
        <v>1</v>
      </c>
      <c r="N299" s="11">
        <v>456.0</v>
      </c>
      <c r="O299" s="11">
        <v>883.0</v>
      </c>
    </row>
    <row r="300" ht="15.75" customHeight="1">
      <c r="A300" s="5" t="s">
        <v>445</v>
      </c>
      <c r="B300" s="5" t="s">
        <v>403</v>
      </c>
      <c r="C300" s="5" t="s">
        <v>550</v>
      </c>
      <c r="D300" s="11">
        <v>439.0</v>
      </c>
      <c r="E300" s="11">
        <v>817.0</v>
      </c>
      <c r="F300" s="11">
        <v>529.0</v>
      </c>
      <c r="G300" s="11">
        <v>916.0</v>
      </c>
      <c r="H300" s="11" t="b">
        <f t="shared" si="1"/>
        <v>1</v>
      </c>
      <c r="I300" s="11">
        <v>615.0</v>
      </c>
      <c r="J300" s="11">
        <v>1235.0</v>
      </c>
      <c r="K300" s="11">
        <v>636.0</v>
      </c>
      <c r="L300" s="11">
        <v>1262.0</v>
      </c>
      <c r="M300" s="11" t="b">
        <f t="shared" si="2"/>
        <v>1</v>
      </c>
      <c r="N300" s="11">
        <v>516.0</v>
      </c>
      <c r="O300" s="11">
        <v>979.0</v>
      </c>
    </row>
    <row r="301" ht="15.75" customHeight="1">
      <c r="A301" s="5" t="s">
        <v>445</v>
      </c>
      <c r="B301" s="5" t="s">
        <v>403</v>
      </c>
      <c r="C301" s="5" t="s">
        <v>551</v>
      </c>
      <c r="D301" s="11">
        <v>154.0</v>
      </c>
      <c r="E301" s="11">
        <v>324.0</v>
      </c>
      <c r="F301" s="11">
        <v>142.0</v>
      </c>
      <c r="G301" s="11">
        <v>349.0</v>
      </c>
      <c r="H301" s="11" t="b">
        <f t="shared" si="1"/>
        <v>1</v>
      </c>
      <c r="I301" s="11">
        <v>213.0</v>
      </c>
      <c r="J301" s="11">
        <v>504.0</v>
      </c>
      <c r="K301" s="11">
        <v>224.0</v>
      </c>
      <c r="L301" s="11">
        <v>495.0</v>
      </c>
      <c r="M301" s="11" t="b">
        <f t="shared" si="2"/>
        <v>1</v>
      </c>
      <c r="N301" s="11">
        <v>157.0</v>
      </c>
      <c r="O301" s="11">
        <v>353.0</v>
      </c>
    </row>
    <row r="302" ht="15.75" customHeight="1">
      <c r="A302" s="5" t="s">
        <v>445</v>
      </c>
      <c r="B302" s="5" t="s">
        <v>403</v>
      </c>
      <c r="C302" s="5" t="s">
        <v>552</v>
      </c>
      <c r="D302" s="11">
        <v>345.0</v>
      </c>
      <c r="E302" s="11">
        <v>643.0</v>
      </c>
      <c r="F302" s="11">
        <v>400.0</v>
      </c>
      <c r="G302" s="11">
        <v>731.0</v>
      </c>
      <c r="H302" s="11" t="b">
        <f t="shared" si="1"/>
        <v>1</v>
      </c>
      <c r="I302" s="11">
        <v>472.0</v>
      </c>
      <c r="J302" s="11">
        <v>954.0</v>
      </c>
      <c r="K302" s="11">
        <v>478.0</v>
      </c>
      <c r="L302" s="11">
        <v>948.0</v>
      </c>
      <c r="M302" s="11" t="b">
        <f t="shared" si="2"/>
        <v>1</v>
      </c>
      <c r="N302" s="11">
        <v>400.0</v>
      </c>
      <c r="O302" s="11">
        <v>761.0</v>
      </c>
    </row>
    <row r="303" ht="15.75" customHeight="1">
      <c r="A303" s="5" t="s">
        <v>445</v>
      </c>
      <c r="B303" s="5" t="s">
        <v>403</v>
      </c>
      <c r="C303" s="5" t="s">
        <v>553</v>
      </c>
      <c r="D303" s="11">
        <v>239.0</v>
      </c>
      <c r="E303" s="11">
        <v>465.0</v>
      </c>
      <c r="F303" s="11">
        <v>278.0</v>
      </c>
      <c r="G303" s="11">
        <v>482.0</v>
      </c>
      <c r="H303" s="11" t="b">
        <f t="shared" si="1"/>
        <v>1</v>
      </c>
      <c r="I303" s="11">
        <v>331.0</v>
      </c>
      <c r="J303" s="11">
        <v>667.0</v>
      </c>
      <c r="K303" s="11">
        <v>360.0</v>
      </c>
      <c r="L303" s="11">
        <v>645.0</v>
      </c>
      <c r="M303" s="11" t="b">
        <f t="shared" si="2"/>
        <v>1</v>
      </c>
      <c r="N303" s="11">
        <v>294.0</v>
      </c>
      <c r="O303" s="11">
        <v>539.0</v>
      </c>
    </row>
    <row r="304" ht="15.75" customHeight="1">
      <c r="A304" s="5" t="s">
        <v>445</v>
      </c>
      <c r="B304" s="5" t="s">
        <v>554</v>
      </c>
      <c r="C304" s="5" t="s">
        <v>555</v>
      </c>
      <c r="D304" s="11">
        <v>49.0</v>
      </c>
      <c r="E304" s="11">
        <v>75.0</v>
      </c>
      <c r="F304" s="11">
        <v>203.0</v>
      </c>
      <c r="G304" s="11">
        <v>331.0</v>
      </c>
      <c r="H304" s="11" t="b">
        <f t="shared" si="1"/>
        <v>1</v>
      </c>
      <c r="I304" s="11">
        <v>65.0</v>
      </c>
      <c r="J304" s="11">
        <v>115.0</v>
      </c>
      <c r="K304" s="11">
        <v>264.0</v>
      </c>
      <c r="L304" s="11">
        <v>439.0</v>
      </c>
      <c r="M304" s="11" t="b">
        <f t="shared" si="2"/>
        <v>1</v>
      </c>
      <c r="N304" s="11">
        <v>48.0</v>
      </c>
      <c r="O304" s="11">
        <v>83.0</v>
      </c>
    </row>
    <row r="305" ht="15.75" customHeight="1">
      <c r="A305" s="5" t="s">
        <v>445</v>
      </c>
      <c r="B305" s="5" t="s">
        <v>554</v>
      </c>
      <c r="C305" s="5" t="s">
        <v>556</v>
      </c>
      <c r="D305" s="11">
        <v>259.0</v>
      </c>
      <c r="E305" s="11">
        <v>476.0</v>
      </c>
      <c r="F305" s="11">
        <v>308.0</v>
      </c>
      <c r="G305" s="11">
        <v>558.0</v>
      </c>
      <c r="H305" s="11" t="b">
        <f t="shared" si="1"/>
        <v>1</v>
      </c>
      <c r="I305" s="11">
        <v>364.0</v>
      </c>
      <c r="J305" s="11">
        <v>742.0</v>
      </c>
      <c r="K305" s="11">
        <v>361.0</v>
      </c>
      <c r="L305" s="11">
        <v>775.0</v>
      </c>
      <c r="M305" s="11" t="b">
        <f t="shared" si="2"/>
        <v>1</v>
      </c>
      <c r="N305" s="11">
        <v>297.0</v>
      </c>
      <c r="O305" s="11">
        <v>587.0</v>
      </c>
    </row>
    <row r="306" ht="15.75" customHeight="1">
      <c r="A306" s="5" t="s">
        <v>445</v>
      </c>
      <c r="B306" s="5" t="s">
        <v>559</v>
      </c>
      <c r="C306" s="5" t="s">
        <v>560</v>
      </c>
      <c r="D306" s="11">
        <v>1010.0</v>
      </c>
      <c r="E306" s="11">
        <v>1287.0</v>
      </c>
      <c r="F306" s="11">
        <v>1136.0</v>
      </c>
      <c r="G306" s="11">
        <v>1415.0</v>
      </c>
      <c r="H306" s="11" t="b">
        <f t="shared" si="1"/>
        <v>1</v>
      </c>
      <c r="I306" s="11">
        <v>1318.0</v>
      </c>
      <c r="J306" s="11">
        <v>1824.0</v>
      </c>
      <c r="K306" s="11">
        <v>1441.0</v>
      </c>
      <c r="L306" s="11">
        <v>1674.0</v>
      </c>
      <c r="M306" s="11" t="b">
        <f t="shared" si="2"/>
        <v>1</v>
      </c>
      <c r="N306" s="11">
        <v>1136.0</v>
      </c>
      <c r="O306" s="11">
        <v>1450.0</v>
      </c>
    </row>
    <row r="307" ht="15.75" customHeight="1">
      <c r="A307" s="5" t="s">
        <v>445</v>
      </c>
      <c r="B307" s="5" t="s">
        <v>559</v>
      </c>
      <c r="C307" s="5" t="s">
        <v>561</v>
      </c>
      <c r="D307" s="11">
        <v>439.0</v>
      </c>
      <c r="E307" s="11">
        <v>611.0</v>
      </c>
      <c r="F307" s="11">
        <v>496.0</v>
      </c>
      <c r="G307" s="11">
        <v>652.0</v>
      </c>
      <c r="H307" s="11" t="b">
        <f t="shared" si="1"/>
        <v>1</v>
      </c>
      <c r="I307" s="11">
        <v>575.0</v>
      </c>
      <c r="J307" s="11">
        <v>839.0</v>
      </c>
      <c r="K307" s="11">
        <v>606.0</v>
      </c>
      <c r="L307" s="11">
        <v>825.0</v>
      </c>
      <c r="M307" s="11" t="b">
        <f t="shared" si="2"/>
        <v>1</v>
      </c>
      <c r="N307" s="11">
        <v>481.0</v>
      </c>
      <c r="O307" s="11">
        <v>656.0</v>
      </c>
    </row>
    <row r="308" ht="15.75" customHeight="1">
      <c r="A308" s="5" t="s">
        <v>445</v>
      </c>
      <c r="B308" s="5" t="s">
        <v>562</v>
      </c>
      <c r="C308" s="5" t="s">
        <v>563</v>
      </c>
      <c r="D308" s="11">
        <v>452.0</v>
      </c>
      <c r="E308" s="11">
        <v>452.0</v>
      </c>
      <c r="F308" s="11">
        <v>508.0</v>
      </c>
      <c r="G308" s="11">
        <v>437.0</v>
      </c>
      <c r="H308" s="11" t="b">
        <f t="shared" si="1"/>
        <v>1</v>
      </c>
      <c r="I308" s="11">
        <v>560.0</v>
      </c>
      <c r="J308" s="11">
        <v>546.0</v>
      </c>
      <c r="K308" s="11">
        <v>585.0</v>
      </c>
      <c r="L308" s="11">
        <v>527.0</v>
      </c>
      <c r="M308" s="11" t="b">
        <f t="shared" si="2"/>
        <v>1</v>
      </c>
      <c r="N308" s="11">
        <v>479.0</v>
      </c>
      <c r="O308" s="11">
        <v>435.0</v>
      </c>
    </row>
    <row r="309" ht="15.75" customHeight="1">
      <c r="A309" s="5" t="s">
        <v>445</v>
      </c>
      <c r="B309" s="5" t="s">
        <v>562</v>
      </c>
      <c r="C309" s="5" t="s">
        <v>564</v>
      </c>
      <c r="D309" s="11">
        <v>486.0</v>
      </c>
      <c r="E309" s="11">
        <v>603.0</v>
      </c>
      <c r="F309" s="11">
        <v>524.0</v>
      </c>
      <c r="G309" s="11">
        <v>659.0</v>
      </c>
      <c r="H309" s="11" t="b">
        <f t="shared" si="1"/>
        <v>1</v>
      </c>
      <c r="I309" s="11">
        <v>658.0</v>
      </c>
      <c r="J309" s="11">
        <v>906.0</v>
      </c>
      <c r="K309" s="11">
        <v>639.0</v>
      </c>
      <c r="L309" s="11">
        <v>886.0</v>
      </c>
      <c r="M309" s="11" t="b">
        <f t="shared" si="2"/>
        <v>1</v>
      </c>
      <c r="N309" s="11">
        <v>521.0</v>
      </c>
      <c r="O309" s="11">
        <v>694.0</v>
      </c>
    </row>
    <row r="310" ht="15.75" customHeight="1">
      <c r="A310" s="5" t="s">
        <v>445</v>
      </c>
      <c r="B310" s="5" t="s">
        <v>562</v>
      </c>
      <c r="C310" s="5" t="s">
        <v>565</v>
      </c>
      <c r="D310" s="11">
        <v>188.0</v>
      </c>
      <c r="E310" s="11">
        <v>220.0</v>
      </c>
      <c r="F310" s="11">
        <v>186.0</v>
      </c>
      <c r="G310" s="11">
        <v>236.0</v>
      </c>
      <c r="H310" s="11" t="b">
        <f t="shared" si="1"/>
        <v>1</v>
      </c>
      <c r="I310" s="11">
        <v>232.0</v>
      </c>
      <c r="J310" s="11">
        <v>305.0</v>
      </c>
      <c r="K310" s="11">
        <v>228.0</v>
      </c>
      <c r="L310" s="11">
        <v>306.0</v>
      </c>
      <c r="M310" s="11" t="b">
        <f t="shared" si="2"/>
        <v>1</v>
      </c>
      <c r="N310" s="11">
        <v>182.0</v>
      </c>
      <c r="O310" s="11">
        <v>241.0</v>
      </c>
    </row>
    <row r="311" ht="15.75" customHeight="1">
      <c r="A311" s="5" t="s">
        <v>445</v>
      </c>
      <c r="B311" s="5" t="s">
        <v>562</v>
      </c>
      <c r="C311" s="5" t="s">
        <v>566</v>
      </c>
      <c r="D311" s="11">
        <v>371.0</v>
      </c>
      <c r="E311" s="11">
        <v>352.0</v>
      </c>
      <c r="F311" s="11">
        <v>394.0</v>
      </c>
      <c r="G311" s="11">
        <v>360.0</v>
      </c>
      <c r="H311" s="11" t="b">
        <f t="shared" si="1"/>
        <v>1</v>
      </c>
      <c r="I311" s="11">
        <v>472.0</v>
      </c>
      <c r="J311" s="11">
        <v>459.0</v>
      </c>
      <c r="K311" s="11">
        <v>496.0</v>
      </c>
      <c r="L311" s="11">
        <v>458.0</v>
      </c>
      <c r="M311" s="11" t="b">
        <f t="shared" si="2"/>
        <v>1</v>
      </c>
      <c r="N311" s="11">
        <v>386.0</v>
      </c>
      <c r="O311" s="11">
        <v>362.0</v>
      </c>
    </row>
    <row r="312" ht="15.75" customHeight="1">
      <c r="A312" s="5" t="s">
        <v>445</v>
      </c>
      <c r="B312" s="5" t="s">
        <v>562</v>
      </c>
      <c r="C312" s="5" t="s">
        <v>567</v>
      </c>
      <c r="D312" s="11">
        <v>274.0</v>
      </c>
      <c r="E312" s="11">
        <v>256.0</v>
      </c>
      <c r="F312" s="11">
        <v>322.0</v>
      </c>
      <c r="G312" s="11">
        <v>270.0</v>
      </c>
      <c r="H312" s="11" t="b">
        <f t="shared" si="1"/>
        <v>1</v>
      </c>
      <c r="I312" s="11">
        <v>357.0</v>
      </c>
      <c r="J312" s="11">
        <v>346.0</v>
      </c>
      <c r="K312" s="11">
        <v>356.0</v>
      </c>
      <c r="L312" s="11">
        <v>335.0</v>
      </c>
      <c r="M312" s="11" t="b">
        <f t="shared" si="2"/>
        <v>1</v>
      </c>
      <c r="N312" s="11">
        <v>306.0</v>
      </c>
      <c r="O312" s="11">
        <v>286.0</v>
      </c>
    </row>
    <row r="313" ht="15.75" customHeight="1">
      <c r="A313" s="5" t="s">
        <v>445</v>
      </c>
      <c r="B313" s="5" t="s">
        <v>562</v>
      </c>
      <c r="C313" s="5" t="s">
        <v>568</v>
      </c>
      <c r="D313" s="11">
        <v>415.0</v>
      </c>
      <c r="E313" s="11">
        <v>368.0</v>
      </c>
      <c r="F313" s="11">
        <v>490.0</v>
      </c>
      <c r="G313" s="11">
        <v>382.0</v>
      </c>
      <c r="H313" s="11" t="b">
        <f t="shared" si="1"/>
        <v>1</v>
      </c>
      <c r="I313" s="11">
        <v>526.0</v>
      </c>
      <c r="J313" s="11">
        <v>464.0</v>
      </c>
      <c r="K313" s="11">
        <v>553.0</v>
      </c>
      <c r="L313" s="11">
        <v>445.0</v>
      </c>
      <c r="M313" s="11" t="b">
        <f t="shared" si="2"/>
        <v>1</v>
      </c>
      <c r="N313" s="11">
        <v>463.0</v>
      </c>
      <c r="O313" s="11">
        <v>394.0</v>
      </c>
    </row>
    <row r="314" ht="15.75" customHeight="1">
      <c r="A314" s="5" t="s">
        <v>445</v>
      </c>
      <c r="B314" s="5" t="s">
        <v>562</v>
      </c>
      <c r="C314" s="5" t="s">
        <v>569</v>
      </c>
      <c r="D314" s="11">
        <v>120.0</v>
      </c>
      <c r="E314" s="11">
        <v>165.0</v>
      </c>
      <c r="F314" s="11">
        <v>145.0</v>
      </c>
      <c r="G314" s="11">
        <v>189.0</v>
      </c>
      <c r="H314" s="11" t="b">
        <f t="shared" si="1"/>
        <v>1</v>
      </c>
      <c r="I314" s="11">
        <v>170.0</v>
      </c>
      <c r="J314" s="11">
        <v>244.0</v>
      </c>
      <c r="K314" s="11">
        <v>177.0</v>
      </c>
      <c r="L314" s="11">
        <v>256.0</v>
      </c>
      <c r="M314" s="11" t="b">
        <f t="shared" si="2"/>
        <v>1</v>
      </c>
      <c r="N314" s="11">
        <v>141.0</v>
      </c>
      <c r="O314" s="11">
        <v>195.0</v>
      </c>
    </row>
    <row r="315" ht="15.75" customHeight="1">
      <c r="A315" s="5" t="s">
        <v>445</v>
      </c>
      <c r="B315" s="5" t="s">
        <v>562</v>
      </c>
      <c r="C315" s="5" t="s">
        <v>571</v>
      </c>
      <c r="D315" s="11">
        <v>309.0</v>
      </c>
      <c r="E315" s="11">
        <v>419.0</v>
      </c>
      <c r="F315" s="11">
        <v>350.0</v>
      </c>
      <c r="G315" s="11">
        <v>475.0</v>
      </c>
      <c r="H315" s="11" t="b">
        <f t="shared" si="1"/>
        <v>1</v>
      </c>
      <c r="I315" s="11">
        <v>400.0</v>
      </c>
      <c r="J315" s="11">
        <v>576.0</v>
      </c>
      <c r="K315" s="11">
        <v>423.0</v>
      </c>
      <c r="L315" s="11">
        <v>592.0</v>
      </c>
      <c r="M315" s="11" t="b">
        <f t="shared" si="2"/>
        <v>1</v>
      </c>
      <c r="N315" s="11">
        <v>354.0</v>
      </c>
      <c r="O315" s="11">
        <v>484.0</v>
      </c>
    </row>
    <row r="316" ht="15.75" customHeight="1">
      <c r="A316" s="5" t="s">
        <v>445</v>
      </c>
      <c r="B316" s="5" t="s">
        <v>572</v>
      </c>
      <c r="C316" s="5" t="s">
        <v>573</v>
      </c>
      <c r="D316" s="11">
        <v>301.0</v>
      </c>
      <c r="E316" s="11">
        <v>551.0</v>
      </c>
      <c r="F316" s="11">
        <v>327.0</v>
      </c>
      <c r="G316" s="11">
        <v>610.0</v>
      </c>
      <c r="H316" s="11" t="b">
        <f t="shared" si="1"/>
        <v>1</v>
      </c>
      <c r="I316" s="11">
        <v>380.0</v>
      </c>
      <c r="J316" s="11">
        <v>781.0</v>
      </c>
      <c r="K316" s="11">
        <v>409.0</v>
      </c>
      <c r="L316" s="11">
        <v>764.0</v>
      </c>
      <c r="M316" s="11" t="b">
        <f t="shared" si="2"/>
        <v>1</v>
      </c>
      <c r="N316" s="11">
        <v>325.0</v>
      </c>
      <c r="O316" s="11">
        <v>627.0</v>
      </c>
    </row>
    <row r="317" ht="15.75" customHeight="1">
      <c r="A317" s="5" t="s">
        <v>445</v>
      </c>
      <c r="B317" s="5" t="s">
        <v>572</v>
      </c>
      <c r="C317" s="5" t="s">
        <v>574</v>
      </c>
      <c r="D317" s="11">
        <v>575.0</v>
      </c>
      <c r="E317" s="11">
        <v>1059.0</v>
      </c>
      <c r="F317" s="11">
        <v>654.0</v>
      </c>
      <c r="G317" s="11">
        <v>1185.0</v>
      </c>
      <c r="H317" s="11" t="b">
        <f t="shared" si="1"/>
        <v>1</v>
      </c>
      <c r="I317" s="11">
        <v>773.0</v>
      </c>
      <c r="J317" s="11">
        <v>1569.0</v>
      </c>
      <c r="K317" s="11">
        <v>805.0</v>
      </c>
      <c r="L317" s="11">
        <v>1577.0</v>
      </c>
      <c r="M317" s="11" t="b">
        <f t="shared" si="2"/>
        <v>1</v>
      </c>
      <c r="N317" s="11">
        <v>659.0</v>
      </c>
      <c r="O317" s="11">
        <v>1249.0</v>
      </c>
    </row>
    <row r="318" ht="15.75" customHeight="1">
      <c r="A318" s="5" t="s">
        <v>445</v>
      </c>
      <c r="B318" s="5" t="s">
        <v>572</v>
      </c>
      <c r="C318" s="5" t="s">
        <v>575</v>
      </c>
      <c r="D318" s="11">
        <v>390.0</v>
      </c>
      <c r="E318" s="11">
        <v>826.0</v>
      </c>
      <c r="F318" s="11">
        <v>452.0</v>
      </c>
      <c r="G318" s="11">
        <v>895.0</v>
      </c>
      <c r="H318" s="11" t="b">
        <f t="shared" si="1"/>
        <v>1</v>
      </c>
      <c r="I318" s="11">
        <v>524.0</v>
      </c>
      <c r="J318" s="11">
        <v>1157.0</v>
      </c>
      <c r="K318" s="11">
        <v>547.0</v>
      </c>
      <c r="L318" s="11">
        <v>1179.0</v>
      </c>
      <c r="M318" s="11" t="b">
        <f t="shared" si="2"/>
        <v>1</v>
      </c>
      <c r="N318" s="11">
        <v>430.0</v>
      </c>
      <c r="O318" s="11">
        <v>917.0</v>
      </c>
    </row>
    <row r="319" ht="15.75" customHeight="1">
      <c r="A319" s="5" t="s">
        <v>445</v>
      </c>
      <c r="B319" s="5" t="s">
        <v>572</v>
      </c>
      <c r="C319" s="5" t="s">
        <v>576</v>
      </c>
      <c r="D319" s="11">
        <v>187.0</v>
      </c>
      <c r="E319" s="11">
        <v>385.0</v>
      </c>
      <c r="F319" s="11">
        <v>228.0</v>
      </c>
      <c r="G319" s="11">
        <v>401.0</v>
      </c>
      <c r="H319" s="11" t="b">
        <f t="shared" si="1"/>
        <v>1</v>
      </c>
      <c r="I319" s="11">
        <v>247.0</v>
      </c>
      <c r="J319" s="11">
        <v>515.0</v>
      </c>
      <c r="K319" s="11">
        <v>245.0</v>
      </c>
      <c r="L319" s="11">
        <v>537.0</v>
      </c>
      <c r="M319" s="11" t="b">
        <f t="shared" si="2"/>
        <v>1</v>
      </c>
      <c r="N319" s="11">
        <v>210.0</v>
      </c>
      <c r="O319" s="11">
        <v>430.0</v>
      </c>
    </row>
    <row r="320" ht="15.75" customHeight="1">
      <c r="A320" s="5" t="s">
        <v>445</v>
      </c>
      <c r="B320" s="5" t="s">
        <v>577</v>
      </c>
      <c r="C320" s="5" t="s">
        <v>578</v>
      </c>
      <c r="D320" s="11">
        <v>419.0</v>
      </c>
      <c r="E320" s="11">
        <v>448.0</v>
      </c>
      <c r="F320" s="11">
        <v>477.0</v>
      </c>
      <c r="G320" s="11">
        <v>476.0</v>
      </c>
      <c r="H320" s="11" t="b">
        <f t="shared" si="1"/>
        <v>1</v>
      </c>
      <c r="I320" s="11">
        <v>555.0</v>
      </c>
      <c r="J320" s="11">
        <v>624.0</v>
      </c>
      <c r="K320" s="11">
        <v>601.0</v>
      </c>
      <c r="L320" s="11">
        <v>605.0</v>
      </c>
      <c r="M320" s="11" t="b">
        <f t="shared" si="2"/>
        <v>1</v>
      </c>
      <c r="N320" s="11">
        <v>490.0</v>
      </c>
      <c r="O320" s="11">
        <v>488.0</v>
      </c>
    </row>
    <row r="321" ht="15.75" customHeight="1">
      <c r="A321" s="5" t="s">
        <v>445</v>
      </c>
      <c r="B321" s="5" t="s">
        <v>577</v>
      </c>
      <c r="C321" s="5" t="s">
        <v>579</v>
      </c>
      <c r="D321" s="11">
        <v>360.0</v>
      </c>
      <c r="E321" s="11">
        <v>343.0</v>
      </c>
      <c r="F321" s="11">
        <v>428.0</v>
      </c>
      <c r="G321" s="11">
        <v>350.0</v>
      </c>
      <c r="H321" s="11" t="b">
        <f t="shared" si="1"/>
        <v>1</v>
      </c>
      <c r="I321" s="11">
        <v>511.0</v>
      </c>
      <c r="J321" s="11">
        <v>494.0</v>
      </c>
      <c r="K321" s="11">
        <v>523.0</v>
      </c>
      <c r="L321" s="11">
        <v>542.0</v>
      </c>
      <c r="M321" s="11" t="b">
        <f t="shared" si="2"/>
        <v>1</v>
      </c>
      <c r="N321" s="11">
        <v>397.0</v>
      </c>
      <c r="O321" s="11">
        <v>384.0</v>
      </c>
    </row>
    <row r="322" ht="15.75" customHeight="1">
      <c r="A322" s="5" t="s">
        <v>445</v>
      </c>
      <c r="B322" s="5" t="s">
        <v>577</v>
      </c>
      <c r="C322" s="5" t="s">
        <v>580</v>
      </c>
      <c r="D322" s="11">
        <v>316.0</v>
      </c>
      <c r="E322" s="11">
        <v>337.0</v>
      </c>
      <c r="F322" s="11">
        <v>367.0</v>
      </c>
      <c r="G322" s="11">
        <v>362.0</v>
      </c>
      <c r="H322" s="11" t="b">
        <f t="shared" si="1"/>
        <v>1</v>
      </c>
      <c r="I322" s="11">
        <v>474.0</v>
      </c>
      <c r="J322" s="11">
        <v>508.0</v>
      </c>
      <c r="K322" s="11">
        <v>472.0</v>
      </c>
      <c r="L322" s="11">
        <v>517.0</v>
      </c>
      <c r="M322" s="11" t="b">
        <f t="shared" si="2"/>
        <v>1</v>
      </c>
      <c r="N322" s="11">
        <v>367.0</v>
      </c>
      <c r="O322" s="11">
        <v>390.0</v>
      </c>
    </row>
    <row r="323" ht="15.75" customHeight="1">
      <c r="A323" s="5" t="s">
        <v>445</v>
      </c>
      <c r="B323" s="5" t="s">
        <v>581</v>
      </c>
      <c r="C323" s="5" t="s">
        <v>582</v>
      </c>
      <c r="D323" s="11">
        <v>150.0</v>
      </c>
      <c r="E323" s="11">
        <v>179.0</v>
      </c>
      <c r="F323" s="11">
        <v>168.0</v>
      </c>
      <c r="G323" s="11">
        <v>194.0</v>
      </c>
      <c r="H323" s="11" t="b">
        <f t="shared" si="1"/>
        <v>1</v>
      </c>
      <c r="I323" s="11">
        <v>233.0</v>
      </c>
      <c r="J323" s="11">
        <v>296.0</v>
      </c>
      <c r="K323" s="11">
        <v>222.0</v>
      </c>
      <c r="L323" s="11">
        <v>276.0</v>
      </c>
      <c r="M323" s="11" t="b">
        <f t="shared" si="2"/>
        <v>1</v>
      </c>
      <c r="N323" s="11">
        <v>174.0</v>
      </c>
      <c r="O323" s="11">
        <v>209.0</v>
      </c>
    </row>
    <row r="324" ht="15.75" customHeight="1">
      <c r="A324" s="5" t="s">
        <v>445</v>
      </c>
      <c r="B324" s="5" t="s">
        <v>581</v>
      </c>
      <c r="C324" s="5" t="s">
        <v>584</v>
      </c>
      <c r="D324" s="11">
        <v>416.0</v>
      </c>
      <c r="E324" s="11">
        <v>430.0</v>
      </c>
      <c r="F324" s="11">
        <v>476.0</v>
      </c>
      <c r="G324" s="11">
        <v>440.0</v>
      </c>
      <c r="H324" s="11" t="b">
        <f t="shared" si="1"/>
        <v>1</v>
      </c>
      <c r="I324" s="11">
        <v>605.0</v>
      </c>
      <c r="J324" s="11">
        <v>644.0</v>
      </c>
      <c r="K324" s="11">
        <v>625.0</v>
      </c>
      <c r="L324" s="11">
        <v>613.0</v>
      </c>
      <c r="M324" s="11" t="b">
        <f t="shared" si="2"/>
        <v>1</v>
      </c>
      <c r="N324" s="11">
        <v>530.0</v>
      </c>
      <c r="O324" s="11">
        <v>519.0</v>
      </c>
    </row>
    <row r="325" ht="15.75" customHeight="1">
      <c r="A325" s="5" t="s">
        <v>445</v>
      </c>
      <c r="B325" s="5" t="s">
        <v>585</v>
      </c>
      <c r="C325" s="5" t="s">
        <v>586</v>
      </c>
      <c r="D325" s="11">
        <v>429.0</v>
      </c>
      <c r="E325" s="11">
        <v>495.0</v>
      </c>
      <c r="F325" s="11">
        <v>471.0</v>
      </c>
      <c r="G325" s="11">
        <v>484.0</v>
      </c>
      <c r="H325" s="11" t="b">
        <f t="shared" si="1"/>
        <v>1</v>
      </c>
      <c r="I325" s="11">
        <v>658.0</v>
      </c>
      <c r="J325" s="11">
        <v>740.0</v>
      </c>
      <c r="K325" s="11">
        <v>628.0</v>
      </c>
      <c r="L325" s="11">
        <v>719.0</v>
      </c>
      <c r="M325" s="11" t="b">
        <f t="shared" si="2"/>
        <v>1</v>
      </c>
      <c r="N325" s="11">
        <v>483.0</v>
      </c>
      <c r="O325" s="11">
        <v>545.0</v>
      </c>
    </row>
    <row r="326" ht="15.75" customHeight="1">
      <c r="A326" s="5" t="s">
        <v>445</v>
      </c>
      <c r="B326" s="5" t="s">
        <v>585</v>
      </c>
      <c r="C326" s="5" t="s">
        <v>587</v>
      </c>
      <c r="D326" s="11">
        <v>363.0</v>
      </c>
      <c r="E326" s="11">
        <v>422.0</v>
      </c>
      <c r="F326" s="11">
        <v>423.0</v>
      </c>
      <c r="G326" s="11">
        <v>411.0</v>
      </c>
      <c r="H326" s="11" t="b">
        <f t="shared" si="1"/>
        <v>1</v>
      </c>
      <c r="I326" s="11">
        <v>580.0</v>
      </c>
      <c r="J326" s="11">
        <v>631.0</v>
      </c>
      <c r="K326" s="11">
        <v>588.0</v>
      </c>
      <c r="L326" s="11">
        <v>628.0</v>
      </c>
      <c r="M326" s="11" t="b">
        <f t="shared" si="2"/>
        <v>1</v>
      </c>
      <c r="N326" s="11">
        <v>419.0</v>
      </c>
      <c r="O326" s="11">
        <v>449.0</v>
      </c>
    </row>
    <row r="327" ht="15.75" customHeight="1">
      <c r="A327" s="5" t="s">
        <v>445</v>
      </c>
      <c r="B327" s="5" t="s">
        <v>585</v>
      </c>
      <c r="C327" s="5" t="s">
        <v>588</v>
      </c>
      <c r="D327" s="11">
        <v>730.0</v>
      </c>
      <c r="E327" s="11">
        <v>851.0</v>
      </c>
      <c r="F327" s="11">
        <v>874.0</v>
      </c>
      <c r="G327" s="11">
        <v>886.0</v>
      </c>
      <c r="H327" s="11" t="b">
        <f t="shared" si="1"/>
        <v>1</v>
      </c>
      <c r="I327" s="11">
        <v>1190.0</v>
      </c>
      <c r="J327" s="11">
        <v>1347.0</v>
      </c>
      <c r="K327" s="11">
        <v>1120.0</v>
      </c>
      <c r="L327" s="11">
        <v>1352.0</v>
      </c>
      <c r="M327" s="11" t="b">
        <f t="shared" si="2"/>
        <v>1</v>
      </c>
      <c r="N327" s="11">
        <v>878.0</v>
      </c>
      <c r="O327" s="11">
        <v>996.0</v>
      </c>
    </row>
    <row r="328" ht="15.75" customHeight="1">
      <c r="A328" s="5" t="s">
        <v>445</v>
      </c>
      <c r="B328" s="5" t="s">
        <v>585</v>
      </c>
      <c r="C328" s="5" t="s">
        <v>589</v>
      </c>
      <c r="D328" s="11">
        <v>152.0</v>
      </c>
      <c r="E328" s="11">
        <v>189.0</v>
      </c>
      <c r="F328" s="11">
        <v>189.0</v>
      </c>
      <c r="G328" s="11">
        <v>189.0</v>
      </c>
      <c r="H328" s="11" t="b">
        <f t="shared" si="1"/>
        <v>1</v>
      </c>
      <c r="I328" s="11">
        <v>265.0</v>
      </c>
      <c r="J328" s="11">
        <v>302.0</v>
      </c>
      <c r="K328" s="11">
        <v>237.0</v>
      </c>
      <c r="L328" s="11">
        <v>324.0</v>
      </c>
      <c r="M328" s="11" t="b">
        <f t="shared" si="2"/>
        <v>1</v>
      </c>
      <c r="N328" s="11">
        <v>182.0</v>
      </c>
      <c r="O328" s="11">
        <v>216.0</v>
      </c>
    </row>
    <row r="329" ht="15.75" customHeight="1">
      <c r="A329" s="5" t="s">
        <v>445</v>
      </c>
      <c r="B329" s="5" t="s">
        <v>590</v>
      </c>
      <c r="C329" s="5" t="s">
        <v>591</v>
      </c>
      <c r="D329" s="11">
        <v>473.0</v>
      </c>
      <c r="E329" s="11">
        <v>493.0</v>
      </c>
      <c r="F329" s="11">
        <v>497.0</v>
      </c>
      <c r="G329" s="11">
        <v>505.0</v>
      </c>
      <c r="H329" s="11" t="b">
        <f t="shared" si="1"/>
        <v>1</v>
      </c>
      <c r="I329" s="11">
        <v>628.0</v>
      </c>
      <c r="J329" s="11">
        <v>697.0</v>
      </c>
      <c r="K329" s="11">
        <v>600.0</v>
      </c>
      <c r="L329" s="11">
        <v>681.0</v>
      </c>
      <c r="M329" s="11" t="b">
        <f t="shared" si="2"/>
        <v>1</v>
      </c>
      <c r="N329" s="11">
        <v>491.0</v>
      </c>
      <c r="O329" s="11">
        <v>534.0</v>
      </c>
    </row>
    <row r="330" ht="15.75" customHeight="1">
      <c r="A330" s="5" t="s">
        <v>445</v>
      </c>
      <c r="B330" s="5" t="s">
        <v>590</v>
      </c>
      <c r="C330" s="5" t="s">
        <v>592</v>
      </c>
      <c r="D330" s="11">
        <v>541.0</v>
      </c>
      <c r="E330" s="11">
        <v>539.0</v>
      </c>
      <c r="F330" s="11">
        <v>616.0</v>
      </c>
      <c r="G330" s="11">
        <v>541.0</v>
      </c>
      <c r="H330" s="11" t="b">
        <f t="shared" si="1"/>
        <v>1</v>
      </c>
      <c r="I330" s="11">
        <v>825.0</v>
      </c>
      <c r="J330" s="11">
        <v>822.0</v>
      </c>
      <c r="K330" s="11">
        <v>824.0</v>
      </c>
      <c r="L330" s="11">
        <v>795.0</v>
      </c>
      <c r="M330" s="11" t="b">
        <f t="shared" si="2"/>
        <v>1</v>
      </c>
      <c r="N330" s="11">
        <v>654.0</v>
      </c>
      <c r="O330" s="11">
        <v>621.0</v>
      </c>
    </row>
    <row r="331" ht="15.75" customHeight="1">
      <c r="A331" s="5" t="s">
        <v>445</v>
      </c>
      <c r="B331" s="5" t="s">
        <v>590</v>
      </c>
      <c r="C331" s="5" t="s">
        <v>593</v>
      </c>
      <c r="D331" s="11">
        <v>797.0</v>
      </c>
      <c r="E331" s="11">
        <v>847.0</v>
      </c>
      <c r="F331" s="11">
        <v>885.0</v>
      </c>
      <c r="G331" s="11">
        <v>945.0</v>
      </c>
      <c r="H331" s="11" t="b">
        <f t="shared" si="1"/>
        <v>1</v>
      </c>
      <c r="I331" s="11">
        <v>1153.0</v>
      </c>
      <c r="J331" s="11">
        <v>1332.0</v>
      </c>
      <c r="K331" s="11">
        <v>1193.0</v>
      </c>
      <c r="L331" s="11">
        <v>1334.0</v>
      </c>
      <c r="M331" s="11" t="b">
        <f t="shared" si="2"/>
        <v>1</v>
      </c>
      <c r="N331" s="11">
        <v>895.0</v>
      </c>
      <c r="O331" s="11">
        <v>995.0</v>
      </c>
    </row>
    <row r="332" ht="15.75" customHeight="1">
      <c r="A332" s="5" t="s">
        <v>445</v>
      </c>
      <c r="B332" s="5" t="s">
        <v>590</v>
      </c>
      <c r="C332" s="5" t="s">
        <v>594</v>
      </c>
      <c r="D332" s="11">
        <v>1381.0</v>
      </c>
      <c r="E332" s="11">
        <v>1149.0</v>
      </c>
      <c r="F332" s="11">
        <v>1457.0</v>
      </c>
      <c r="G332" s="11">
        <v>1179.0</v>
      </c>
      <c r="H332" s="11" t="b">
        <f t="shared" si="1"/>
        <v>1</v>
      </c>
      <c r="I332" s="11">
        <v>1867.0</v>
      </c>
      <c r="J332" s="11">
        <v>1615.0</v>
      </c>
      <c r="K332" s="11">
        <v>1923.0</v>
      </c>
      <c r="L332" s="11">
        <v>1578.0</v>
      </c>
      <c r="M332" s="11" t="b">
        <f t="shared" si="2"/>
        <v>1</v>
      </c>
      <c r="N332" s="11">
        <v>1494.0</v>
      </c>
      <c r="O332" s="11">
        <v>1249.0</v>
      </c>
    </row>
    <row r="333" ht="15.75" customHeight="1">
      <c r="A333" s="5" t="s">
        <v>445</v>
      </c>
      <c r="B333" s="5" t="s">
        <v>590</v>
      </c>
      <c r="C333" s="5" t="s">
        <v>597</v>
      </c>
      <c r="D333" s="11">
        <v>604.0</v>
      </c>
      <c r="E333" s="11">
        <v>624.0</v>
      </c>
      <c r="F333" s="11">
        <v>640.0</v>
      </c>
      <c r="G333" s="11">
        <v>661.0</v>
      </c>
      <c r="H333" s="11" t="b">
        <f t="shared" si="1"/>
        <v>1</v>
      </c>
      <c r="I333" s="11">
        <v>732.0</v>
      </c>
      <c r="J333" s="11">
        <v>823.0</v>
      </c>
      <c r="K333" s="11">
        <v>755.0</v>
      </c>
      <c r="L333" s="11">
        <v>789.0</v>
      </c>
      <c r="M333" s="11" t="b">
        <f t="shared" si="2"/>
        <v>1</v>
      </c>
      <c r="N333" s="11">
        <v>642.0</v>
      </c>
      <c r="O333" s="11">
        <v>665.0</v>
      </c>
    </row>
    <row r="334" ht="15.75" customHeight="1">
      <c r="A334" s="5" t="s">
        <v>445</v>
      </c>
      <c r="B334" s="5" t="s">
        <v>590</v>
      </c>
      <c r="C334" s="5" t="s">
        <v>598</v>
      </c>
      <c r="D334" s="11">
        <v>284.0</v>
      </c>
      <c r="E334" s="11">
        <v>301.0</v>
      </c>
      <c r="F334" s="11">
        <v>293.0</v>
      </c>
      <c r="G334" s="11">
        <v>336.0</v>
      </c>
      <c r="H334" s="11" t="b">
        <f t="shared" si="1"/>
        <v>1</v>
      </c>
      <c r="I334" s="11">
        <v>375.0</v>
      </c>
      <c r="J334" s="11">
        <v>436.0</v>
      </c>
      <c r="K334" s="11">
        <v>358.0</v>
      </c>
      <c r="L334" s="11">
        <v>461.0</v>
      </c>
      <c r="M334" s="11" t="b">
        <f t="shared" si="2"/>
        <v>1</v>
      </c>
      <c r="N334" s="11">
        <v>290.0</v>
      </c>
      <c r="O334" s="11">
        <v>342.0</v>
      </c>
    </row>
    <row r="335" ht="15.75" customHeight="1">
      <c r="A335" s="5" t="s">
        <v>445</v>
      </c>
      <c r="B335" s="5" t="s">
        <v>590</v>
      </c>
      <c r="C335" s="5" t="s">
        <v>599</v>
      </c>
      <c r="D335" s="11">
        <v>932.0</v>
      </c>
      <c r="E335" s="11">
        <v>711.0</v>
      </c>
      <c r="F335" s="11">
        <v>1015.0</v>
      </c>
      <c r="G335" s="11">
        <v>743.0</v>
      </c>
      <c r="H335" s="11" t="b">
        <f t="shared" si="1"/>
        <v>1</v>
      </c>
      <c r="I335" s="11">
        <v>1377.0</v>
      </c>
      <c r="J335" s="11">
        <v>1114.0</v>
      </c>
      <c r="K335" s="11">
        <v>1321.0</v>
      </c>
      <c r="L335" s="11">
        <v>1098.0</v>
      </c>
      <c r="M335" s="11" t="b">
        <f t="shared" si="2"/>
        <v>1</v>
      </c>
      <c r="N335" s="11">
        <v>995.0</v>
      </c>
      <c r="O335" s="11">
        <v>790.0</v>
      </c>
    </row>
    <row r="336" ht="15.75" customHeight="1">
      <c r="A336" s="5" t="s">
        <v>445</v>
      </c>
      <c r="B336" s="5" t="s">
        <v>600</v>
      </c>
      <c r="C336" s="5" t="s">
        <v>601</v>
      </c>
      <c r="D336" s="11">
        <v>62.0</v>
      </c>
      <c r="E336" s="11">
        <v>99.0</v>
      </c>
      <c r="F336" s="11">
        <v>79.0</v>
      </c>
      <c r="G336" s="11">
        <v>114.0</v>
      </c>
      <c r="H336" s="11" t="b">
        <f t="shared" si="1"/>
        <v>1</v>
      </c>
      <c r="I336" s="11">
        <v>112.0</v>
      </c>
      <c r="J336" s="11">
        <v>184.0</v>
      </c>
      <c r="K336" s="11">
        <v>112.0</v>
      </c>
      <c r="L336" s="11">
        <v>199.0</v>
      </c>
      <c r="M336" s="11" t="b">
        <f t="shared" si="2"/>
        <v>1</v>
      </c>
      <c r="N336" s="11">
        <v>80.0</v>
      </c>
      <c r="O336" s="11">
        <v>135.0</v>
      </c>
    </row>
    <row r="337" ht="15.75" customHeight="1">
      <c r="A337" s="5" t="s">
        <v>445</v>
      </c>
      <c r="B337" s="5" t="s">
        <v>600</v>
      </c>
      <c r="C337" s="5" t="s">
        <v>602</v>
      </c>
      <c r="D337" s="11">
        <v>180.0</v>
      </c>
      <c r="E337" s="11">
        <v>346.0</v>
      </c>
      <c r="F337" s="11">
        <v>196.0</v>
      </c>
      <c r="G337" s="11">
        <v>365.0</v>
      </c>
      <c r="H337" s="11" t="b">
        <f t="shared" si="1"/>
        <v>1</v>
      </c>
      <c r="I337" s="11">
        <v>233.0</v>
      </c>
      <c r="J337" s="11">
        <v>480.0</v>
      </c>
      <c r="K337" s="11">
        <v>259.0</v>
      </c>
      <c r="L337" s="11">
        <v>480.0</v>
      </c>
      <c r="M337" s="11" t="b">
        <f t="shared" si="2"/>
        <v>1</v>
      </c>
      <c r="N337" s="11">
        <v>189.0</v>
      </c>
      <c r="O337" s="11">
        <v>374.0</v>
      </c>
    </row>
    <row r="338" ht="15.75" customHeight="1">
      <c r="A338" s="5" t="s">
        <v>445</v>
      </c>
      <c r="B338" s="5" t="s">
        <v>600</v>
      </c>
      <c r="C338" s="5" t="s">
        <v>603</v>
      </c>
      <c r="D338" s="11">
        <v>147.0</v>
      </c>
      <c r="E338" s="11">
        <v>178.0</v>
      </c>
      <c r="F338" s="11">
        <v>145.0</v>
      </c>
      <c r="G338" s="11">
        <v>194.0</v>
      </c>
      <c r="H338" s="11" t="b">
        <f t="shared" si="1"/>
        <v>1</v>
      </c>
      <c r="I338" s="11">
        <v>207.0</v>
      </c>
      <c r="J338" s="11">
        <v>289.0</v>
      </c>
      <c r="K338" s="11">
        <v>204.0</v>
      </c>
      <c r="L338" s="11">
        <v>301.0</v>
      </c>
      <c r="M338" s="11" t="b">
        <f t="shared" si="2"/>
        <v>1</v>
      </c>
      <c r="N338" s="11">
        <v>150.0</v>
      </c>
      <c r="O338" s="11">
        <v>212.0</v>
      </c>
    </row>
    <row r="339" ht="15.75" customHeight="1">
      <c r="A339" s="5" t="s">
        <v>445</v>
      </c>
      <c r="B339" s="5" t="s">
        <v>600</v>
      </c>
      <c r="C339" s="5" t="s">
        <v>604</v>
      </c>
      <c r="D339" s="11">
        <v>86.0</v>
      </c>
      <c r="E339" s="11">
        <v>107.0</v>
      </c>
      <c r="F339" s="11">
        <v>91.0</v>
      </c>
      <c r="G339" s="11">
        <v>105.0</v>
      </c>
      <c r="H339" s="11" t="b">
        <f t="shared" si="1"/>
        <v>1</v>
      </c>
      <c r="I339" s="11">
        <v>144.0</v>
      </c>
      <c r="J339" s="11">
        <v>192.0</v>
      </c>
      <c r="K339" s="11">
        <v>128.0</v>
      </c>
      <c r="L339" s="11">
        <v>200.0</v>
      </c>
      <c r="M339" s="11" t="b">
        <f t="shared" si="2"/>
        <v>1</v>
      </c>
      <c r="N339" s="11">
        <v>90.0</v>
      </c>
      <c r="O339" s="11">
        <v>126.0</v>
      </c>
    </row>
    <row r="340" ht="15.75" customHeight="1">
      <c r="A340" s="5" t="s">
        <v>445</v>
      </c>
      <c r="B340" s="5" t="s">
        <v>605</v>
      </c>
      <c r="C340" s="5" t="s">
        <v>606</v>
      </c>
      <c r="D340" s="11">
        <v>321.0</v>
      </c>
      <c r="E340" s="11">
        <v>531.0</v>
      </c>
      <c r="F340" s="11">
        <v>319.0</v>
      </c>
      <c r="G340" s="11">
        <v>601.0</v>
      </c>
      <c r="H340" s="11" t="b">
        <f t="shared" si="1"/>
        <v>1</v>
      </c>
      <c r="I340" s="11">
        <v>407.0</v>
      </c>
      <c r="J340" s="11">
        <v>785.0</v>
      </c>
      <c r="K340" s="11">
        <v>412.0</v>
      </c>
      <c r="L340" s="11">
        <v>767.0</v>
      </c>
      <c r="M340" s="11" t="b">
        <f t="shared" si="2"/>
        <v>1</v>
      </c>
      <c r="N340" s="11">
        <v>337.0</v>
      </c>
      <c r="O340" s="11">
        <v>614.0</v>
      </c>
    </row>
    <row r="341" ht="15.75" customHeight="1">
      <c r="A341" s="5" t="s">
        <v>445</v>
      </c>
      <c r="B341" s="5" t="s">
        <v>605</v>
      </c>
      <c r="C341" s="5" t="s">
        <v>607</v>
      </c>
      <c r="D341" s="11">
        <v>272.0</v>
      </c>
      <c r="E341" s="11">
        <v>432.0</v>
      </c>
      <c r="F341" s="11">
        <v>273.0</v>
      </c>
      <c r="G341" s="11">
        <v>469.0</v>
      </c>
      <c r="H341" s="11" t="b">
        <f t="shared" si="1"/>
        <v>1</v>
      </c>
      <c r="I341" s="11">
        <v>348.0</v>
      </c>
      <c r="J341" s="11">
        <v>638.0</v>
      </c>
      <c r="K341" s="11">
        <v>361.0</v>
      </c>
      <c r="L341" s="11">
        <v>633.0</v>
      </c>
      <c r="M341" s="11" t="b">
        <f t="shared" si="2"/>
        <v>1</v>
      </c>
      <c r="N341" s="11">
        <v>279.0</v>
      </c>
      <c r="O341" s="11">
        <v>470.0</v>
      </c>
    </row>
    <row r="342" ht="15.75" customHeight="1">
      <c r="A342" s="5" t="s">
        <v>445</v>
      </c>
      <c r="B342" s="5" t="s">
        <v>605</v>
      </c>
      <c r="C342" s="5" t="s">
        <v>608</v>
      </c>
      <c r="D342" s="11">
        <v>198.0</v>
      </c>
      <c r="E342" s="11">
        <v>388.0</v>
      </c>
      <c r="F342" s="11">
        <v>243.0</v>
      </c>
      <c r="G342" s="11">
        <v>462.0</v>
      </c>
      <c r="H342" s="11" t="b">
        <f t="shared" si="1"/>
        <v>1</v>
      </c>
      <c r="I342" s="11">
        <v>286.0</v>
      </c>
      <c r="J342" s="11">
        <v>590.0</v>
      </c>
      <c r="K342" s="11">
        <v>286.0</v>
      </c>
      <c r="L342" s="11">
        <v>553.0</v>
      </c>
      <c r="M342" s="11" t="b">
        <f t="shared" si="2"/>
        <v>1</v>
      </c>
      <c r="N342" s="11">
        <v>236.0</v>
      </c>
      <c r="O342" s="11">
        <v>471.0</v>
      </c>
    </row>
    <row r="343" ht="15.75" customHeight="1">
      <c r="A343" s="5" t="s">
        <v>445</v>
      </c>
      <c r="B343" s="5" t="s">
        <v>605</v>
      </c>
      <c r="C343" s="5" t="s">
        <v>611</v>
      </c>
      <c r="D343" s="11">
        <v>215.0</v>
      </c>
      <c r="E343" s="11">
        <v>395.0</v>
      </c>
      <c r="F343" s="11">
        <v>241.0</v>
      </c>
      <c r="G343" s="11">
        <v>466.0</v>
      </c>
      <c r="H343" s="11" t="b">
        <f t="shared" si="1"/>
        <v>1</v>
      </c>
      <c r="I343" s="11">
        <v>296.0</v>
      </c>
      <c r="J343" s="11">
        <v>600.0</v>
      </c>
      <c r="K343" s="11">
        <v>302.0</v>
      </c>
      <c r="L343" s="11">
        <v>608.0</v>
      </c>
      <c r="M343" s="11" t="b">
        <f t="shared" si="2"/>
        <v>1</v>
      </c>
      <c r="N343" s="11">
        <v>247.0</v>
      </c>
      <c r="O343" s="11">
        <v>466.0</v>
      </c>
    </row>
    <row r="344" ht="15.75" customHeight="1">
      <c r="A344" s="5" t="s">
        <v>445</v>
      </c>
      <c r="B344" s="5" t="s">
        <v>612</v>
      </c>
      <c r="C344" s="5" t="s">
        <v>613</v>
      </c>
      <c r="D344" s="11">
        <v>60.0</v>
      </c>
      <c r="E344" s="11">
        <v>118.0</v>
      </c>
      <c r="F344" s="11">
        <v>65.0</v>
      </c>
      <c r="G344" s="11">
        <v>129.0</v>
      </c>
      <c r="H344" s="11" t="b">
        <f t="shared" si="1"/>
        <v>1</v>
      </c>
      <c r="I344" s="11">
        <v>83.0</v>
      </c>
      <c r="J344" s="11">
        <v>166.0</v>
      </c>
      <c r="K344" s="11">
        <v>92.0</v>
      </c>
      <c r="L344" s="11">
        <v>167.0</v>
      </c>
      <c r="M344" s="11" t="b">
        <f t="shared" si="2"/>
        <v>1</v>
      </c>
      <c r="N344" s="11">
        <v>67.0</v>
      </c>
      <c r="O344" s="11">
        <v>129.0</v>
      </c>
    </row>
    <row r="345" ht="15.75" customHeight="1">
      <c r="A345" s="5" t="s">
        <v>445</v>
      </c>
      <c r="B345" s="5" t="s">
        <v>614</v>
      </c>
      <c r="C345" s="5" t="s">
        <v>615</v>
      </c>
      <c r="D345" s="11">
        <v>263.0</v>
      </c>
      <c r="E345" s="11">
        <v>392.0</v>
      </c>
      <c r="F345" s="11">
        <v>258.0</v>
      </c>
      <c r="G345" s="11">
        <v>418.0</v>
      </c>
      <c r="H345" s="11" t="b">
        <f t="shared" si="1"/>
        <v>1</v>
      </c>
      <c r="I345" s="11">
        <v>340.0</v>
      </c>
      <c r="J345" s="11">
        <v>592.0</v>
      </c>
      <c r="K345" s="11">
        <v>335.0</v>
      </c>
      <c r="L345" s="11">
        <v>581.0</v>
      </c>
      <c r="M345" s="11" t="b">
        <f t="shared" si="2"/>
        <v>1</v>
      </c>
      <c r="N345" s="11">
        <v>253.0</v>
      </c>
      <c r="O345" s="11">
        <v>431.0</v>
      </c>
    </row>
    <row r="346" ht="15.75" customHeight="1">
      <c r="A346" s="5" t="s">
        <v>445</v>
      </c>
      <c r="B346" s="5" t="s">
        <v>616</v>
      </c>
      <c r="C346" s="5" t="s">
        <v>617</v>
      </c>
      <c r="D346" s="11">
        <v>141.0</v>
      </c>
      <c r="E346" s="11">
        <v>193.0</v>
      </c>
      <c r="F346" s="11">
        <v>160.0</v>
      </c>
      <c r="G346" s="11">
        <v>227.0</v>
      </c>
      <c r="H346" s="11" t="b">
        <f t="shared" si="1"/>
        <v>1</v>
      </c>
      <c r="I346" s="11">
        <v>211.0</v>
      </c>
      <c r="J346" s="11">
        <v>303.0</v>
      </c>
      <c r="K346" s="11">
        <v>210.0</v>
      </c>
      <c r="L346" s="11">
        <v>309.0</v>
      </c>
      <c r="M346" s="11" t="b">
        <f t="shared" si="2"/>
        <v>1</v>
      </c>
      <c r="N346" s="11">
        <v>160.0</v>
      </c>
      <c r="O346" s="11">
        <v>229.0</v>
      </c>
    </row>
    <row r="347" ht="15.75" customHeight="1">
      <c r="A347" s="5" t="s">
        <v>445</v>
      </c>
      <c r="B347" s="5" t="s">
        <v>618</v>
      </c>
      <c r="C347" s="5" t="s">
        <v>619</v>
      </c>
      <c r="D347" s="11">
        <v>221.0</v>
      </c>
      <c r="E347" s="11">
        <v>302.0</v>
      </c>
      <c r="F347" s="11">
        <v>243.0</v>
      </c>
      <c r="G347" s="11">
        <v>318.0</v>
      </c>
      <c r="H347" s="11" t="b">
        <f t="shared" si="1"/>
        <v>1</v>
      </c>
      <c r="I347" s="11">
        <v>320.0</v>
      </c>
      <c r="J347" s="11">
        <v>452.0</v>
      </c>
      <c r="K347" s="11">
        <v>331.0</v>
      </c>
      <c r="L347" s="11">
        <v>458.0</v>
      </c>
      <c r="M347" s="11" t="b">
        <f t="shared" si="2"/>
        <v>1</v>
      </c>
      <c r="N347" s="11">
        <v>253.0</v>
      </c>
      <c r="O347" s="11">
        <v>349.0</v>
      </c>
    </row>
    <row r="348" ht="15.75" customHeight="1">
      <c r="A348" s="5" t="s">
        <v>445</v>
      </c>
      <c r="B348" s="5" t="s">
        <v>620</v>
      </c>
      <c r="C348" s="5" t="s">
        <v>621</v>
      </c>
      <c r="D348" s="11">
        <v>241.0</v>
      </c>
      <c r="E348" s="11">
        <v>521.0</v>
      </c>
      <c r="F348" s="11">
        <v>242.0</v>
      </c>
      <c r="G348" s="11">
        <v>587.0</v>
      </c>
      <c r="H348" s="11" t="b">
        <f t="shared" si="1"/>
        <v>1</v>
      </c>
      <c r="I348" s="11">
        <v>287.0</v>
      </c>
      <c r="J348" s="11">
        <v>752.0</v>
      </c>
      <c r="K348" s="11">
        <v>307.0</v>
      </c>
      <c r="L348" s="11">
        <v>746.0</v>
      </c>
      <c r="M348" s="11" t="b">
        <f t="shared" si="2"/>
        <v>1</v>
      </c>
      <c r="N348" s="11">
        <v>235.0</v>
      </c>
      <c r="O348" s="11">
        <v>579.0</v>
      </c>
    </row>
    <row r="349" ht="15.75" customHeight="1">
      <c r="A349" s="5" t="s">
        <v>445</v>
      </c>
      <c r="B349" s="5" t="s">
        <v>620</v>
      </c>
      <c r="C349" s="5" t="s">
        <v>622</v>
      </c>
      <c r="D349" s="11">
        <v>181.0</v>
      </c>
      <c r="E349" s="11">
        <v>349.0</v>
      </c>
      <c r="F349" s="11">
        <v>194.0</v>
      </c>
      <c r="G349" s="11">
        <v>394.0</v>
      </c>
      <c r="H349" s="11" t="b">
        <f t="shared" si="1"/>
        <v>1</v>
      </c>
      <c r="I349" s="11">
        <v>230.0</v>
      </c>
      <c r="J349" s="11">
        <v>487.0</v>
      </c>
      <c r="K349" s="11">
        <v>232.0</v>
      </c>
      <c r="L349" s="11">
        <v>487.0</v>
      </c>
      <c r="M349" s="11" t="b">
        <f t="shared" si="2"/>
        <v>1</v>
      </c>
      <c r="N349" s="11">
        <v>204.0</v>
      </c>
      <c r="O349" s="11">
        <v>413.0</v>
      </c>
    </row>
    <row r="350" ht="15.75" customHeight="1">
      <c r="A350" s="5" t="s">
        <v>445</v>
      </c>
      <c r="B350" s="5" t="s">
        <v>620</v>
      </c>
      <c r="C350" s="5" t="s">
        <v>623</v>
      </c>
      <c r="D350" s="11">
        <v>137.0</v>
      </c>
      <c r="E350" s="11">
        <v>296.0</v>
      </c>
      <c r="F350" s="11">
        <v>151.0</v>
      </c>
      <c r="G350" s="11">
        <v>358.0</v>
      </c>
      <c r="H350" s="11" t="b">
        <f t="shared" si="1"/>
        <v>1</v>
      </c>
      <c r="I350" s="11">
        <v>175.0</v>
      </c>
      <c r="J350" s="11">
        <v>443.0</v>
      </c>
      <c r="K350" s="11">
        <v>178.0</v>
      </c>
      <c r="L350" s="11">
        <v>480.0</v>
      </c>
      <c r="M350" s="11" t="b">
        <f t="shared" si="2"/>
        <v>1</v>
      </c>
      <c r="N350" s="11">
        <v>150.0</v>
      </c>
      <c r="O350" s="11">
        <v>378.0</v>
      </c>
    </row>
    <row r="351" ht="15.75" customHeight="1">
      <c r="A351" s="5" t="s">
        <v>445</v>
      </c>
      <c r="B351" s="5" t="s">
        <v>620</v>
      </c>
      <c r="C351" s="5" t="s">
        <v>624</v>
      </c>
      <c r="D351" s="11">
        <v>150.0</v>
      </c>
      <c r="E351" s="11">
        <v>304.0</v>
      </c>
      <c r="F351" s="11">
        <v>161.0</v>
      </c>
      <c r="G351" s="11">
        <v>314.0</v>
      </c>
      <c r="H351" s="11" t="b">
        <f t="shared" si="1"/>
        <v>1</v>
      </c>
      <c r="I351" s="11">
        <v>192.0</v>
      </c>
      <c r="J351" s="11">
        <v>408.0</v>
      </c>
      <c r="K351" s="11">
        <v>180.0</v>
      </c>
      <c r="L351" s="11">
        <v>430.0</v>
      </c>
      <c r="M351" s="11" t="b">
        <f t="shared" si="2"/>
        <v>1</v>
      </c>
      <c r="N351" s="11">
        <v>145.0</v>
      </c>
      <c r="O351" s="11">
        <v>318.0</v>
      </c>
    </row>
    <row r="352" ht="15.75" customHeight="1">
      <c r="A352" s="5" t="s">
        <v>445</v>
      </c>
      <c r="B352" s="5" t="s">
        <v>620</v>
      </c>
      <c r="C352" s="5" t="s">
        <v>626</v>
      </c>
      <c r="D352" s="11">
        <v>257.0</v>
      </c>
      <c r="E352" s="11">
        <v>411.0</v>
      </c>
      <c r="F352" s="11">
        <v>282.0</v>
      </c>
      <c r="G352" s="11">
        <v>442.0</v>
      </c>
      <c r="H352" s="11" t="b">
        <f t="shared" si="1"/>
        <v>1</v>
      </c>
      <c r="I352" s="11">
        <v>319.0</v>
      </c>
      <c r="J352" s="11">
        <v>569.0</v>
      </c>
      <c r="K352" s="11">
        <v>345.0</v>
      </c>
      <c r="L352" s="11">
        <v>573.0</v>
      </c>
      <c r="M352" s="11" t="b">
        <f t="shared" si="2"/>
        <v>1</v>
      </c>
      <c r="N352" s="11">
        <v>272.0</v>
      </c>
      <c r="O352" s="11">
        <v>454.0</v>
      </c>
    </row>
    <row r="353" ht="15.75" customHeight="1">
      <c r="A353" s="5" t="s">
        <v>445</v>
      </c>
      <c r="B353" s="5" t="s">
        <v>627</v>
      </c>
      <c r="C353" s="5" t="s">
        <v>628</v>
      </c>
      <c r="D353" s="11">
        <v>741.0</v>
      </c>
      <c r="E353" s="11">
        <v>818.0</v>
      </c>
      <c r="F353" s="11">
        <v>922.0</v>
      </c>
      <c r="G353" s="11">
        <v>894.0</v>
      </c>
      <c r="H353" s="11" t="b">
        <f t="shared" si="1"/>
        <v>1</v>
      </c>
      <c r="I353" s="11">
        <v>1063.0</v>
      </c>
      <c r="J353" s="11">
        <v>1172.0</v>
      </c>
      <c r="K353" s="11">
        <v>1084.0</v>
      </c>
      <c r="L353" s="11">
        <v>1187.0</v>
      </c>
      <c r="M353" s="11" t="b">
        <f t="shared" si="2"/>
        <v>1</v>
      </c>
      <c r="N353" s="11">
        <v>893.0</v>
      </c>
      <c r="O353" s="11">
        <v>962.0</v>
      </c>
    </row>
    <row r="354" ht="15.75" customHeight="1">
      <c r="A354" s="5" t="s">
        <v>445</v>
      </c>
      <c r="B354" s="5" t="s">
        <v>627</v>
      </c>
      <c r="C354" s="5" t="s">
        <v>629</v>
      </c>
      <c r="D354" s="11">
        <v>594.0</v>
      </c>
      <c r="E354" s="11">
        <v>636.0</v>
      </c>
      <c r="F354" s="11">
        <v>653.0</v>
      </c>
      <c r="G354" s="11">
        <v>694.0</v>
      </c>
      <c r="H354" s="11" t="b">
        <f t="shared" si="1"/>
        <v>1</v>
      </c>
      <c r="I354" s="11">
        <v>850.0</v>
      </c>
      <c r="J354" s="11">
        <v>984.0</v>
      </c>
      <c r="K354" s="11">
        <v>880.0</v>
      </c>
      <c r="L354" s="11">
        <v>960.0</v>
      </c>
      <c r="M354" s="11" t="b">
        <f t="shared" si="2"/>
        <v>1</v>
      </c>
      <c r="N354" s="11">
        <v>681.0</v>
      </c>
      <c r="O354" s="11">
        <v>739.0</v>
      </c>
    </row>
    <row r="355" ht="15.75" customHeight="1">
      <c r="A355" s="5" t="s">
        <v>445</v>
      </c>
      <c r="B355" s="5" t="s">
        <v>630</v>
      </c>
      <c r="C355" s="5" t="s">
        <v>631</v>
      </c>
      <c r="D355" s="11">
        <v>273.0</v>
      </c>
      <c r="E355" s="11">
        <v>393.0</v>
      </c>
      <c r="F355" s="11">
        <v>305.0</v>
      </c>
      <c r="G355" s="11">
        <v>419.0</v>
      </c>
      <c r="H355" s="11" t="b">
        <f t="shared" si="1"/>
        <v>1</v>
      </c>
      <c r="I355" s="11">
        <v>410.0</v>
      </c>
      <c r="J355" s="11">
        <v>651.0</v>
      </c>
      <c r="K355" s="11">
        <v>416.0</v>
      </c>
      <c r="L355" s="11">
        <v>658.0</v>
      </c>
      <c r="M355" s="11" t="b">
        <f t="shared" si="2"/>
        <v>1</v>
      </c>
      <c r="N355" s="11">
        <v>302.0</v>
      </c>
      <c r="O355" s="11">
        <v>459.0</v>
      </c>
    </row>
    <row r="356" ht="15.75" customHeight="1">
      <c r="A356" s="5" t="s">
        <v>445</v>
      </c>
      <c r="B356" s="5" t="s">
        <v>418</v>
      </c>
      <c r="C356" s="5" t="s">
        <v>632</v>
      </c>
      <c r="D356" s="11">
        <v>542.0</v>
      </c>
      <c r="E356" s="11">
        <v>1000.0</v>
      </c>
      <c r="F356" s="11">
        <v>628.0</v>
      </c>
      <c r="G356" s="11">
        <v>1170.0</v>
      </c>
      <c r="H356" s="11" t="b">
        <f t="shared" si="1"/>
        <v>1</v>
      </c>
      <c r="I356" s="11">
        <v>539.0</v>
      </c>
      <c r="J356" s="11">
        <v>1087.0</v>
      </c>
      <c r="K356" s="11">
        <v>541.0</v>
      </c>
      <c r="L356" s="11">
        <v>1106.0</v>
      </c>
      <c r="M356" s="11" t="b">
        <f t="shared" si="2"/>
        <v>1</v>
      </c>
      <c r="N356" s="11">
        <v>429.0</v>
      </c>
      <c r="O356" s="11">
        <v>821.0</v>
      </c>
    </row>
    <row r="357" ht="15.75" customHeight="1">
      <c r="A357" s="5" t="s">
        <v>445</v>
      </c>
      <c r="B357" s="5" t="s">
        <v>418</v>
      </c>
      <c r="C357" s="5" t="s">
        <v>633</v>
      </c>
      <c r="D357" s="11">
        <v>203.0</v>
      </c>
      <c r="E357" s="11">
        <v>385.0</v>
      </c>
      <c r="F357" s="11"/>
      <c r="G357" s="11"/>
      <c r="H357" s="11" t="b">
        <f t="shared" si="1"/>
        <v>0</v>
      </c>
      <c r="I357" s="11">
        <v>596.0</v>
      </c>
      <c r="J357" s="11">
        <v>1201.0</v>
      </c>
      <c r="K357" s="11">
        <v>500.0</v>
      </c>
      <c r="L357" s="11">
        <v>982.0</v>
      </c>
      <c r="M357" s="11" t="b">
        <f t="shared" si="2"/>
        <v>1</v>
      </c>
      <c r="N357" s="11">
        <v>476.0</v>
      </c>
      <c r="O357" s="11">
        <v>907.0</v>
      </c>
    </row>
    <row r="358" ht="15.75" customHeight="1">
      <c r="A358" s="5" t="s">
        <v>445</v>
      </c>
      <c r="B358" s="5" t="s">
        <v>634</v>
      </c>
      <c r="C358" s="5" t="s">
        <v>634</v>
      </c>
      <c r="D358" s="11">
        <v>168.0</v>
      </c>
      <c r="E358" s="11">
        <v>200.0</v>
      </c>
      <c r="F358" s="11">
        <v>199.0</v>
      </c>
      <c r="G358" s="11">
        <v>215.0</v>
      </c>
      <c r="H358" s="11" t="b">
        <f t="shared" si="1"/>
        <v>1</v>
      </c>
      <c r="I358" s="11">
        <v>282.0</v>
      </c>
      <c r="J358" s="11">
        <v>325.0</v>
      </c>
      <c r="K358" s="11">
        <v>281.0</v>
      </c>
      <c r="L358" s="11">
        <v>310.0</v>
      </c>
      <c r="M358" s="11" t="b">
        <f t="shared" si="2"/>
        <v>1</v>
      </c>
      <c r="N358" s="11">
        <v>208.0</v>
      </c>
      <c r="O358" s="11">
        <v>230.0</v>
      </c>
    </row>
    <row r="359" ht="15.75" customHeight="1">
      <c r="A359" s="5" t="s">
        <v>445</v>
      </c>
      <c r="B359" s="5" t="s">
        <v>635</v>
      </c>
      <c r="C359" s="5" t="s">
        <v>636</v>
      </c>
      <c r="D359" s="11">
        <v>378.0</v>
      </c>
      <c r="E359" s="11">
        <v>500.0</v>
      </c>
      <c r="F359" s="11">
        <v>427.0</v>
      </c>
      <c r="G359" s="11">
        <v>553.0</v>
      </c>
      <c r="H359" s="11" t="b">
        <f t="shared" si="1"/>
        <v>1</v>
      </c>
      <c r="I359" s="11">
        <v>499.0</v>
      </c>
      <c r="J359" s="11">
        <v>699.0</v>
      </c>
      <c r="K359" s="11">
        <v>514.0</v>
      </c>
      <c r="L359" s="11">
        <v>713.0</v>
      </c>
      <c r="M359" s="11" t="b">
        <f t="shared" si="2"/>
        <v>1</v>
      </c>
      <c r="N359" s="11">
        <v>415.0</v>
      </c>
      <c r="O359" s="11">
        <v>564.0</v>
      </c>
    </row>
    <row r="360" ht="15.75" customHeight="1">
      <c r="A360" s="5" t="s">
        <v>445</v>
      </c>
      <c r="B360" s="5" t="s">
        <v>635</v>
      </c>
      <c r="C360" s="5" t="s">
        <v>637</v>
      </c>
      <c r="D360" s="11">
        <v>289.0</v>
      </c>
      <c r="E360" s="11">
        <v>442.0</v>
      </c>
      <c r="F360" s="11">
        <v>338.0</v>
      </c>
      <c r="G360" s="11">
        <v>507.0</v>
      </c>
      <c r="H360" s="11" t="b">
        <f t="shared" si="1"/>
        <v>1</v>
      </c>
      <c r="I360" s="11">
        <v>409.0</v>
      </c>
      <c r="J360" s="11">
        <v>676.0</v>
      </c>
      <c r="K360" s="11">
        <v>425.0</v>
      </c>
      <c r="L360" s="11">
        <v>656.0</v>
      </c>
      <c r="M360" s="11" t="b">
        <f t="shared" si="2"/>
        <v>1</v>
      </c>
      <c r="N360" s="11">
        <v>367.0</v>
      </c>
      <c r="O360" s="11">
        <v>561.0</v>
      </c>
    </row>
    <row r="361" ht="15.75" customHeight="1">
      <c r="A361" s="5" t="s">
        <v>445</v>
      </c>
      <c r="B361" s="5" t="s">
        <v>635</v>
      </c>
      <c r="C361" s="5" t="s">
        <v>639</v>
      </c>
      <c r="D361" s="11">
        <v>425.0</v>
      </c>
      <c r="E361" s="11">
        <v>465.0</v>
      </c>
      <c r="F361" s="11">
        <v>444.0</v>
      </c>
      <c r="G361" s="11">
        <v>467.0</v>
      </c>
      <c r="H361" s="11" t="b">
        <f t="shared" si="1"/>
        <v>1</v>
      </c>
      <c r="I361" s="11">
        <v>572.0</v>
      </c>
      <c r="J361" s="11">
        <v>648.0</v>
      </c>
      <c r="K361" s="11">
        <v>624.0</v>
      </c>
      <c r="L361" s="11">
        <v>618.0</v>
      </c>
      <c r="M361" s="11" t="b">
        <f t="shared" si="2"/>
        <v>1</v>
      </c>
      <c r="N361" s="11">
        <v>436.0</v>
      </c>
      <c r="O361" s="11">
        <v>453.0</v>
      </c>
    </row>
    <row r="362" ht="15.75" customHeight="1">
      <c r="A362" s="5" t="s">
        <v>445</v>
      </c>
      <c r="B362" s="5" t="s">
        <v>635</v>
      </c>
      <c r="C362" s="5" t="s">
        <v>640</v>
      </c>
      <c r="D362" s="11">
        <v>250.0</v>
      </c>
      <c r="E362" s="11">
        <v>297.0</v>
      </c>
      <c r="F362" s="11">
        <v>247.0</v>
      </c>
      <c r="G362" s="11">
        <v>333.0</v>
      </c>
      <c r="H362" s="11" t="b">
        <f t="shared" si="1"/>
        <v>1</v>
      </c>
      <c r="I362" s="11">
        <v>290.0</v>
      </c>
      <c r="J362" s="11">
        <v>405.0</v>
      </c>
      <c r="K362" s="11">
        <v>284.0</v>
      </c>
      <c r="L362" s="11">
        <v>414.0</v>
      </c>
      <c r="M362" s="11" t="b">
        <f t="shared" si="2"/>
        <v>1</v>
      </c>
      <c r="N362" s="11">
        <v>245.0</v>
      </c>
      <c r="O362" s="11">
        <v>336.0</v>
      </c>
    </row>
    <row r="363" ht="15.75" customHeight="1">
      <c r="A363" s="5" t="s">
        <v>445</v>
      </c>
      <c r="B363" s="5" t="s">
        <v>641</v>
      </c>
      <c r="C363" s="5" t="s">
        <v>642</v>
      </c>
      <c r="D363" s="11">
        <v>410.0</v>
      </c>
      <c r="E363" s="11">
        <v>263.0</v>
      </c>
      <c r="F363" s="11">
        <v>457.0</v>
      </c>
      <c r="G363" s="11">
        <v>286.0</v>
      </c>
      <c r="H363" s="11" t="b">
        <f t="shared" si="1"/>
        <v>1</v>
      </c>
      <c r="I363" s="11">
        <v>634.0</v>
      </c>
      <c r="J363" s="11">
        <v>448.0</v>
      </c>
      <c r="K363" s="11">
        <v>648.0</v>
      </c>
      <c r="L363" s="11">
        <v>462.0</v>
      </c>
      <c r="M363" s="11" t="b">
        <f t="shared" si="2"/>
        <v>1</v>
      </c>
      <c r="N363" s="11">
        <v>452.0</v>
      </c>
      <c r="O363" s="11">
        <v>313.0</v>
      </c>
    </row>
    <row r="364" ht="15.75" customHeight="1">
      <c r="A364" s="5" t="s">
        <v>445</v>
      </c>
      <c r="B364" s="5" t="s">
        <v>641</v>
      </c>
      <c r="C364" s="5" t="s">
        <v>643</v>
      </c>
      <c r="D364" s="11">
        <v>332.0</v>
      </c>
      <c r="E364" s="11">
        <v>226.0</v>
      </c>
      <c r="F364" s="11">
        <v>353.0</v>
      </c>
      <c r="G364" s="11">
        <v>251.0</v>
      </c>
      <c r="H364" s="11" t="b">
        <f t="shared" si="1"/>
        <v>1</v>
      </c>
      <c r="I364" s="11">
        <v>500.0</v>
      </c>
      <c r="J364" s="11">
        <v>383.0</v>
      </c>
      <c r="K364" s="11">
        <v>491.0</v>
      </c>
      <c r="L364" s="11">
        <v>402.0</v>
      </c>
      <c r="M364" s="11" t="b">
        <f t="shared" si="2"/>
        <v>1</v>
      </c>
      <c r="N364" s="11">
        <v>348.0</v>
      </c>
      <c r="O364" s="11">
        <v>271.0</v>
      </c>
    </row>
    <row r="365" ht="15.75" customHeight="1">
      <c r="A365" s="5" t="s">
        <v>445</v>
      </c>
      <c r="B365" s="5" t="s">
        <v>641</v>
      </c>
      <c r="C365" s="5" t="s">
        <v>644</v>
      </c>
      <c r="D365" s="11">
        <v>483.0</v>
      </c>
      <c r="E365" s="11">
        <v>413.0</v>
      </c>
      <c r="F365" s="11">
        <v>530.0</v>
      </c>
      <c r="G365" s="11">
        <v>416.0</v>
      </c>
      <c r="H365" s="11" t="b">
        <f t="shared" si="1"/>
        <v>1</v>
      </c>
      <c r="I365" s="11">
        <v>770.0</v>
      </c>
      <c r="J365" s="11">
        <v>670.0</v>
      </c>
      <c r="K365" s="11">
        <v>758.0</v>
      </c>
      <c r="L365" s="11">
        <v>674.0</v>
      </c>
      <c r="M365" s="11" t="b">
        <f t="shared" si="2"/>
        <v>1</v>
      </c>
      <c r="N365" s="11">
        <v>520.0</v>
      </c>
      <c r="O365" s="11">
        <v>446.0</v>
      </c>
    </row>
    <row r="366" ht="15.75" customHeight="1">
      <c r="A366" s="5" t="s">
        <v>445</v>
      </c>
      <c r="B366" s="5" t="s">
        <v>645</v>
      </c>
      <c r="C366" s="5" t="s">
        <v>645</v>
      </c>
      <c r="D366" s="11">
        <v>407.0</v>
      </c>
      <c r="E366" s="11">
        <v>560.0</v>
      </c>
      <c r="F366" s="11">
        <v>494.0</v>
      </c>
      <c r="G366" s="11">
        <v>601.0</v>
      </c>
      <c r="H366" s="11" t="b">
        <f t="shared" si="1"/>
        <v>1</v>
      </c>
      <c r="I366" s="11">
        <v>639.0</v>
      </c>
      <c r="J366" s="11">
        <v>887.0</v>
      </c>
      <c r="K366" s="11">
        <v>634.0</v>
      </c>
      <c r="L366" s="11">
        <v>856.0</v>
      </c>
      <c r="M366" s="11" t="b">
        <f t="shared" si="2"/>
        <v>1</v>
      </c>
      <c r="N366" s="11">
        <v>498.0</v>
      </c>
      <c r="O366" s="11">
        <v>647.0</v>
      </c>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6.0"/>
    <col customWidth="1" min="3" max="3" width="90.0"/>
    <col customWidth="1" min="4" max="26" width="8.71"/>
  </cols>
  <sheetData>
    <row r="1">
      <c r="A1" s="4" t="s">
        <v>147</v>
      </c>
    </row>
    <row r="3" ht="42.0" customHeight="1">
      <c r="A3" s="7" t="s">
        <v>47</v>
      </c>
      <c r="B3" s="7" t="s">
        <v>148</v>
      </c>
      <c r="C3" s="7" t="s">
        <v>149</v>
      </c>
    </row>
    <row r="4">
      <c r="A4" s="5" t="s">
        <v>150</v>
      </c>
      <c r="B4" s="9">
        <f>SUM('Precinct Data'!$I$2:$I$379)/(SUM('Precinct Data'!$I$2:$I$379)+SUM('Precinct Data'!$J$2:$J$379))</f>
        <v>0.5341223363</v>
      </c>
      <c r="C4" s="5" t="s">
        <v>151</v>
      </c>
    </row>
    <row r="5">
      <c r="A5" s="5" t="s">
        <v>152</v>
      </c>
      <c r="B5" s="9">
        <f>SUM('Precinct Data'!$K$2:$K$379)/(SUM('Precinct Data'!$K$2:$K$379)+SUM('Precinct Data'!$L$2:$L$379))</f>
        <v>0.4974997159</v>
      </c>
      <c r="C5" s="5" t="s">
        <v>151</v>
      </c>
    </row>
    <row r="6">
      <c r="A6" s="5" t="s">
        <v>155</v>
      </c>
      <c r="B6" s="9">
        <f>SUM('Precinct Data'!$M$2:$M$379)/(SUM('Precinct Data'!$M$2:$M$379)+SUM('Precinct Data'!$N$2:$N$379))</f>
        <v>0.509830207</v>
      </c>
      <c r="C6" s="5" t="s">
        <v>157</v>
      </c>
    </row>
    <row r="7">
      <c r="A7" s="5" t="s">
        <v>158</v>
      </c>
      <c r="B7" s="9">
        <f>SUM('Precinct Data'!$O$2:$O$379)/(SUM('Precinct Data'!$O$2:$O$379)+SUM('Precinct Data'!$P$2:$P$379))</f>
        <v>0.4949642214</v>
      </c>
      <c r="C7" s="5"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4.0"/>
    <col customWidth="1" min="3" max="3" width="24.0"/>
    <col customWidth="1" min="4" max="4" width="100.0"/>
    <col customWidth="1" min="5" max="26" width="8.71"/>
  </cols>
  <sheetData>
    <row r="1">
      <c r="A1" s="4" t="s">
        <v>170</v>
      </c>
    </row>
    <row r="3" ht="42.0" customHeight="1">
      <c r="A3" s="7" t="s">
        <v>171</v>
      </c>
      <c r="B3" s="7" t="s">
        <v>172</v>
      </c>
      <c r="C3" s="7" t="s">
        <v>173</v>
      </c>
      <c r="D3" s="7" t="s">
        <v>149</v>
      </c>
    </row>
    <row r="4">
      <c r="A4" s="5" t="s">
        <v>175</v>
      </c>
      <c r="B4" s="29">
        <v>-0.1</v>
      </c>
      <c r="C4" s="29">
        <v>-0.14</v>
      </c>
      <c r="D4" s="5" t="s">
        <v>176</v>
      </c>
    </row>
    <row r="5">
      <c r="A5" s="5" t="s">
        <v>177</v>
      </c>
      <c r="B5" s="29"/>
      <c r="C5" s="29"/>
      <c r="D5" s="5" t="s">
        <v>179</v>
      </c>
    </row>
    <row r="6">
      <c r="A6" s="5" t="s">
        <v>180</v>
      </c>
      <c r="B6" s="30">
        <v>0.4873</v>
      </c>
      <c r="C6" s="30">
        <v>0.4997</v>
      </c>
      <c r="D6" s="5" t="s">
        <v>181</v>
      </c>
    </row>
    <row r="8">
      <c r="A8" s="5" t="s">
        <v>182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