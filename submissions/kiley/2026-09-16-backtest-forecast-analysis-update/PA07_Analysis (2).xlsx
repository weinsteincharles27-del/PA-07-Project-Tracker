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ntents" sheetId="1" state="visible" r:id="rId3"/>
    <sheet name="House Vote Data" sheetId="2" state="visible" r:id="rId4"/>
    <sheet name="Registration &amp; ACS Data" sheetId="3" state="visible" r:id="rId5"/>
    <sheet name="District History Note" sheetId="4" state="visible" r:id="rId6"/>
    <sheet name="Predictability Ranking" sheetId="5" state="visible" r:id="rId7"/>
    <sheet name="Magic Municipality" sheetId="6" state="visible" r:id="rId8"/>
    <sheet name="Beta Coefficients" sheetId="7" state="visible" r:id="rId9"/>
    <sheet name="Governor-House Correlation" sheetId="8" state="visible" r:id="rId10"/>
    <sheet name="2024 Backtest" sheetId="9" state="visible" r:id="rId11"/>
    <sheet name="2026 Trend Forecast" sheetId="10" state="visible" r:id="rId12"/>
    <sheet name="2026 Beta-Adjusted Forecast" sheetId="11" state="visible" r:id="rId13"/>
    <sheet name="2026 Regression Forecast" sheetId="12" state="visible" r:id="rId14"/>
    <sheet name="Model Comparison" sheetId="13" state="visible" r:id="rId15"/>
    <sheet name="Representative 30 Munis" sheetId="14" state="visible" r:id="rId16"/>
    <sheet name="Regression Analysis" sheetId="15" state="visible" r:id="rId17"/>
    <sheet name="Methodology" sheetId="16" state="visible" r:id="rId18"/>
  </sheets>
  <definedNames>
    <definedName function="false" hidden="true" localSheetId="4" name="_xlnm._FilterDatabase" vbProcedure="false">'Predictability Ranking'!$A$1:$G$90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<sst xmlns="http://schemas.openxmlformats.org/spreadsheetml/2006/main" count="3195" uniqueCount="299">
  <si>
    <t xml:space="preserve">PA-07 Forecast Workbook v3 — Complete, Corrected Data</t>
  </si>
  <si>
    <t xml:space="preserve">Companion file: PA07_Data.xlsx holds House Vote Data and Registration &amp; ACS Data on their own for easy review. This workbook keeps its own copies of those same sheets so every formula here works standalone.</t>
  </si>
  <si>
    <t xml:space="preserve">Sheet</t>
  </si>
  <si>
    <t xml:space="preserve">What it does</t>
  </si>
  <si>
    <t xml:space="preserve">What it tells us</t>
  </si>
  <si>
    <t xml:space="preserve">House Vote Data</t>
  </si>
  <si>
    <t xml:space="preserve">Real certified House + Governor votes for all 89 municipalities, 2018-2024, plus a Presidential Year dummy.</t>
  </si>
  <si>
    <t xml:space="preserve">The complete, verified core of the dataset -- no more estimation layer.</t>
  </si>
  <si>
    <t xml:space="preserve">Registration &amp; ACS Data</t>
  </si>
  <si>
    <t xml:space="preserve">Registration lean and % bachelor's degree per municipality-year, plus registrants (used as population weight).</t>
  </si>
  <si>
    <t xml:space="preserve">Supporting data for the regression and representative-sample analyses.</t>
  </si>
  <si>
    <t xml:space="preserve">District History Note</t>
  </si>
  <si>
    <t xml:space="preserve">Documents the real boundary changes (Carbon pre-2022, Monroe post-2022) and the corrected 2020 result.</t>
  </si>
  <si>
    <t xml:space="preserve">Read this first -- it explains why this version's numbers differ from an earlier version.</t>
  </si>
  <si>
    <t xml:space="preserve">Predictability Ranking</t>
  </si>
  <si>
    <t xml:space="preserve">Classifies all 89 municipalities Easy/Medium/Hard to predict.</t>
  </si>
  <si>
    <t xml:space="preserve">Where more data/effort would change the forecast, across the full real district.</t>
  </si>
  <si>
    <t xml:space="preserve">Magic Municipality</t>
  </si>
  <si>
    <t xml:space="preserve">Bellwether search across all 89 municipalities.</t>
  </si>
  <si>
    <t xml:space="preserve">Salisbury (Lehigh) is the new closest-tracking bellwether.</t>
  </si>
  <si>
    <t xml:space="preserve">Beta Coefficients</t>
  </si>
  <si>
    <t xml:space="preserve">Each municipality's beta and R-squared against the self-computed, complete district index.</t>
  </si>
  <si>
    <t xml:space="preserve">Identifies the 30 towns that behave most like a scaled-down mirror of the district.</t>
  </si>
  <si>
    <t xml:space="preserve">Governor-House Correlation</t>
  </si>
  <si>
    <t xml:space="preserve">Correlates Governor vs. House Dem Share, 2018 and 2022, across all 89 municipalities.</t>
  </si>
  <si>
    <t xml:space="preserve">r = 0.99 -- consistent with earlier findings.</t>
  </si>
  <si>
    <t xml:space="preserve">2024 Backtest</t>
  </si>
  <si>
    <t xml:space="preserve">Naive, trend, and beta-adjusted methods tested against real 2024 results.</t>
  </si>
  <si>
    <t xml:space="preserve">Beta-adjusted now wins (1.81 pt MAE); naive is worst.</t>
  </si>
  <si>
    <t xml:space="preserve">Regression Analysis</t>
  </si>
  <si>
    <t xml:space="preserve">Documents the multi-variable regression and explains why it now performs worst of the three forecasting methods.</t>
  </si>
  <si>
    <t xml:space="preserve">A genuinely useful negative result -- more complexity isn't automatically better.</t>
  </si>
  <si>
    <t xml:space="preserve">Kiley - 2026 Trend Forecast / Beta-Adjusted Forecast / Regression Forecast</t>
  </si>
  <si>
    <t xml:space="preserve">Three independent live 2026 forecasts.</t>
  </si>
  <si>
    <t xml:space="preserve">47.7% Dem (R), 46.8% Dem (R), and 50.6% Dem (D) respectively -- two of three lean Republican.</t>
  </si>
  <si>
    <t xml:space="preserve">Model Comparison</t>
  </si>
  <si>
    <t xml:space="preserve">All three 2026 forecasts side by side with backtested accuracy.</t>
  </si>
  <si>
    <t xml:space="preserve">The real takeaway: this is a Republican-leaning toss-up, not a confident call either way.</t>
  </si>
  <si>
    <t xml:space="preserve">Representative 30 Munis</t>
  </si>
  <si>
    <t xml:space="preserve">Selects 30 municipalities matching the district's profile, favoring individually reliable predictors.</t>
  </si>
  <si>
    <t xml:space="preserve">A smaller set that still tracks the whole district closely.</t>
  </si>
  <si>
    <t xml:space="preserve">Methodology</t>
  </si>
  <si>
    <t xml:space="preserve">Documents every method, data source, and correction made in this version.</t>
  </si>
  <si>
    <t xml:space="preserve">Start here if you want the full picture before diving into any one sheet.</t>
  </si>
  <si>
    <t xml:space="preserve">Year</t>
  </si>
  <si>
    <t xml:space="preserve">Municipality</t>
  </si>
  <si>
    <t xml:space="preserve">County</t>
  </si>
  <si>
    <t xml:space="preserve">Dem Votes</t>
  </si>
  <si>
    <t xml:space="preserve">Rep Votes</t>
  </si>
  <si>
    <t xml:space="preserve">Total Votes</t>
  </si>
  <si>
    <t xml:space="preserve">Dem Share %</t>
  </si>
  <si>
    <t xml:space="preserve">Governor Dem Votes</t>
  </si>
  <si>
    <t xml:space="preserve">Governor Rep Votes</t>
  </si>
  <si>
    <t xml:space="preserve">Governor Total</t>
  </si>
  <si>
    <t xml:space="preserve">Governor Dem Share</t>
  </si>
  <si>
    <t xml:space="preserve">Presidential Year (dummy)</t>
  </si>
  <si>
    <t xml:space="preserve">Banks Township</t>
  </si>
  <si>
    <t xml:space="preserve">Carbon</t>
  </si>
  <si>
    <t xml:space="preserve">Beaver Meadows Borough</t>
  </si>
  <si>
    <t xml:space="preserve">Bowmanstown Borough</t>
  </si>
  <si>
    <t xml:space="preserve">East Penn Township</t>
  </si>
  <si>
    <t xml:space="preserve">East Side Borough</t>
  </si>
  <si>
    <t xml:space="preserve">Franklin Township</t>
  </si>
  <si>
    <t xml:space="preserve">Jim Thorpe Borough</t>
  </si>
  <si>
    <t xml:space="preserve">Kidder Township</t>
  </si>
  <si>
    <t xml:space="preserve">Lansford Borough</t>
  </si>
  <si>
    <t xml:space="preserve">Lausanne Township</t>
  </si>
  <si>
    <t xml:space="preserve">Lehigh Township</t>
  </si>
  <si>
    <t xml:space="preserve">Lehighton Borough</t>
  </si>
  <si>
    <t xml:space="preserve">Lower Towamensing Township</t>
  </si>
  <si>
    <t xml:space="preserve">Mahoning Township</t>
  </si>
  <si>
    <t xml:space="preserve">Nesquehoning Borough</t>
  </si>
  <si>
    <t xml:space="preserve">Packer Township</t>
  </si>
  <si>
    <t xml:space="preserve">Palmerton Borough</t>
  </si>
  <si>
    <t xml:space="preserve">Parryville Borough</t>
  </si>
  <si>
    <t xml:space="preserve">Penn Forest Township</t>
  </si>
  <si>
    <t xml:space="preserve">Summit Hill Borough</t>
  </si>
  <si>
    <t xml:space="preserve">Towamensing Township</t>
  </si>
  <si>
    <t xml:space="preserve">Weatherly Borough</t>
  </si>
  <si>
    <t xml:space="preserve">Weissport Borough</t>
  </si>
  <si>
    <t xml:space="preserve">Alburtis</t>
  </si>
  <si>
    <t xml:space="preserve">Lehigh</t>
  </si>
  <si>
    <t xml:space="preserve">Allentown</t>
  </si>
  <si>
    <t xml:space="preserve">Bethlehem</t>
  </si>
  <si>
    <t xml:space="preserve">Catasauqua</t>
  </si>
  <si>
    <t xml:space="preserve">Coopersburg</t>
  </si>
  <si>
    <t xml:space="preserve">Coplay</t>
  </si>
  <si>
    <t xml:space="preserve">Emmaus</t>
  </si>
  <si>
    <t xml:space="preserve">Fountain Hill</t>
  </si>
  <si>
    <t xml:space="preserve">Hanover</t>
  </si>
  <si>
    <t xml:space="preserve">Heidelberg</t>
  </si>
  <si>
    <t xml:space="preserve">Lower Macungie</t>
  </si>
  <si>
    <t xml:space="preserve">Lower Milford</t>
  </si>
  <si>
    <t xml:space="preserve">Lowhill</t>
  </si>
  <si>
    <t xml:space="preserve">Lynn</t>
  </si>
  <si>
    <t xml:space="preserve">Macungie</t>
  </si>
  <si>
    <t xml:space="preserve">North Whitehall</t>
  </si>
  <si>
    <t xml:space="preserve">Salisbury</t>
  </si>
  <si>
    <t xml:space="preserve">Slatington</t>
  </si>
  <si>
    <t xml:space="preserve">South Whitehall</t>
  </si>
  <si>
    <t xml:space="preserve">Upper Macungie</t>
  </si>
  <si>
    <t xml:space="preserve">Upper Milford</t>
  </si>
  <si>
    <t xml:space="preserve">Upper Saucon</t>
  </si>
  <si>
    <t xml:space="preserve">Washington</t>
  </si>
  <si>
    <t xml:space="preserve">Weisenberg</t>
  </si>
  <si>
    <t xml:space="preserve">Whitehall</t>
  </si>
  <si>
    <t xml:space="preserve">Eldred Township</t>
  </si>
  <si>
    <t xml:space="preserve">Monroe</t>
  </si>
  <si>
    <t xml:space="preserve">Polk Township</t>
  </si>
  <si>
    <t xml:space="preserve">Ross Township</t>
  </si>
  <si>
    <t xml:space="preserve">Allen</t>
  </si>
  <si>
    <t xml:space="preserve">Northampton</t>
  </si>
  <si>
    <t xml:space="preserve">Bangor</t>
  </si>
  <si>
    <t xml:space="preserve">Bath</t>
  </si>
  <si>
    <t xml:space="preserve">Bethlehem Township</t>
  </si>
  <si>
    <t xml:space="preserve">Bushkill</t>
  </si>
  <si>
    <t xml:space="preserve">Chapman</t>
  </si>
  <si>
    <t xml:space="preserve">East Allen</t>
  </si>
  <si>
    <t xml:space="preserve">East Bangor</t>
  </si>
  <si>
    <t xml:space="preserve">Easton</t>
  </si>
  <si>
    <t xml:space="preserve">Forks</t>
  </si>
  <si>
    <t xml:space="preserve">Freemansburg</t>
  </si>
  <si>
    <t xml:space="preserve">Glendon</t>
  </si>
  <si>
    <t xml:space="preserve">Hellertown</t>
  </si>
  <si>
    <t xml:space="preserve">Lower Mount Bethel</t>
  </si>
  <si>
    <t xml:space="preserve">Lower Nazareth</t>
  </si>
  <si>
    <t xml:space="preserve">Lower Saucon</t>
  </si>
  <si>
    <t xml:space="preserve">Moore</t>
  </si>
  <si>
    <t xml:space="preserve">Nazareth</t>
  </si>
  <si>
    <t xml:space="preserve">North Catasauqua</t>
  </si>
  <si>
    <t xml:space="preserve">Palmer</t>
  </si>
  <si>
    <t xml:space="preserve">Pen Argyl</t>
  </si>
  <si>
    <t xml:space="preserve">Plainfield</t>
  </si>
  <si>
    <t xml:space="preserve">Portland</t>
  </si>
  <si>
    <t xml:space="preserve">Roseto</t>
  </si>
  <si>
    <t xml:space="preserve">Stockertown</t>
  </si>
  <si>
    <t xml:space="preserve">Tatamy</t>
  </si>
  <si>
    <t xml:space="preserve">Upper Mount Bethel</t>
  </si>
  <si>
    <t xml:space="preserve">Upper Nazareth</t>
  </si>
  <si>
    <t xml:space="preserve">Walnutport</t>
  </si>
  <si>
    <t xml:space="preserve">West Easton</t>
  </si>
  <si>
    <t xml:space="preserve">Williams Township</t>
  </si>
  <si>
    <t xml:space="preserve">Wilson</t>
  </si>
  <si>
    <t xml:space="preserve">Wind Gap</t>
  </si>
  <si>
    <t xml:space="preserve">Reg D-minus-R</t>
  </si>
  <si>
    <t xml:space="preserve">% Bachelor's Degree (ACS)</t>
  </si>
  <si>
    <t xml:space="preserve">Registrants</t>
  </si>
  <si>
    <t xml:space="preserve">What Changed: PA-07's Real Boundaries and Corrected History</t>
  </si>
  <si>
    <t xml:space="preserve">Full geography, real votes</t>
  </si>
  <si>
    <t xml:space="preserve">This workbook is built on Municipal_Data.xlsx's 'Master Data' tab, which has certified House votes for all 89 municipalities across Carbon, Lehigh, Northampton, and Monroe (3 townships: Eldred, Polk, Ross). The earlier version of this workbook had to ESTIMATE Carbon from registration data and had NO Monroe data at all -- that entire workaround is no longer needed.</t>
  </si>
  <si>
    <t xml:space="preserve">Carbon and Monroe's real district history</t>
  </si>
  <si>
    <t xml:space="preserve">The source data documents that PA-07's boundaries actually changed over time: Carbon wasn't part of PA-07 before 2022, and most of Monroe County left the district after 2022, leaving just the 3 townships tracked here. This workbook uses each town's own vote history as the best available signal for how it behaves in the CURRENT district, consistent with how earlier versions handled similarly-situated historical data.</t>
  </si>
  <si>
    <t xml:space="preserve">2020 result corrected</t>
  </si>
  <si>
    <t xml:space="preserve">Earlier versions of this analysis (built on a different reference source) showed the Democrat winning the 2020 House race district-wide. The certified returns in this file show the OPPOSITE: the Republican won 2020 by about 2,600 votes (196,320 to 193,719). This changes the district's real historical pattern to Democrat-Republican-Democrat-Republican across 2018-2024, alternating every cycle -- not a steady Democratic-leaning trend as earlier analysis suggested.</t>
  </si>
  <si>
    <t xml:space="preserve">Ross Township's split</t>
  </si>
  <si>
    <t xml:space="preserve">Ross Township, Monroe County, is split across two congressional districts. Registration figures use the 'USC 7' (US Congressional District 7) portion specifically, verified against Master Data's certified vote totals for Ross to confirm the correct split was used.</t>
  </si>
  <si>
    <t xml:space="preserve">Avg Dem Share</t>
  </si>
  <si>
    <t xml:space="preserve">Avg Margin from 50pt</t>
  </si>
  <si>
    <t xml:space="preserve">Stdev Dem Share</t>
  </si>
  <si>
    <t xml:space="preserve">Party Flips</t>
  </si>
  <si>
    <t xml:space="preserve">Predictability</t>
  </si>
  <si>
    <t xml:space="preserve">Bellwether Search (89 Municipalities, Complete Real Data)</t>
  </si>
  <si>
    <t xml:space="preserve">District-wide result by year</t>
  </si>
  <si>
    <t xml:space="preserve">District Dem Votes</t>
  </si>
  <si>
    <t xml:space="preserve">District Rep Votes</t>
  </si>
  <si>
    <t xml:space="preserve">District Dem Share</t>
  </si>
  <si>
    <t xml:space="preserve">District Winner</t>
  </si>
  <si>
    <t xml:space="preserve">Per-municipality bellwether test</t>
  </si>
  <si>
    <t xml:space="preserve">Match 2018</t>
  </si>
  <si>
    <t xml:space="preserve">Match 2020</t>
  </si>
  <si>
    <t xml:space="preserve">Match 2022</t>
  </si>
  <si>
    <t xml:space="preserve">Match 2024</t>
  </si>
  <si>
    <t xml:space="preserve">Total Matches (/4)</t>
  </si>
  <si>
    <t xml:space="preserve">Avg Point Gap vs District</t>
  </si>
  <si>
    <t xml:space="preserve">Magic Municipality?</t>
  </si>
  <si>
    <t xml:space="preserve">(helper)</t>
  </si>
  <si>
    <t xml:space="preserve">Municipality Beta vs. the Combined District (89 Municipalities)</t>
  </si>
  <si>
    <t xml:space="preserve">District Dem Share (the 'index')</t>
  </si>
  <si>
    <t xml:space="preserve">Beta</t>
  </si>
  <si>
    <t xml:space="preserve">R-squared</t>
  </si>
  <si>
    <t xml:space="preserve">Deviation from 1.0</t>
  </si>
  <si>
    <t xml:space="preserve">Selected (Top 30 fit)</t>
  </si>
  <si>
    <t xml:space="preserve">(h) score</t>
  </si>
  <si>
    <t xml:space="preserve">(h) rank</t>
  </si>
  <si>
    <t xml:space="preserve">Correlation: Governor Race vs. House Race (Dem Vote Share)</t>
  </si>
  <si>
    <t xml:space="preserve">House Dem Share</t>
  </si>
  <si>
    <t xml:space="preserve">Correlation (r), 2018:</t>
  </si>
  <si>
    <t xml:space="preserve">Correlation (r), 2022:</t>
  </si>
  <si>
    <t xml:space="preserve">Correlation (r), pooled:</t>
  </si>
  <si>
    <t xml:space="preserve">Backtest: Naive vs. Trend, Checked Against Real 2024 (Complete Data)</t>
  </si>
  <si>
    <t xml:space="preserve">Predicted Dem Share (Trend)</t>
  </si>
  <si>
    <t xml:space="preserve">Actual Dem Share</t>
  </si>
  <si>
    <t xml:space="preserve">Trend Error (pts)</t>
  </si>
  <si>
    <t xml:space="preserve">Naive (=2022) Share</t>
  </si>
  <si>
    <t xml:space="preserve">Naive Error (pts)</t>
  </si>
  <si>
    <t xml:space="preserve">Trend Winner Correct?</t>
  </si>
  <si>
    <t xml:space="preserve">Naive Winner Correct?</t>
  </si>
  <si>
    <t xml:space="preserve">(h) trend abs err</t>
  </si>
  <si>
    <t xml:space="preserve">(h) naive abs err</t>
  </si>
  <si>
    <t xml:space="preserve">Beta-Adj Predicted Share</t>
  </si>
  <si>
    <t xml:space="preserve">Beta-Adj Error (pts)</t>
  </si>
  <si>
    <t xml:space="preserve">Beta-Adj Winner Correct?</t>
  </si>
  <si>
    <t xml:space="preserve">(h) beta abs err</t>
  </si>
  <si>
    <t xml:space="preserve">(helper) district 2018-22 trend-&gt;2024</t>
  </si>
  <si>
    <t xml:space="preserve">Reg. Predicted Share</t>
  </si>
  <si>
    <t xml:space="preserve">Reg. Error (pts)</t>
  </si>
  <si>
    <t xml:space="preserve">Reg. Winner Correct?</t>
  </si>
  <si>
    <t xml:space="preserve">(h) reg abs err</t>
  </si>
  <si>
    <t xml:space="preserve">Trend model MAE (pts)</t>
  </si>
  <si>
    <t xml:space="preserve">Naive model MAE (pts)</t>
  </si>
  <si>
    <t xml:space="preserve">Trend winner accuracy</t>
  </si>
  <si>
    <t xml:space="preserve">Naive winner accuracy</t>
  </si>
  <si>
    <t xml:space="preserve">Beta-adjusted MAE (pts)</t>
  </si>
  <si>
    <t xml:space="preserve">Beta-adjusted winner accuracy</t>
  </si>
  <si>
    <t xml:space="preserve">Regression MAE (pts)</t>
  </si>
  <si>
    <t xml:space="preserve">Regression winner accuracy</t>
  </si>
  <si>
    <t xml:space="preserve">2026 Forecast: Simple Trend Method</t>
  </si>
  <si>
    <t xml:space="preserve">Projected Total Votes</t>
  </si>
  <si>
    <t xml:space="preserve">Projected Dem Share</t>
  </si>
  <si>
    <t xml:space="preserve">Projected Dem Votes</t>
  </si>
  <si>
    <t xml:space="preserve">Projected Rep Votes</t>
  </si>
  <si>
    <t xml:space="preserve">Projected Winner</t>
  </si>
  <si>
    <t xml:space="preserve">DISTRICT TOTAL</t>
  </si>
  <si>
    <t xml:space="preserve">District-wide projected Dem share</t>
  </si>
  <si>
    <t xml:space="preserve">District-wide projected winner</t>
  </si>
  <si>
    <t xml:space="preserve">2026 Forecast: Beta-Adjusted Method</t>
  </si>
  <si>
    <t xml:space="preserve">Forecast_muni(2026) = Actual_muni(2024) + Beta_muni x [Trend_district(2026) - Actual_district(2024)]. Beta computed on the full 2018-2024 panel (Beta Coefficients sheet).</t>
  </si>
  <si>
    <t xml:space="preserve">2026 Forecast: Multi-Variable Regression Method</t>
  </si>
  <si>
    <t xml:space="preserve">Coefficients fit on the full 2020-2024 panel (267 obs, R²=0.95, backtested MAE=3.09 pts on 2024 holdout, accuracy 82/89): Dem Share = 9.61 + 0.0975(Reg D-minus-R, pts) + 10.539(%Bachelor's) - 4.688(Presidential Year) + 0.767(Lagged Dem Share).</t>
  </si>
  <si>
    <t xml:space="preserve">Backtested error margin (2024 holdout)</t>
  </si>
  <si>
    <t xml:space="preserve">± 3.09 points</t>
  </si>
  <si>
    <t xml:space="preserve">2026 Forecast: All Three Methods Side by Side</t>
  </si>
  <si>
    <t xml:space="preserve">With the complete, corrected data (all 89 municipalities, real votes throughout), the ranking of methods reversed from an earlier version of this analysis: the regression, which previously performed best, is now the WORST-backtested method. Beta-adjusted is now the strongest performer.</t>
  </si>
  <si>
    <t xml:space="preserve">Method</t>
  </si>
  <si>
    <t xml:space="preserve">2026 Dem Share</t>
  </si>
  <si>
    <t xml:space="preserve">Backtest MAE (2024 holdout)</t>
  </si>
  <si>
    <t xml:space="preserve">Backtest Winner Accuracy</t>
  </si>
  <si>
    <t xml:space="preserve">Simple Trend</t>
  </si>
  <si>
    <t xml:space="preserve">86 / 89</t>
  </si>
  <si>
    <t xml:space="preserve">Beta-Adjusted</t>
  </si>
  <si>
    <t xml:space="preserve">Multi-Variable Regression</t>
  </si>
  <si>
    <t xml:space="preserve">82 / 89</t>
  </si>
  <si>
    <t xml:space="preserve">Range across methods</t>
  </si>
  <si>
    <t xml:space="preserve">Recommended point estimate (best-backtested method)</t>
  </si>
  <si>
    <t xml:space="preserve">Confidence band (± backtested MAE)</t>
  </si>
  <si>
    <t xml:space="preserve">Reading this table: two of three methods (Trend, Beta-Adjusted) point to a narrow Republican win around 47-48%. The regression points to a narrow Democratic win at 50.6%, but it's also the worst-backtested of the three against real 2024 results -- it should be weighted least. The recommended point estimate is the beta-adjusted forecast, since it had the best track record predicting 2024 from only prior-cycle data. Still, with two methods clustering near 47-48% and disagreement from the third, this reads as Republican-leaning but not a lock -- report it as a range, not a single confident number.</t>
  </si>
  <si>
    <t xml:space="preserve">Greedy selection balancing two goals: (1) registrant-weighted average Dem Share and Reg D-minus-R should match the full 89-municipality district, and (2) towns with a strong individual track record predicting the district (beta near 1.0, high R², from the Beta Coefficients sheet) are favored over towns that only average out correctly.</t>
  </si>
  <si>
    <t xml:space="preserve">Avg Registrants</t>
  </si>
  <si>
    <t xml:space="preserve">Avg Reg D-minus-R</t>
  </si>
  <si>
    <t xml:space="preserve">Selected (1=Yes)</t>
  </si>
  <si>
    <t xml:space="preserve">Population-weighted comparison</t>
  </si>
  <si>
    <t xml:space="preserve">Dem Share</t>
  </si>
  <si>
    <t xml:space="preserve">Registrants Covered</t>
  </si>
  <si>
    <t xml:space="preserve">Full district (89 munis)</t>
  </si>
  <si>
    <t xml:space="preserve">Selected 30 municipalities</t>
  </si>
  <si>
    <t xml:space="preserve">Subset as % of district registrants</t>
  </si>
  <si>
    <t xml:space="preserve">Regression Analysis: Methodology, and Why It Lost This Round</t>
  </si>
  <si>
    <t xml:space="preserve">The headline result</t>
  </si>
  <si>
    <t xml:space="preserve">Dem Share = 9.61 + 0.0975(Reg D-minus-R) + 10.539(%Bachelor's) - 4.688(Presidential Year) + 0.767(Lagged Dem Share). Fit on the full 89-municipality panel, R² = 0.948 -- a strong in-sample fit. But when trained on only 2020-2022 and tested against real 2024 results, it produced a 3.09-point average error and called the winner correctly in only 82/89 municipalities -- the WORST of the three methods tested, behind both the simple trend (1.99 pts) and the beta-adjusted method (1.81 pts).</t>
  </si>
  <si>
    <t xml:space="preserve">Why this reversed from an earlier version of this analysis</t>
  </si>
  <si>
    <t xml:space="preserve">An earlier version of this workbook, built on incomplete data (Carbon County estimated, Monroe entirely missing), found the regression outperformed simpler methods. With the complete, corrected data -- including the discovery that the district's real 2018-2024 pattern alternates D-R-D-R rather than trending steadily Democratic -- the regression's reliance on a stable lagged-share relationship works against it: a model that leans heavily on 'last time's result plus incremental change' struggles precisely when the district is alternating rather than trending. The simpler trend and beta methods, which explicitly fit a slope across all 4 cycles rather than anchoring hard to the most recent one, handle the alternating pattern more gracefully.</t>
  </si>
  <si>
    <t xml:space="preserve">Variables used</t>
  </si>
  <si>
    <t xml:space="preserve">Variable</t>
  </si>
  <si>
    <t xml:space="preserve">Coefficient</t>
  </si>
  <si>
    <t xml:space="preserve">Role</t>
  </si>
  <si>
    <t xml:space="preserve">Note</t>
  </si>
  <si>
    <t xml:space="preserve">Registration D-minus-R</t>
  </si>
  <si>
    <t xml:space="preserve">0.0975</t>
  </si>
  <si>
    <t xml:space="preserve">Predictor</t>
  </si>
  <si>
    <t xml:space="preserve">Current registration lean, static across years (single Aug 2026 snapshot per the source file's own documentation)</t>
  </si>
  <si>
    <t xml:space="preserve">% Bachelor's Degree</t>
  </si>
  <si>
    <t xml:space="preserve">10.539</t>
  </si>
  <si>
    <t xml:space="preserve">ACS education data, now available for all 89 municipalities including Carbon and Monroe</t>
  </si>
  <si>
    <t xml:space="preserve">Presidential Year Dummy</t>
  </si>
  <si>
    <t xml:space="preserve">-4.688</t>
  </si>
  <si>
    <t xml:space="preserve">Control</t>
  </si>
  <si>
    <t xml:space="preserve">1 for 2020/2024, 0 for 2018/2022/2026</t>
  </si>
  <si>
    <t xml:space="preserve">Lagged Dem Share</t>
  </si>
  <si>
    <t xml:space="preserve">0.767</t>
  </si>
  <si>
    <t xml:space="preserve">By far the largest coefficient -- and the main reason the model struggles with the alternating D-R-D-R pattern</t>
  </si>
  <si>
    <t xml:space="preserve">What this means going forward</t>
  </si>
  <si>
    <t xml:space="preserve">This is a genuinely useful negative result, not a wasted effort: it shows that more sophisticated isn't automatically better, and that a model's performance depends on whether its core assumption (steady trend vs. alternating pattern) matches what the data is actually doing. The beta-adjusted method is recommended for the live 2026 forecast; the regression is kept in the workbook as a documented, honestly-reported comparison point.</t>
  </si>
  <si>
    <t xml:space="preserve">Data source</t>
  </si>
  <si>
    <t xml:space="preserve">Municipal_Data.xlsx (uploaded) -- certified municipal returns from 'Master Data' tab, registration/turnout from 'Muni Summary', ACS demographics from 'Household Demographics'. All values, no formulas in the source, per the file's own documentation.</t>
  </si>
  <si>
    <t xml:space="preserve">Coverage</t>
  </si>
  <si>
    <t xml:space="preserve">All 89 reportable PA-07 municipalities: Carbon (23), Lehigh (25), Northampton (38), Monroe (3: Eldred, Polk, Ross townships). This is a genuine upgrade from a prior version of this workbook, which had to estimate Carbon from registration data and had no Monroe data at all.</t>
  </si>
  <si>
    <t xml:space="preserve">Ross Township split</t>
  </si>
  <si>
    <t xml:space="preserve">Ross Township, Monroe County, is split across two congressional districts. Registration figures use the 'ROSS (USC 7)' entry specifically, verified against Master Data's certified Ross Township votes to confirm the correct portion.</t>
  </si>
  <si>
    <t xml:space="preserve">District boundary changes</t>
  </si>
  <si>
    <t xml:space="preserve">Carbon County was not part of PA-07 before 2022; most of Monroe County left the district after 2022, leaving only the 3 tracked townships. Each municipality's own vote history is used as the best signal for the CURRENT district's makeup, consistent with how similarly-situated historical data was handled in earlier versions of this project.</t>
  </si>
  <si>
    <t xml:space="preserve">2020 result correction</t>
  </si>
  <si>
    <t xml:space="preserve">An earlier version of this analysis, built on a different reference source, showed the Democrat winning 2020 district-wide. The certified returns here show the Republican winning 2020 by about 2,600 votes. The district's real 2018-2024 pattern alternates D-R-D-R, not a steady Democratic trend.</t>
  </si>
  <si>
    <t xml:space="preserve">Hard: any party flip in 2018-2024, or average margin from 50% under 5 points. Easy: average margin &gt;=15 points and low cycle-to-cycle swing, never flipped. Medium: everything else.</t>
  </si>
  <si>
    <t xml:space="preserve">Magic Municipality / Beta</t>
  </si>
  <si>
    <t xml:space="preserve">District 'index' is computed directly from all 89 municipalities' real votes -- no external reference or estimation needed anymore.</t>
  </si>
  <si>
    <t xml:space="preserve">Method comparison, updated</t>
  </si>
  <si>
    <t xml:space="preserve">With complete data, the ranking of methods reversed from an earlier version: the regression (previously best) is now the WORST-backtested method (3.09 pt MAE), behind the trend (1.99) and beta-adjusted (1.81, now the best). See the Regression Analysis sheet for why.</t>
  </si>
  <si>
    <t xml:space="preserve">Known remaining limitation</t>
  </si>
  <si>
    <t xml:space="preserve">None of major consequence -- this version closes the Carbon and Monroe gaps that the prior version had to work around. Registration lean remains a single current snapshot (not historical), per the source file's own documentation.</t>
  </si>
</sst>
</file>

<file path=xl/styles.xml><?xml version="1.0" encoding="utf-8"?>
<styleSheet xmlns="http://schemas.openxmlformats.org/spreadsheetml/2006/main">
  <numFmts count="7">
    <numFmt numFmtId="164" formatCode="General"/>
    <numFmt numFmtId="165" formatCode="0.0%"/>
    <numFmt numFmtId="166" formatCode="#,##0"/>
    <numFmt numFmtId="167" formatCode="0.00%"/>
    <numFmt numFmtId="168" formatCode="0.00"/>
    <numFmt numFmtId="169" formatCode="0.0"/>
    <numFmt numFmtId="170" formatCode="General"/>
  </numFmts>
  <fonts count="17">
    <font>
      <sz val="11"/>
      <color theme="1"/>
      <name val="Calibri"/>
      <family val="2"/>
      <charset val="1"/>
    </font>
    <font>
      <sz val="10"/>
      <name val="Arial"/>
      <family val="0"/>
    </font>
    <font>
      <sz val="10"/>
      <name val="Arial"/>
      <family val="0"/>
    </font>
    <font>
      <sz val="10"/>
      <name val="Arial"/>
      <family val="0"/>
    </font>
    <font>
      <b val="true"/>
      <sz val="15"/>
      <name val="Arial"/>
      <family val="0"/>
      <charset val="1"/>
    </font>
    <font>
      <i val="true"/>
      <sz val="11"/>
      <name val="Arial"/>
      <family val="0"/>
      <charset val="1"/>
    </font>
    <font>
      <b val="true"/>
      <sz val="11"/>
      <color rgb="FFFFFFFF"/>
      <name val="Arial"/>
      <family val="0"/>
      <charset val="1"/>
    </font>
    <font>
      <b val="true"/>
      <sz val="11"/>
      <name val="Arial"/>
      <family val="0"/>
      <charset val="1"/>
    </font>
    <font>
      <sz val="11"/>
      <name val="Arial"/>
      <family val="0"/>
      <charset val="1"/>
    </font>
    <font>
      <b val="true"/>
      <sz val="13"/>
      <name val="Arial"/>
      <family val="0"/>
      <charset val="1"/>
    </font>
    <font>
      <i val="true"/>
      <sz val="8"/>
      <name val="Cambria"/>
      <family val="0"/>
      <charset val="1"/>
    </font>
    <font>
      <b val="true"/>
      <sz val="11"/>
      <color rgb="FF006100"/>
      <name val="Arial"/>
      <family val="0"/>
      <charset val="1"/>
    </font>
    <font>
      <b val="true"/>
      <sz val="12"/>
      <name val="Arial"/>
      <family val="0"/>
      <charset val="1"/>
    </font>
    <font>
      <i val="true"/>
      <sz val="9"/>
      <name val="Arial"/>
      <family val="0"/>
      <charset val="1"/>
    </font>
    <font>
      <b val="true"/>
      <sz val="14"/>
      <name val="Arial"/>
      <family val="0"/>
      <charset val="1"/>
    </font>
    <font>
      <i val="true"/>
      <sz val="10"/>
      <name val="Arial"/>
      <family val="0"/>
      <charset val="1"/>
    </font>
    <font>
      <b val="true"/>
      <sz val="12"/>
      <color rgb="FF1F4E78"/>
      <name val="Arial"/>
      <family val="0"/>
      <charset val="1"/>
    </font>
  </fonts>
  <fills count="5">
    <fill>
      <patternFill patternType="none"/>
    </fill>
    <fill>
      <patternFill patternType="gray125"/>
    </fill>
    <fill>
      <patternFill patternType="solid">
        <fgColor rgb="FF1F4E78"/>
        <bgColor rgb="FF003366"/>
      </patternFill>
    </fill>
    <fill>
      <patternFill patternType="solid">
        <fgColor rgb="FFC6EFCE"/>
        <bgColor rgb="FFD9D9D9"/>
      </patternFill>
    </fill>
    <fill>
      <patternFill patternType="solid">
        <fgColor rgb="FFFFC7CE"/>
        <bgColor rgb="FFD9D9D9"/>
      </patternFill>
    </fill>
  </fills>
  <borders count="3">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6" fontId="8"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7" fontId="8"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8" fontId="8" fillId="0" borderId="0" xfId="0" applyFont="true" applyBorder="false" applyAlignment="true" applyProtection="false">
      <alignment horizontal="general" vertical="bottom" textRotation="0" wrapText="false" indent="0" shrinkToFit="false"/>
      <protection locked="true" hidden="false"/>
    </xf>
    <xf numFmtId="169" fontId="8" fillId="0" borderId="0" xfId="0" applyFont="true" applyBorder="false" applyAlignment="true" applyProtection="false">
      <alignment horizontal="general" vertical="bottom" textRotation="0" wrapText="false" indent="0" shrinkToFit="false"/>
      <protection locked="true" hidden="false"/>
    </xf>
    <xf numFmtId="170" fontId="8" fillId="0" borderId="0" xfId="0" applyFont="true" applyBorder="false" applyAlignment="true" applyProtection="false">
      <alignment horizontal="general" vertical="bottom" textRotation="0" wrapText="false" indent="0" shrinkToFit="false"/>
      <protection locked="true" hidden="false"/>
    </xf>
    <xf numFmtId="168" fontId="7" fillId="0" borderId="0" xfId="0" applyFont="true" applyBorder="false" applyAlignment="true" applyProtection="false">
      <alignment horizontal="general" vertical="bottom" textRotation="0" wrapText="false" indent="0" shrinkToFit="false"/>
      <protection locked="true" hidden="false"/>
    </xf>
    <xf numFmtId="166" fontId="7" fillId="0" borderId="0" xfId="0" applyFont="true" applyBorder="false" applyAlignment="tru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true" applyAlignment="true" applyProtection="false">
      <alignment horizontal="general" vertical="bottom" textRotation="0" wrapText="false" indent="0" shrinkToFit="false"/>
      <protection locked="true" hidden="false"/>
    </xf>
    <xf numFmtId="164" fontId="14" fillId="0" borderId="0" xfId="0" applyFont="true" applyBorder="true" applyAlignment="true" applyProtection="false">
      <alignment horizontal="general" vertical="bottom" textRotation="0" wrapText="false" indent="0" shrinkToFit="false"/>
      <protection locked="true" hidden="false"/>
    </xf>
    <xf numFmtId="164" fontId="15" fillId="0" borderId="0" xfId="0" applyFont="true" applyBorder="tru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4" fontId="7" fillId="3" borderId="0" xfId="0" applyFont="true" applyBorder="false" applyAlignment="true" applyProtection="false">
      <alignment horizontal="general" vertical="bottom" textRotation="0" wrapText="false" indent="0" shrinkToFit="false"/>
      <protection locked="true" hidden="false"/>
    </xf>
    <xf numFmtId="165" fontId="7" fillId="3" borderId="0" xfId="0" applyFont="true" applyBorder="false" applyAlignment="true" applyProtection="false">
      <alignment horizontal="general" vertical="bottom" textRotation="0" wrapText="false" indent="0" shrinkToFit="false"/>
      <protection locked="true" hidden="false"/>
    </xf>
    <xf numFmtId="164" fontId="8" fillId="4" borderId="0" xfId="0" applyFont="true" applyBorder="false" applyAlignment="true" applyProtection="false">
      <alignment horizontal="general" vertical="bottom" textRotation="0" wrapText="false" indent="0" shrinkToFit="false"/>
      <protection locked="true" hidden="false"/>
    </xf>
    <xf numFmtId="165" fontId="8" fillId="4" borderId="0" xfId="0" applyFont="true" applyBorder="false" applyAlignment="true" applyProtection="false">
      <alignment horizontal="general" vertical="bottom" textRotation="0" wrapText="false" indent="0" shrinkToFit="false"/>
      <protection locked="true" hidden="false"/>
    </xf>
    <xf numFmtId="165" fontId="12"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true" indent="0" shrinkToFit="false"/>
      <protection locked="true" hidden="false"/>
    </xf>
    <xf numFmtId="164" fontId="13" fillId="0" borderId="0" xfId="0" applyFont="true" applyBorder="true" applyAlignment="true" applyProtection="false">
      <alignment horizontal="general" vertical="bottom" textRotation="0" wrapText="tru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6" fillId="2" borderId="2" xfId="0" applyFont="true" applyBorder="true" applyAlignment="true" applyProtection="false">
      <alignment horizontal="general" vertical="bottom" textRotation="0" wrapText="false" indent="0" shrinkToFit="false"/>
      <protection locked="true" hidden="false"/>
    </xf>
    <xf numFmtId="164" fontId="8" fillId="0" borderId="2" xfId="0" applyFont="true" applyBorder="true" applyAlignment="true" applyProtection="false">
      <alignment horizontal="general" vertical="bottom" textRotation="0" wrapText="false" indent="0" shrinkToFit="false"/>
      <protection locked="true" hidden="false"/>
    </xf>
    <xf numFmtId="164" fontId="8" fillId="0" borderId="2"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FFEB9C"/>
          <bgColor rgb="FF000000"/>
        </patternFill>
      </fill>
    </dxf>
    <dxf>
      <fill>
        <patternFill>
          <bgColor rgb="FFFFC7CE"/>
        </patternFill>
      </fill>
    </dxf>
    <dxf>
      <fill>
        <patternFill>
          <bgColor rgb="FFC6EFCE"/>
        </patternFill>
      </fill>
    </dxf>
    <dxf>
      <fill>
        <patternFill>
          <bgColor rgb="FFFFEB9C"/>
        </patternFill>
      </fill>
    </dxf>
  </dxfs>
  <colors>
    <indexedColors>
      <rgbColor rgb="FF000000"/>
      <rgbColor rgb="FFFFFFFF"/>
      <rgbColor rgb="FFFF0000"/>
      <rgbColor rgb="FF00FF00"/>
      <rgbColor rgb="FF0000FF"/>
      <rgbColor rgb="FFFFFF00"/>
      <rgbColor rgb="FFFF00FF"/>
      <rgbColor rgb="FF00FFFF"/>
      <rgbColor rgb="FF800000"/>
      <rgbColor rgb="FF006100"/>
      <rgbColor rgb="FF000080"/>
      <rgbColor rgb="FF808000"/>
      <rgbColor rgb="FF800080"/>
      <rgbColor rgb="FF008080"/>
      <rgbColor rgb="FFB7B7B7"/>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48"/>
    <col collapsed="false" customWidth="true" hidden="false" outlineLevel="0" max="3" min="3" style="1" width="55"/>
  </cols>
  <sheetData>
    <row r="1" customFormat="false" ht="18" hidden="false" customHeight="true" outlineLevel="0" collapsed="false">
      <c r="A1" s="2" t="s">
        <v>0</v>
      </c>
      <c r="B1" s="2"/>
      <c r="C1" s="2"/>
    </row>
    <row r="2" customFormat="false" ht="15" hidden="false" customHeight="true" outlineLevel="0" collapsed="false">
      <c r="A2" s="3" t="s">
        <v>1</v>
      </c>
      <c r="B2" s="3"/>
      <c r="C2" s="3"/>
    </row>
    <row r="4" customFormat="false" ht="15" hidden="false" customHeight="true" outlineLevel="0" collapsed="false">
      <c r="A4" s="4" t="s">
        <v>2</v>
      </c>
      <c r="B4" s="4" t="s">
        <v>3</v>
      </c>
      <c r="C4" s="4" t="s">
        <v>4</v>
      </c>
    </row>
    <row r="5" customFormat="false" ht="60" hidden="false" customHeight="true" outlineLevel="0" collapsed="false">
      <c r="A5" s="5" t="s">
        <v>5</v>
      </c>
      <c r="B5" s="6" t="s">
        <v>6</v>
      </c>
      <c r="C5" s="6" t="s">
        <v>7</v>
      </c>
    </row>
    <row r="6" customFormat="false" ht="60" hidden="false" customHeight="true" outlineLevel="0" collapsed="false">
      <c r="A6" s="5" t="s">
        <v>8</v>
      </c>
      <c r="B6" s="6" t="s">
        <v>9</v>
      </c>
      <c r="C6" s="6" t="s">
        <v>10</v>
      </c>
    </row>
    <row r="7" customFormat="false" ht="60" hidden="false" customHeight="true" outlineLevel="0" collapsed="false">
      <c r="A7" s="5" t="s">
        <v>11</v>
      </c>
      <c r="B7" s="6" t="s">
        <v>12</v>
      </c>
      <c r="C7" s="6" t="s">
        <v>13</v>
      </c>
    </row>
    <row r="8" customFormat="false" ht="60" hidden="false" customHeight="true" outlineLevel="0" collapsed="false">
      <c r="A8" s="5" t="s">
        <v>14</v>
      </c>
      <c r="B8" s="6" t="s">
        <v>15</v>
      </c>
      <c r="C8" s="6" t="s">
        <v>16</v>
      </c>
    </row>
    <row r="9" customFormat="false" ht="60" hidden="false" customHeight="true" outlineLevel="0" collapsed="false">
      <c r="A9" s="5" t="s">
        <v>17</v>
      </c>
      <c r="B9" s="6" t="s">
        <v>18</v>
      </c>
      <c r="C9" s="6" t="s">
        <v>19</v>
      </c>
    </row>
    <row r="10" customFormat="false" ht="60" hidden="false" customHeight="true" outlineLevel="0" collapsed="false">
      <c r="A10" s="5" t="s">
        <v>20</v>
      </c>
      <c r="B10" s="6" t="s">
        <v>21</v>
      </c>
      <c r="C10" s="6" t="s">
        <v>22</v>
      </c>
    </row>
    <row r="11" customFormat="false" ht="60" hidden="false" customHeight="true" outlineLevel="0" collapsed="false">
      <c r="A11" s="5" t="s">
        <v>23</v>
      </c>
      <c r="B11" s="6" t="s">
        <v>24</v>
      </c>
      <c r="C11" s="6" t="s">
        <v>25</v>
      </c>
    </row>
    <row r="12" customFormat="false" ht="60" hidden="false" customHeight="true" outlineLevel="0" collapsed="false">
      <c r="A12" s="5" t="s">
        <v>26</v>
      </c>
      <c r="B12" s="6" t="s">
        <v>27</v>
      </c>
      <c r="C12" s="6" t="s">
        <v>28</v>
      </c>
    </row>
    <row r="13" customFormat="false" ht="60" hidden="false" customHeight="true" outlineLevel="0" collapsed="false">
      <c r="A13" s="5" t="s">
        <v>29</v>
      </c>
      <c r="B13" s="6" t="s">
        <v>30</v>
      </c>
      <c r="C13" s="6" t="s">
        <v>31</v>
      </c>
    </row>
    <row r="14" customFormat="false" ht="60" hidden="false" customHeight="true" outlineLevel="0" collapsed="false">
      <c r="A14" s="5" t="s">
        <v>32</v>
      </c>
      <c r="B14" s="6" t="s">
        <v>33</v>
      </c>
      <c r="C14" s="6" t="s">
        <v>34</v>
      </c>
    </row>
    <row r="15" customFormat="false" ht="60" hidden="false" customHeight="true" outlineLevel="0" collapsed="false">
      <c r="A15" s="5" t="s">
        <v>35</v>
      </c>
      <c r="B15" s="6" t="s">
        <v>36</v>
      </c>
      <c r="C15" s="6" t="s">
        <v>37</v>
      </c>
    </row>
    <row r="16" customFormat="false" ht="60" hidden="false" customHeight="true" outlineLevel="0" collapsed="false">
      <c r="A16" s="5" t="s">
        <v>38</v>
      </c>
      <c r="B16" s="6" t="s">
        <v>39</v>
      </c>
      <c r="C16" s="6" t="s">
        <v>40</v>
      </c>
    </row>
    <row r="17" customFormat="false" ht="60" hidden="false" customHeight="true" outlineLevel="0" collapsed="false">
      <c r="A17" s="5" t="s">
        <v>41</v>
      </c>
      <c r="B17" s="6" t="s">
        <v>42</v>
      </c>
      <c r="C17" s="6" t="s">
        <v>43</v>
      </c>
    </row>
  </sheetData>
  <mergeCells count="2">
    <mergeCell ref="A1:C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5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22"/>
    <col collapsed="false" customWidth="true" hidden="false" outlineLevel="0" max="3" min="3" style="1" width="14"/>
    <col collapsed="false" customWidth="true" hidden="false" outlineLevel="0" max="7" min="4" style="1" width="11"/>
    <col collapsed="false" customWidth="true" hidden="false" outlineLevel="0" max="9" min="8" style="1" width="15"/>
    <col collapsed="false" customWidth="true" hidden="false" outlineLevel="0" max="11" min="10" style="1" width="14"/>
    <col collapsed="false" customWidth="true" hidden="false" outlineLevel="0" max="12" min="12" style="1" width="20"/>
  </cols>
  <sheetData>
    <row r="1" customFormat="false" ht="15" hidden="false" customHeight="true" outlineLevel="0" collapsed="false">
      <c r="A1" s="7" t="s">
        <v>44</v>
      </c>
      <c r="B1" s="7" t="s">
        <v>45</v>
      </c>
      <c r="C1" s="7" t="s">
        <v>46</v>
      </c>
      <c r="D1" s="7" t="s">
        <v>47</v>
      </c>
      <c r="E1" s="7" t="s">
        <v>48</v>
      </c>
      <c r="F1" s="7" t="s">
        <v>49</v>
      </c>
      <c r="G1" s="7" t="s">
        <v>50</v>
      </c>
      <c r="H1" s="7" t="s">
        <v>51</v>
      </c>
      <c r="I1" s="7" t="s">
        <v>52</v>
      </c>
      <c r="J1" s="7" t="s">
        <v>53</v>
      </c>
      <c r="K1" s="7" t="s">
        <v>54</v>
      </c>
      <c r="L1" s="7" t="s">
        <v>55</v>
      </c>
    </row>
    <row r="2" customFormat="false" ht="15" hidden="false" customHeight="true" outlineLevel="0" collapsed="false">
      <c r="A2" s="8" t="n">
        <v>2018</v>
      </c>
      <c r="B2" s="8" t="s">
        <v>56</v>
      </c>
      <c r="C2" s="8" t="s">
        <v>57</v>
      </c>
      <c r="D2" s="8" t="n">
        <v>160</v>
      </c>
      <c r="E2" s="8" t="n">
        <v>221</v>
      </c>
      <c r="F2" s="8" t="n">
        <f aca="false">D2+E2</f>
        <v>381</v>
      </c>
      <c r="G2" s="9" t="n">
        <f aca="false">D2/F2</f>
        <v>0.41994750656168</v>
      </c>
      <c r="H2" s="8" t="n">
        <v>174</v>
      </c>
      <c r="I2" s="8" t="n">
        <v>208</v>
      </c>
      <c r="J2" s="8" t="n">
        <f aca="false">IF(OR(H2="",H2=0),"",H2+I2)</f>
        <v>382</v>
      </c>
      <c r="K2" s="9" t="n">
        <f aca="false">IF(J2="","",H2/J2)</f>
        <v>0.455497382198953</v>
      </c>
      <c r="L2" s="8" t="n">
        <f aca="false">IF(OR(A2=2020,A2=2024),1,0)</f>
        <v>0</v>
      </c>
    </row>
    <row r="3" customFormat="false" ht="15" hidden="false" customHeight="true" outlineLevel="0" collapsed="false">
      <c r="A3" s="8" t="n">
        <v>2020</v>
      </c>
      <c r="B3" s="8" t="s">
        <v>56</v>
      </c>
      <c r="C3" s="8" t="s">
        <v>57</v>
      </c>
      <c r="D3" s="8" t="n">
        <v>171</v>
      </c>
      <c r="E3" s="8" t="n">
        <v>332</v>
      </c>
      <c r="F3" s="8" t="n">
        <f aca="false">D3+E3</f>
        <v>503</v>
      </c>
      <c r="G3" s="9" t="n">
        <f aca="false">D3/F3</f>
        <v>0.339960238568589</v>
      </c>
      <c r="H3" s="8"/>
      <c r="I3" s="8"/>
      <c r="J3" s="8" t="str">
        <f aca="false">IF(OR(H3="",H3=0),"",H3+I3)</f>
        <v/>
      </c>
      <c r="K3" s="9" t="str">
        <f aca="false">IF(J3="","",H3/J3)</f>
        <v/>
      </c>
      <c r="L3" s="8" t="n">
        <f aca="false">IF(OR(A3=2020,A3=2024),1,0)</f>
        <v>1</v>
      </c>
    </row>
    <row r="4" customFormat="false" ht="15" hidden="false" customHeight="true" outlineLevel="0" collapsed="false">
      <c r="A4" s="8" t="n">
        <v>2022</v>
      </c>
      <c r="B4" s="8" t="s">
        <v>56</v>
      </c>
      <c r="C4" s="8" t="s">
        <v>57</v>
      </c>
      <c r="D4" s="8" t="n">
        <v>137</v>
      </c>
      <c r="E4" s="8" t="n">
        <v>249</v>
      </c>
      <c r="F4" s="8" t="n">
        <f aca="false">D4+E4</f>
        <v>386</v>
      </c>
      <c r="G4" s="9" t="n">
        <f aca="false">D4/F4</f>
        <v>0.354922279792746</v>
      </c>
      <c r="H4" s="8" t="n">
        <v>151</v>
      </c>
      <c r="I4" s="8" t="n">
        <v>227</v>
      </c>
      <c r="J4" s="8" t="n">
        <f aca="false">IF(OR(H4="",H4=0),"",H4+I4)</f>
        <v>378</v>
      </c>
      <c r="K4" s="9" t="n">
        <f aca="false">IF(J4="","",H4/J4)</f>
        <v>0.3994708994709</v>
      </c>
      <c r="L4" s="8" t="n">
        <f aca="false">IF(OR(A4=2020,A4=2024),1,0)</f>
        <v>0</v>
      </c>
    </row>
    <row r="5" customFormat="false" ht="15" hidden="false" customHeight="true" outlineLevel="0" collapsed="false">
      <c r="A5" s="8" t="n">
        <v>2024</v>
      </c>
      <c r="B5" s="8" t="s">
        <v>56</v>
      </c>
      <c r="C5" s="8" t="s">
        <v>57</v>
      </c>
      <c r="D5" s="8" t="n">
        <v>181</v>
      </c>
      <c r="E5" s="8" t="n">
        <v>285</v>
      </c>
      <c r="F5" s="8" t="n">
        <f aca="false">D5+E5</f>
        <v>466</v>
      </c>
      <c r="G5" s="9" t="n">
        <f aca="false">D5/F5</f>
        <v>0.388412017167382</v>
      </c>
      <c r="H5" s="8"/>
      <c r="I5" s="8"/>
      <c r="J5" s="8" t="str">
        <f aca="false">IF(OR(H5="",H5=0),"",H5+I5)</f>
        <v/>
      </c>
      <c r="K5" s="9" t="str">
        <f aca="false">IF(J5="","",H5/J5)</f>
        <v/>
      </c>
      <c r="L5" s="8" t="n">
        <f aca="false">IF(OR(A5=2020,A5=2024),1,0)</f>
        <v>1</v>
      </c>
    </row>
    <row r="6" customFormat="false" ht="15" hidden="false" customHeight="true" outlineLevel="0" collapsed="false">
      <c r="A6" s="8" t="n">
        <v>2018</v>
      </c>
      <c r="B6" s="8" t="s">
        <v>58</v>
      </c>
      <c r="C6" s="8" t="s">
        <v>57</v>
      </c>
      <c r="D6" s="8" t="n">
        <v>95</v>
      </c>
      <c r="E6" s="8" t="n">
        <v>192</v>
      </c>
      <c r="F6" s="8" t="n">
        <f aca="false">D6+E6</f>
        <v>287</v>
      </c>
      <c r="G6" s="9" t="n">
        <f aca="false">D6/F6</f>
        <v>0.331010452961673</v>
      </c>
      <c r="H6" s="8" t="n">
        <v>112</v>
      </c>
      <c r="I6" s="8" t="n">
        <v>168</v>
      </c>
      <c r="J6" s="8" t="n">
        <f aca="false">IF(OR(H6="",H6=0),"",H6+I6)</f>
        <v>280</v>
      </c>
      <c r="K6" s="9" t="n">
        <f aca="false">IF(J6="","",H6/J6)</f>
        <v>0.4</v>
      </c>
      <c r="L6" s="8" t="n">
        <f aca="false">IF(OR(A6=2020,A6=2024),1,0)</f>
        <v>0</v>
      </c>
    </row>
    <row r="7" customFormat="false" ht="15" hidden="false" customHeight="true" outlineLevel="0" collapsed="false">
      <c r="A7" s="8" t="n">
        <v>2020</v>
      </c>
      <c r="B7" s="8" t="s">
        <v>58</v>
      </c>
      <c r="C7" s="8" t="s">
        <v>57</v>
      </c>
      <c r="D7" s="8" t="n">
        <v>100</v>
      </c>
      <c r="E7" s="8" t="n">
        <v>303</v>
      </c>
      <c r="F7" s="8" t="n">
        <f aca="false">D7+E7</f>
        <v>403</v>
      </c>
      <c r="G7" s="9" t="n">
        <f aca="false">D7/F7</f>
        <v>0.248138957816377</v>
      </c>
      <c r="H7" s="8"/>
      <c r="I7" s="8"/>
      <c r="J7" s="8" t="str">
        <f aca="false">IF(OR(H7="",H7=0),"",H7+I7)</f>
        <v/>
      </c>
      <c r="K7" s="9" t="str">
        <f aca="false">IF(J7="","",H7/J7)</f>
        <v/>
      </c>
      <c r="L7" s="8" t="n">
        <f aca="false">IF(OR(A7=2020,A7=2024),1,0)</f>
        <v>1</v>
      </c>
    </row>
    <row r="8" customFormat="false" ht="15" hidden="false" customHeight="true" outlineLevel="0" collapsed="false">
      <c r="A8" s="8" t="n">
        <v>2022</v>
      </c>
      <c r="B8" s="8" t="s">
        <v>58</v>
      </c>
      <c r="C8" s="8" t="s">
        <v>57</v>
      </c>
      <c r="D8" s="8" t="n">
        <v>84</v>
      </c>
      <c r="E8" s="8" t="n">
        <v>230</v>
      </c>
      <c r="F8" s="8" t="n">
        <f aca="false">D8+E8</f>
        <v>314</v>
      </c>
      <c r="G8" s="9" t="n">
        <f aca="false">D8/F8</f>
        <v>0.267515923566879</v>
      </c>
      <c r="H8" s="8" t="n">
        <v>108</v>
      </c>
      <c r="I8" s="8" t="n">
        <v>196</v>
      </c>
      <c r="J8" s="8" t="n">
        <f aca="false">IF(OR(H8="",H8=0),"",H8+I8)</f>
        <v>304</v>
      </c>
      <c r="K8" s="9" t="n">
        <f aca="false">IF(J8="","",H8/J8)</f>
        <v>0.355263157894737</v>
      </c>
      <c r="L8" s="8" t="n">
        <f aca="false">IF(OR(A8=2020,A8=2024),1,0)</f>
        <v>0</v>
      </c>
    </row>
    <row r="9" customFormat="false" ht="15" hidden="false" customHeight="true" outlineLevel="0" collapsed="false">
      <c r="A9" s="8" t="n">
        <v>2024</v>
      </c>
      <c r="B9" s="8" t="s">
        <v>58</v>
      </c>
      <c r="C9" s="8" t="s">
        <v>57</v>
      </c>
      <c r="D9" s="8" t="n">
        <v>118</v>
      </c>
      <c r="E9" s="8" t="n">
        <v>300</v>
      </c>
      <c r="F9" s="8" t="n">
        <f aca="false">D9+E9</f>
        <v>418</v>
      </c>
      <c r="G9" s="9" t="n">
        <f aca="false">D9/F9</f>
        <v>0.282296650717703</v>
      </c>
      <c r="H9" s="8"/>
      <c r="I9" s="8"/>
      <c r="J9" s="8" t="str">
        <f aca="false">IF(OR(H9="",H9=0),"",H9+I9)</f>
        <v/>
      </c>
      <c r="K9" s="9" t="str">
        <f aca="false">IF(J9="","",H9/J9)</f>
        <v/>
      </c>
      <c r="L9" s="8" t="n">
        <f aca="false">IF(OR(A9=2020,A9=2024),1,0)</f>
        <v>1</v>
      </c>
    </row>
    <row r="10" customFormat="false" ht="15" hidden="false" customHeight="true" outlineLevel="0" collapsed="false">
      <c r="A10" s="8" t="n">
        <v>2018</v>
      </c>
      <c r="B10" s="8" t="s">
        <v>59</v>
      </c>
      <c r="C10" s="8" t="s">
        <v>57</v>
      </c>
      <c r="D10" s="8" t="n">
        <v>110</v>
      </c>
      <c r="E10" s="8" t="n">
        <v>175</v>
      </c>
      <c r="F10" s="8" t="n">
        <f aca="false">D10+E10</f>
        <v>285</v>
      </c>
      <c r="G10" s="9" t="n">
        <f aca="false">D10/F10</f>
        <v>0.385964912280702</v>
      </c>
      <c r="H10" s="8" t="n">
        <v>121</v>
      </c>
      <c r="I10" s="8" t="n">
        <v>160</v>
      </c>
      <c r="J10" s="8" t="n">
        <f aca="false">IF(OR(H10="",H10=0),"",H10+I10)</f>
        <v>281</v>
      </c>
      <c r="K10" s="9" t="n">
        <f aca="false">IF(J10="","",H10/J10)</f>
        <v>0.430604982206406</v>
      </c>
      <c r="L10" s="8" t="n">
        <f aca="false">IF(OR(A10=2020,A10=2024),1,0)</f>
        <v>0</v>
      </c>
    </row>
    <row r="11" customFormat="false" ht="15" hidden="false" customHeight="true" outlineLevel="0" collapsed="false">
      <c r="A11" s="8" t="n">
        <v>2020</v>
      </c>
      <c r="B11" s="8" t="s">
        <v>59</v>
      </c>
      <c r="C11" s="8" t="s">
        <v>57</v>
      </c>
      <c r="D11" s="8" t="n">
        <v>111</v>
      </c>
      <c r="E11" s="8" t="n">
        <v>317</v>
      </c>
      <c r="F11" s="8" t="n">
        <f aca="false">D11+E11</f>
        <v>428</v>
      </c>
      <c r="G11" s="9" t="n">
        <f aca="false">D11/F11</f>
        <v>0.259345794392523</v>
      </c>
      <c r="H11" s="8"/>
      <c r="I11" s="8"/>
      <c r="J11" s="8" t="str">
        <f aca="false">IF(OR(H11="",H11=0),"",H11+I11)</f>
        <v/>
      </c>
      <c r="K11" s="9" t="str">
        <f aca="false">IF(J11="","",H11/J11)</f>
        <v/>
      </c>
      <c r="L11" s="8" t="n">
        <f aca="false">IF(OR(A11=2020,A11=2024),1,0)</f>
        <v>1</v>
      </c>
    </row>
    <row r="12" customFormat="false" ht="15" hidden="false" customHeight="true" outlineLevel="0" collapsed="false">
      <c r="A12" s="8" t="n">
        <v>2022</v>
      </c>
      <c r="B12" s="8" t="s">
        <v>59</v>
      </c>
      <c r="C12" s="8" t="s">
        <v>57</v>
      </c>
      <c r="D12" s="8" t="n">
        <v>125</v>
      </c>
      <c r="E12" s="8" t="n">
        <v>223</v>
      </c>
      <c r="F12" s="8" t="n">
        <f aca="false">D12+E12</f>
        <v>348</v>
      </c>
      <c r="G12" s="9" t="n">
        <f aca="false">D12/F12</f>
        <v>0.359195402298851</v>
      </c>
      <c r="H12" s="8" t="n">
        <v>145</v>
      </c>
      <c r="I12" s="8" t="n">
        <v>199</v>
      </c>
      <c r="J12" s="8" t="n">
        <f aca="false">IF(OR(H12="",H12=0),"",H12+I12)</f>
        <v>344</v>
      </c>
      <c r="K12" s="9" t="n">
        <f aca="false">IF(J12="","",H12/J12)</f>
        <v>0.421511627906977</v>
      </c>
      <c r="L12" s="8" t="n">
        <f aca="false">IF(OR(A12=2020,A12=2024),1,0)</f>
        <v>0</v>
      </c>
    </row>
    <row r="13" customFormat="false" ht="15" hidden="false" customHeight="true" outlineLevel="0" collapsed="false">
      <c r="A13" s="8" t="n">
        <v>2024</v>
      </c>
      <c r="B13" s="8" t="s">
        <v>59</v>
      </c>
      <c r="C13" s="8" t="s">
        <v>57</v>
      </c>
      <c r="D13" s="8" t="n">
        <v>144</v>
      </c>
      <c r="E13" s="8" t="n">
        <v>310</v>
      </c>
      <c r="F13" s="8" t="n">
        <f aca="false">D13+E13</f>
        <v>454</v>
      </c>
      <c r="G13" s="9" t="n">
        <f aca="false">D13/F13</f>
        <v>0.317180616740088</v>
      </c>
      <c r="H13" s="8"/>
      <c r="I13" s="8"/>
      <c r="J13" s="8" t="str">
        <f aca="false">IF(OR(H13="",H13=0),"",H13+I13)</f>
        <v/>
      </c>
      <c r="K13" s="9" t="str">
        <f aca="false">IF(J13="","",H13/J13)</f>
        <v/>
      </c>
      <c r="L13" s="8" t="n">
        <f aca="false">IF(OR(A13=2020,A13=2024),1,0)</f>
        <v>1</v>
      </c>
    </row>
    <row r="14" customFormat="false" ht="15" hidden="false" customHeight="true" outlineLevel="0" collapsed="false">
      <c r="A14" s="8" t="n">
        <v>2018</v>
      </c>
      <c r="B14" s="8" t="s">
        <v>60</v>
      </c>
      <c r="C14" s="8" t="s">
        <v>57</v>
      </c>
      <c r="D14" s="8" t="n">
        <v>369</v>
      </c>
      <c r="E14" s="8" t="n">
        <v>742</v>
      </c>
      <c r="F14" s="8" t="n">
        <f aca="false">D14+E14</f>
        <v>1111</v>
      </c>
      <c r="G14" s="9" t="n">
        <f aca="false">D14/F14</f>
        <v>0.332133213321332</v>
      </c>
      <c r="H14" s="8" t="n">
        <v>443</v>
      </c>
      <c r="I14" s="8" t="n">
        <v>665</v>
      </c>
      <c r="J14" s="8" t="n">
        <f aca="false">IF(OR(H14="",H14=0),"",H14+I14)</f>
        <v>1108</v>
      </c>
      <c r="K14" s="9" t="n">
        <f aca="false">IF(J14="","",H14/J14)</f>
        <v>0.399819494584838</v>
      </c>
      <c r="L14" s="8" t="n">
        <f aca="false">IF(OR(A14=2020,A14=2024),1,0)</f>
        <v>0</v>
      </c>
    </row>
    <row r="15" customFormat="false" ht="15" hidden="false" customHeight="true" outlineLevel="0" collapsed="false">
      <c r="A15" s="8" t="n">
        <v>2020</v>
      </c>
      <c r="B15" s="8" t="s">
        <v>60</v>
      </c>
      <c r="C15" s="8" t="s">
        <v>57</v>
      </c>
      <c r="D15" s="8" t="n">
        <v>390</v>
      </c>
      <c r="E15" s="8" t="n">
        <v>1180</v>
      </c>
      <c r="F15" s="8" t="n">
        <f aca="false">D15+E15</f>
        <v>1570</v>
      </c>
      <c r="G15" s="9" t="n">
        <f aca="false">D15/F15</f>
        <v>0.248407643312102</v>
      </c>
      <c r="H15" s="8"/>
      <c r="I15" s="8"/>
      <c r="J15" s="8" t="str">
        <f aca="false">IF(OR(H15="",H15=0),"",H15+I15)</f>
        <v/>
      </c>
      <c r="K15" s="9" t="str">
        <f aca="false">IF(J15="","",H15/J15)</f>
        <v/>
      </c>
      <c r="L15" s="8" t="n">
        <f aca="false">IF(OR(A15=2020,A15=2024),1,0)</f>
        <v>1</v>
      </c>
    </row>
    <row r="16" customFormat="false" ht="15" hidden="false" customHeight="true" outlineLevel="0" collapsed="false">
      <c r="A16" s="8" t="n">
        <v>2022</v>
      </c>
      <c r="B16" s="8" t="s">
        <v>60</v>
      </c>
      <c r="C16" s="8" t="s">
        <v>57</v>
      </c>
      <c r="D16" s="8" t="n">
        <v>372</v>
      </c>
      <c r="E16" s="8" t="n">
        <v>925</v>
      </c>
      <c r="F16" s="8" t="n">
        <f aca="false">D16+E16</f>
        <v>1297</v>
      </c>
      <c r="G16" s="9" t="n">
        <f aca="false">D16/F16</f>
        <v>0.286815728604472</v>
      </c>
      <c r="H16" s="8" t="n">
        <v>449</v>
      </c>
      <c r="I16" s="8" t="n">
        <v>830</v>
      </c>
      <c r="J16" s="8" t="n">
        <f aca="false">IF(OR(H16="",H16=0),"",H16+I16)</f>
        <v>1279</v>
      </c>
      <c r="K16" s="9" t="n">
        <f aca="false">IF(J16="","",H16/J16)</f>
        <v>0.351055512118843</v>
      </c>
      <c r="L16" s="8" t="n">
        <f aca="false">IF(OR(A16=2020,A16=2024),1,0)</f>
        <v>0</v>
      </c>
    </row>
    <row r="17" customFormat="false" ht="15" hidden="false" customHeight="true" outlineLevel="0" collapsed="false">
      <c r="A17" s="8" t="n">
        <v>2024</v>
      </c>
      <c r="B17" s="8" t="s">
        <v>60</v>
      </c>
      <c r="C17" s="8" t="s">
        <v>57</v>
      </c>
      <c r="D17" s="8" t="n">
        <v>438</v>
      </c>
      <c r="E17" s="8" t="n">
        <v>1253</v>
      </c>
      <c r="F17" s="8" t="n">
        <f aca="false">D17+E17</f>
        <v>1691</v>
      </c>
      <c r="G17" s="9" t="n">
        <f aca="false">D17/F17</f>
        <v>0.259018332347723</v>
      </c>
      <c r="H17" s="8"/>
      <c r="I17" s="8"/>
      <c r="J17" s="8" t="str">
        <f aca="false">IF(OR(H17="",H17=0),"",H17+I17)</f>
        <v/>
      </c>
      <c r="K17" s="9" t="str">
        <f aca="false">IF(J17="","",H17/J17)</f>
        <v/>
      </c>
      <c r="L17" s="8" t="n">
        <f aca="false">IF(OR(A17=2020,A17=2024),1,0)</f>
        <v>1</v>
      </c>
    </row>
    <row r="18" customFormat="false" ht="15" hidden="false" customHeight="true" outlineLevel="0" collapsed="false">
      <c r="A18" s="8" t="n">
        <v>2018</v>
      </c>
      <c r="B18" s="8" t="s">
        <v>61</v>
      </c>
      <c r="C18" s="8" t="s">
        <v>57</v>
      </c>
      <c r="D18" s="8" t="n">
        <v>34</v>
      </c>
      <c r="E18" s="8" t="n">
        <v>43</v>
      </c>
      <c r="F18" s="8" t="n">
        <f aca="false">D18+E18</f>
        <v>77</v>
      </c>
      <c r="G18" s="9" t="n">
        <f aca="false">D18/F18</f>
        <v>0.441558441558442</v>
      </c>
      <c r="H18" s="8" t="n">
        <v>36</v>
      </c>
      <c r="I18" s="8" t="n">
        <v>40</v>
      </c>
      <c r="J18" s="8" t="n">
        <f aca="false">IF(OR(H18="",H18=0),"",H18+I18)</f>
        <v>76</v>
      </c>
      <c r="K18" s="9" t="n">
        <f aca="false">IF(J18="","",H18/J18)</f>
        <v>0.473684210526316</v>
      </c>
      <c r="L18" s="8" t="n">
        <f aca="false">IF(OR(A18=2020,A18=2024),1,0)</f>
        <v>0</v>
      </c>
    </row>
    <row r="19" customFormat="false" ht="15" hidden="false" customHeight="true" outlineLevel="0" collapsed="false">
      <c r="A19" s="8" t="n">
        <v>2020</v>
      </c>
      <c r="B19" s="8" t="s">
        <v>61</v>
      </c>
      <c r="C19" s="8" t="s">
        <v>57</v>
      </c>
      <c r="D19" s="8" t="n">
        <v>47</v>
      </c>
      <c r="E19" s="8" t="n">
        <v>74</v>
      </c>
      <c r="F19" s="8" t="n">
        <f aca="false">D19+E19</f>
        <v>121</v>
      </c>
      <c r="G19" s="9" t="n">
        <f aca="false">D19/F19</f>
        <v>0.388429752066116</v>
      </c>
      <c r="H19" s="8"/>
      <c r="I19" s="8"/>
      <c r="J19" s="8" t="str">
        <f aca="false">IF(OR(H19="",H19=0),"",H19+I19)</f>
        <v/>
      </c>
      <c r="K19" s="9" t="str">
        <f aca="false">IF(J19="","",H19/J19)</f>
        <v/>
      </c>
      <c r="L19" s="8" t="n">
        <f aca="false">IF(OR(A19=2020,A19=2024),1,0)</f>
        <v>1</v>
      </c>
    </row>
    <row r="20" customFormat="false" ht="15" hidden="false" customHeight="true" outlineLevel="0" collapsed="false">
      <c r="A20" s="8" t="n">
        <v>2022</v>
      </c>
      <c r="B20" s="8" t="s">
        <v>61</v>
      </c>
      <c r="C20" s="8" t="s">
        <v>57</v>
      </c>
      <c r="D20" s="8" t="n">
        <v>33</v>
      </c>
      <c r="E20" s="8" t="n">
        <v>61</v>
      </c>
      <c r="F20" s="8" t="n">
        <f aca="false">D20+E20</f>
        <v>94</v>
      </c>
      <c r="G20" s="9" t="n">
        <f aca="false">D20/F20</f>
        <v>0.351063829787234</v>
      </c>
      <c r="H20" s="8" t="n">
        <v>38</v>
      </c>
      <c r="I20" s="8" t="n">
        <v>52</v>
      </c>
      <c r="J20" s="8" t="n">
        <f aca="false">IF(OR(H20="",H20=0),"",H20+I20)</f>
        <v>90</v>
      </c>
      <c r="K20" s="9" t="n">
        <f aca="false">IF(J20="","",H20/J20)</f>
        <v>0.422222222222222</v>
      </c>
      <c r="L20" s="8" t="n">
        <f aca="false">IF(OR(A20=2020,A20=2024),1,0)</f>
        <v>0</v>
      </c>
    </row>
    <row r="21" customFormat="false" ht="15" hidden="false" customHeight="true" outlineLevel="0" collapsed="false">
      <c r="A21" s="8" t="n">
        <v>2024</v>
      </c>
      <c r="B21" s="8" t="s">
        <v>61</v>
      </c>
      <c r="C21" s="8" t="s">
        <v>57</v>
      </c>
      <c r="D21" s="8" t="n">
        <v>38</v>
      </c>
      <c r="E21" s="8" t="n">
        <v>78</v>
      </c>
      <c r="F21" s="8" t="n">
        <f aca="false">D21+E21</f>
        <v>116</v>
      </c>
      <c r="G21" s="9" t="n">
        <f aca="false">D21/F21</f>
        <v>0.327586206896552</v>
      </c>
      <c r="H21" s="8"/>
      <c r="I21" s="8"/>
      <c r="J21" s="8" t="str">
        <f aca="false">IF(OR(H21="",H21=0),"",H21+I21)</f>
        <v/>
      </c>
      <c r="K21" s="9" t="str">
        <f aca="false">IF(J21="","",H21/J21)</f>
        <v/>
      </c>
      <c r="L21" s="8" t="n">
        <f aca="false">IF(OR(A21=2020,A21=2024),1,0)</f>
        <v>1</v>
      </c>
    </row>
    <row r="22" customFormat="false" ht="15" hidden="false" customHeight="true" outlineLevel="0" collapsed="false">
      <c r="A22" s="8" t="n">
        <v>2018</v>
      </c>
      <c r="B22" s="8" t="s">
        <v>62</v>
      </c>
      <c r="C22" s="8" t="s">
        <v>57</v>
      </c>
      <c r="D22" s="8" t="n">
        <v>536</v>
      </c>
      <c r="E22" s="8" t="n">
        <v>1122</v>
      </c>
      <c r="F22" s="8" t="n">
        <f aca="false">D22+E22</f>
        <v>1658</v>
      </c>
      <c r="G22" s="9" t="n">
        <f aca="false">D22/F22</f>
        <v>0.323281061519904</v>
      </c>
      <c r="H22" s="8" t="n">
        <v>581</v>
      </c>
      <c r="I22" s="8" t="n">
        <v>1055</v>
      </c>
      <c r="J22" s="8" t="n">
        <f aca="false">IF(OR(H22="",H22=0),"",H22+I22)</f>
        <v>1636</v>
      </c>
      <c r="K22" s="9" t="n">
        <f aca="false">IF(J22="","",H22/J22)</f>
        <v>0.355134474327628</v>
      </c>
      <c r="L22" s="8" t="n">
        <f aca="false">IF(OR(A22=2020,A22=2024),1,0)</f>
        <v>0</v>
      </c>
    </row>
    <row r="23" customFormat="false" ht="15" hidden="false" customHeight="true" outlineLevel="0" collapsed="false">
      <c r="A23" s="8" t="n">
        <v>2020</v>
      </c>
      <c r="B23" s="8" t="s">
        <v>62</v>
      </c>
      <c r="C23" s="8" t="s">
        <v>57</v>
      </c>
      <c r="D23" s="8" t="n">
        <v>631</v>
      </c>
      <c r="E23" s="8" t="n">
        <v>1828</v>
      </c>
      <c r="F23" s="8" t="n">
        <f aca="false">D23+E23</f>
        <v>2459</v>
      </c>
      <c r="G23" s="9" t="n">
        <f aca="false">D23/F23</f>
        <v>0.256608377389183</v>
      </c>
      <c r="H23" s="8"/>
      <c r="I23" s="8"/>
      <c r="J23" s="8" t="str">
        <f aca="false">IF(OR(H23="",H23=0),"",H23+I23)</f>
        <v/>
      </c>
      <c r="K23" s="9" t="str">
        <f aca="false">IF(J23="","",H23/J23)</f>
        <v/>
      </c>
      <c r="L23" s="8" t="n">
        <f aca="false">IF(OR(A23=2020,A23=2024),1,0)</f>
        <v>1</v>
      </c>
    </row>
    <row r="24" customFormat="false" ht="15" hidden="false" customHeight="true" outlineLevel="0" collapsed="false">
      <c r="A24" s="8" t="n">
        <v>2022</v>
      </c>
      <c r="B24" s="8" t="s">
        <v>62</v>
      </c>
      <c r="C24" s="8" t="s">
        <v>57</v>
      </c>
      <c r="D24" s="8" t="n">
        <v>560</v>
      </c>
      <c r="E24" s="8" t="n">
        <v>1398</v>
      </c>
      <c r="F24" s="8" t="n">
        <f aca="false">D24+E24</f>
        <v>1958</v>
      </c>
      <c r="G24" s="9" t="n">
        <f aca="false">D24/F24</f>
        <v>0.286006128702758</v>
      </c>
      <c r="H24" s="8" t="n">
        <v>680</v>
      </c>
      <c r="I24" s="8" t="n">
        <v>1232</v>
      </c>
      <c r="J24" s="8" t="n">
        <f aca="false">IF(OR(H24="",H24=0),"",H24+I24)</f>
        <v>1912</v>
      </c>
      <c r="K24" s="9" t="n">
        <f aca="false">IF(J24="","",H24/J24)</f>
        <v>0.355648535564854</v>
      </c>
      <c r="L24" s="8" t="n">
        <f aca="false">IF(OR(A24=2020,A24=2024),1,0)</f>
        <v>0</v>
      </c>
    </row>
    <row r="25" customFormat="false" ht="15" hidden="false" customHeight="true" outlineLevel="0" collapsed="false">
      <c r="A25" s="8" t="n">
        <v>2024</v>
      </c>
      <c r="B25" s="8" t="s">
        <v>62</v>
      </c>
      <c r="C25" s="8" t="s">
        <v>57</v>
      </c>
      <c r="D25" s="8" t="n">
        <v>708</v>
      </c>
      <c r="E25" s="8" t="n">
        <v>1846</v>
      </c>
      <c r="F25" s="8" t="n">
        <f aca="false">D25+E25</f>
        <v>2554</v>
      </c>
      <c r="G25" s="9" t="n">
        <f aca="false">D25/F25</f>
        <v>0.277212216131558</v>
      </c>
      <c r="H25" s="8"/>
      <c r="I25" s="8"/>
      <c r="J25" s="8" t="str">
        <f aca="false">IF(OR(H25="",H25=0),"",H25+I25)</f>
        <v/>
      </c>
      <c r="K25" s="9" t="str">
        <f aca="false">IF(J25="","",H25/J25)</f>
        <v/>
      </c>
      <c r="L25" s="8" t="n">
        <f aca="false">IF(OR(A25=2020,A25=2024),1,0)</f>
        <v>1</v>
      </c>
    </row>
    <row r="26" customFormat="false" ht="15" hidden="false" customHeight="true" outlineLevel="0" collapsed="false">
      <c r="A26" s="8" t="n">
        <v>2018</v>
      </c>
      <c r="B26" s="8" t="s">
        <v>63</v>
      </c>
      <c r="C26" s="8" t="s">
        <v>57</v>
      </c>
      <c r="D26" s="8" t="n">
        <v>912</v>
      </c>
      <c r="E26" s="8" t="n">
        <v>949</v>
      </c>
      <c r="F26" s="8" t="n">
        <f aca="false">D26+E26</f>
        <v>1861</v>
      </c>
      <c r="G26" s="9" t="n">
        <f aca="false">D26/F26</f>
        <v>0.490059108006448</v>
      </c>
      <c r="H26" s="8" t="n">
        <v>971</v>
      </c>
      <c r="I26" s="8" t="n">
        <v>862</v>
      </c>
      <c r="J26" s="8" t="n">
        <f aca="false">IF(OR(H26="",H26=0),"",H26+I26)</f>
        <v>1833</v>
      </c>
      <c r="K26" s="9" t="n">
        <f aca="false">IF(J26="","",H26/J26)</f>
        <v>0.529732678668849</v>
      </c>
      <c r="L26" s="8" t="n">
        <f aca="false">IF(OR(A26=2020,A26=2024),1,0)</f>
        <v>0</v>
      </c>
    </row>
    <row r="27" customFormat="false" ht="15" hidden="false" customHeight="true" outlineLevel="0" collapsed="false">
      <c r="A27" s="8" t="n">
        <v>2020</v>
      </c>
      <c r="B27" s="8" t="s">
        <v>63</v>
      </c>
      <c r="C27" s="8" t="s">
        <v>57</v>
      </c>
      <c r="D27" s="8" t="n">
        <v>1060</v>
      </c>
      <c r="E27" s="8" t="n">
        <v>1517</v>
      </c>
      <c r="F27" s="8" t="n">
        <f aca="false">D27+E27</f>
        <v>2577</v>
      </c>
      <c r="G27" s="9" t="n">
        <f aca="false">D27/F27</f>
        <v>0.411331005044626</v>
      </c>
      <c r="H27" s="8"/>
      <c r="I27" s="8"/>
      <c r="J27" s="8" t="str">
        <f aca="false">IF(OR(H27="",H27=0),"",H27+I27)</f>
        <v/>
      </c>
      <c r="K27" s="9" t="str">
        <f aca="false">IF(J27="","",H27/J27)</f>
        <v/>
      </c>
      <c r="L27" s="8" t="n">
        <f aca="false">IF(OR(A27=2020,A27=2024),1,0)</f>
        <v>1</v>
      </c>
    </row>
    <row r="28" customFormat="false" ht="15" hidden="false" customHeight="true" outlineLevel="0" collapsed="false">
      <c r="A28" s="8" t="n">
        <v>2022</v>
      </c>
      <c r="B28" s="8" t="s">
        <v>63</v>
      </c>
      <c r="C28" s="8" t="s">
        <v>57</v>
      </c>
      <c r="D28" s="8" t="n">
        <v>979</v>
      </c>
      <c r="E28" s="8" t="n">
        <v>1157</v>
      </c>
      <c r="F28" s="8" t="n">
        <f aca="false">D28+E28</f>
        <v>2136</v>
      </c>
      <c r="G28" s="9" t="n">
        <f aca="false">D28/F28</f>
        <v>0.458333333333333</v>
      </c>
      <c r="H28" s="8" t="n">
        <v>1107</v>
      </c>
      <c r="I28" s="8" t="n">
        <v>992</v>
      </c>
      <c r="J28" s="8" t="n">
        <f aca="false">IF(OR(H28="",H28=0),"",H28+I28)</f>
        <v>2099</v>
      </c>
      <c r="K28" s="9" t="n">
        <f aca="false">IF(J28="","",H28/J28)</f>
        <v>0.527393997141496</v>
      </c>
      <c r="L28" s="8" t="n">
        <f aca="false">IF(OR(A28=2020,A28=2024),1,0)</f>
        <v>0</v>
      </c>
    </row>
    <row r="29" customFormat="false" ht="15" hidden="false" customHeight="true" outlineLevel="0" collapsed="false">
      <c r="A29" s="8" t="n">
        <v>2024</v>
      </c>
      <c r="B29" s="8" t="s">
        <v>63</v>
      </c>
      <c r="C29" s="8" t="s">
        <v>57</v>
      </c>
      <c r="D29" s="8" t="n">
        <v>1104</v>
      </c>
      <c r="E29" s="8" t="n">
        <v>1481</v>
      </c>
      <c r="F29" s="8" t="n">
        <f aca="false">D29+E29</f>
        <v>2585</v>
      </c>
      <c r="G29" s="9" t="n">
        <f aca="false">D29/F29</f>
        <v>0.427079303675048</v>
      </c>
      <c r="H29" s="8"/>
      <c r="I29" s="8"/>
      <c r="J29" s="8" t="str">
        <f aca="false">IF(OR(H29="",H29=0),"",H29+I29)</f>
        <v/>
      </c>
      <c r="K29" s="9" t="str">
        <f aca="false">IF(J29="","",H29/J29)</f>
        <v/>
      </c>
      <c r="L29" s="8" t="n">
        <f aca="false">IF(OR(A29=2020,A29=2024),1,0)</f>
        <v>1</v>
      </c>
    </row>
    <row r="30" customFormat="false" ht="15" hidden="false" customHeight="true" outlineLevel="0" collapsed="false">
      <c r="A30" s="8" t="n">
        <v>2018</v>
      </c>
      <c r="B30" s="8" t="s">
        <v>64</v>
      </c>
      <c r="C30" s="8" t="s">
        <v>57</v>
      </c>
      <c r="D30" s="8" t="n">
        <v>267</v>
      </c>
      <c r="E30" s="8" t="n">
        <v>495</v>
      </c>
      <c r="F30" s="8" t="n">
        <f aca="false">D30+E30</f>
        <v>762</v>
      </c>
      <c r="G30" s="9" t="n">
        <f aca="false">D30/F30</f>
        <v>0.350393700787402</v>
      </c>
      <c r="H30" s="8" t="n">
        <v>303</v>
      </c>
      <c r="I30" s="8" t="n">
        <v>453</v>
      </c>
      <c r="J30" s="8" t="n">
        <f aca="false">IF(OR(H30="",H30=0),"",H30+I30)</f>
        <v>756</v>
      </c>
      <c r="K30" s="9" t="n">
        <f aca="false">IF(J30="","",H30/J30)</f>
        <v>0.400793650793651</v>
      </c>
      <c r="L30" s="8" t="n">
        <f aca="false">IF(OR(A30=2020,A30=2024),1,0)</f>
        <v>0</v>
      </c>
    </row>
    <row r="31" customFormat="false" ht="15" hidden="false" customHeight="true" outlineLevel="0" collapsed="false">
      <c r="A31" s="8" t="n">
        <v>2020</v>
      </c>
      <c r="B31" s="8" t="s">
        <v>64</v>
      </c>
      <c r="C31" s="8" t="s">
        <v>57</v>
      </c>
      <c r="D31" s="8" t="n">
        <v>335</v>
      </c>
      <c r="E31" s="8" t="n">
        <v>766</v>
      </c>
      <c r="F31" s="8" t="n">
        <f aca="false">D31+E31</f>
        <v>1101</v>
      </c>
      <c r="G31" s="9" t="n">
        <f aca="false">D31/F31</f>
        <v>0.304268846503179</v>
      </c>
      <c r="H31" s="8"/>
      <c r="I31" s="8"/>
      <c r="J31" s="8" t="str">
        <f aca="false">IF(OR(H31="",H31=0),"",H31+I31)</f>
        <v/>
      </c>
      <c r="K31" s="9" t="str">
        <f aca="false">IF(J31="","",H31/J31)</f>
        <v/>
      </c>
      <c r="L31" s="8" t="n">
        <f aca="false">IF(OR(A31=2020,A31=2024),1,0)</f>
        <v>1</v>
      </c>
    </row>
    <row r="32" customFormat="false" ht="15" hidden="false" customHeight="true" outlineLevel="0" collapsed="false">
      <c r="A32" s="8" t="n">
        <v>2022</v>
      </c>
      <c r="B32" s="8" t="s">
        <v>64</v>
      </c>
      <c r="C32" s="8" t="s">
        <v>57</v>
      </c>
      <c r="D32" s="8" t="n">
        <v>277</v>
      </c>
      <c r="E32" s="8" t="n">
        <v>560</v>
      </c>
      <c r="F32" s="8" t="n">
        <f aca="false">D32+E32</f>
        <v>837</v>
      </c>
      <c r="G32" s="9" t="n">
        <f aca="false">D32/F32</f>
        <v>0.330943847072879</v>
      </c>
      <c r="H32" s="8" t="n">
        <v>347</v>
      </c>
      <c r="I32" s="8" t="n">
        <v>482</v>
      </c>
      <c r="J32" s="8" t="n">
        <f aca="false">IF(OR(H32="",H32=0),"",H32+I32)</f>
        <v>829</v>
      </c>
      <c r="K32" s="9" t="n">
        <f aca="false">IF(J32="","",H32/J32)</f>
        <v>0.418576598311218</v>
      </c>
      <c r="L32" s="8" t="n">
        <f aca="false">IF(OR(A32=2020,A32=2024),1,0)</f>
        <v>0</v>
      </c>
    </row>
    <row r="33" customFormat="false" ht="15" hidden="false" customHeight="true" outlineLevel="0" collapsed="false">
      <c r="A33" s="8" t="n">
        <v>2024</v>
      </c>
      <c r="B33" s="8" t="s">
        <v>64</v>
      </c>
      <c r="C33" s="8" t="s">
        <v>57</v>
      </c>
      <c r="D33" s="8" t="n">
        <v>351</v>
      </c>
      <c r="E33" s="8" t="n">
        <v>697</v>
      </c>
      <c r="F33" s="8" t="n">
        <f aca="false">D33+E33</f>
        <v>1048</v>
      </c>
      <c r="G33" s="9" t="n">
        <f aca="false">D33/F33</f>
        <v>0.334923664122137</v>
      </c>
      <c r="H33" s="8"/>
      <c r="I33" s="8"/>
      <c r="J33" s="8" t="str">
        <f aca="false">IF(OR(H33="",H33=0),"",H33+I33)</f>
        <v/>
      </c>
      <c r="K33" s="9" t="str">
        <f aca="false">IF(J33="","",H33/J33)</f>
        <v/>
      </c>
      <c r="L33" s="8" t="n">
        <f aca="false">IF(OR(A33=2020,A33=2024),1,0)</f>
        <v>1</v>
      </c>
    </row>
    <row r="34" customFormat="false" ht="15" hidden="false" customHeight="true" outlineLevel="0" collapsed="false">
      <c r="A34" s="8" t="n">
        <v>2018</v>
      </c>
      <c r="B34" s="8" t="s">
        <v>65</v>
      </c>
      <c r="C34" s="8" t="s">
        <v>57</v>
      </c>
      <c r="D34" s="8" t="n">
        <v>455</v>
      </c>
      <c r="E34" s="8" t="n">
        <v>467</v>
      </c>
      <c r="F34" s="8" t="n">
        <f aca="false">D34+E34</f>
        <v>922</v>
      </c>
      <c r="G34" s="9" t="n">
        <f aca="false">D34/F34</f>
        <v>0.493492407809111</v>
      </c>
      <c r="H34" s="8" t="n">
        <v>482</v>
      </c>
      <c r="I34" s="8" t="n">
        <v>429</v>
      </c>
      <c r="J34" s="8" t="n">
        <f aca="false">IF(OR(H34="",H34=0),"",H34+I34)</f>
        <v>911</v>
      </c>
      <c r="K34" s="9" t="n">
        <f aca="false">IF(J34="","",H34/J34)</f>
        <v>0.529088913282108</v>
      </c>
      <c r="L34" s="8" t="n">
        <f aca="false">IF(OR(A34=2020,A34=2024),1,0)</f>
        <v>0</v>
      </c>
    </row>
    <row r="35" customFormat="false" ht="15" hidden="false" customHeight="true" outlineLevel="0" collapsed="false">
      <c r="A35" s="8" t="n">
        <v>2020</v>
      </c>
      <c r="B35" s="8" t="s">
        <v>65</v>
      </c>
      <c r="C35" s="8" t="s">
        <v>57</v>
      </c>
      <c r="D35" s="8" t="n">
        <v>614</v>
      </c>
      <c r="E35" s="8" t="n">
        <v>846</v>
      </c>
      <c r="F35" s="8" t="n">
        <f aca="false">D35+E35</f>
        <v>1460</v>
      </c>
      <c r="G35" s="9" t="n">
        <f aca="false">D35/F35</f>
        <v>0.420547945205479</v>
      </c>
      <c r="H35" s="8"/>
      <c r="I35" s="8"/>
      <c r="J35" s="8" t="str">
        <f aca="false">IF(OR(H35="",H35=0),"",H35+I35)</f>
        <v/>
      </c>
      <c r="K35" s="9" t="str">
        <f aca="false">IF(J35="","",H35/J35)</f>
        <v/>
      </c>
      <c r="L35" s="8" t="n">
        <f aca="false">IF(OR(A35=2020,A35=2024),1,0)</f>
        <v>1</v>
      </c>
    </row>
    <row r="36" customFormat="false" ht="15" hidden="false" customHeight="true" outlineLevel="0" collapsed="false">
      <c r="A36" s="8" t="n">
        <v>2022</v>
      </c>
      <c r="B36" s="8" t="s">
        <v>65</v>
      </c>
      <c r="C36" s="8" t="s">
        <v>57</v>
      </c>
      <c r="D36" s="8" t="n">
        <v>420</v>
      </c>
      <c r="E36" s="8" t="n">
        <v>580</v>
      </c>
      <c r="F36" s="8" t="n">
        <f aca="false">D36+E36</f>
        <v>1000</v>
      </c>
      <c r="G36" s="9" t="n">
        <f aca="false">D36/F36</f>
        <v>0.42</v>
      </c>
      <c r="H36" s="8" t="n">
        <v>493</v>
      </c>
      <c r="I36" s="8" t="n">
        <v>506</v>
      </c>
      <c r="J36" s="8" t="n">
        <f aca="false">IF(OR(H36="",H36=0),"",H36+I36)</f>
        <v>999</v>
      </c>
      <c r="K36" s="9" t="n">
        <f aca="false">IF(J36="","",H36/J36)</f>
        <v>0.493493493493494</v>
      </c>
      <c r="L36" s="8" t="n">
        <f aca="false">IF(OR(A36=2020,A36=2024),1,0)</f>
        <v>0</v>
      </c>
    </row>
    <row r="37" customFormat="false" ht="15" hidden="false" customHeight="true" outlineLevel="0" collapsed="false">
      <c r="A37" s="8" t="n">
        <v>2024</v>
      </c>
      <c r="B37" s="8" t="s">
        <v>65</v>
      </c>
      <c r="C37" s="8" t="s">
        <v>57</v>
      </c>
      <c r="D37" s="8" t="n">
        <v>575</v>
      </c>
      <c r="E37" s="8" t="n">
        <v>880</v>
      </c>
      <c r="F37" s="8" t="n">
        <f aca="false">D37+E37</f>
        <v>1455</v>
      </c>
      <c r="G37" s="9" t="n">
        <f aca="false">D37/F37</f>
        <v>0.395189003436426</v>
      </c>
      <c r="H37" s="8"/>
      <c r="I37" s="8"/>
      <c r="J37" s="8" t="str">
        <f aca="false">IF(OR(H37="",H37=0),"",H37+I37)</f>
        <v/>
      </c>
      <c r="K37" s="9" t="str">
        <f aca="false">IF(J37="","",H37/J37)</f>
        <v/>
      </c>
      <c r="L37" s="8" t="n">
        <f aca="false">IF(OR(A37=2020,A37=2024),1,0)</f>
        <v>1</v>
      </c>
    </row>
    <row r="38" customFormat="false" ht="15" hidden="false" customHeight="true" outlineLevel="0" collapsed="false">
      <c r="A38" s="8" t="n">
        <v>2018</v>
      </c>
      <c r="B38" s="8" t="s">
        <v>66</v>
      </c>
      <c r="C38" s="8" t="s">
        <v>57</v>
      </c>
      <c r="D38" s="8" t="n">
        <v>29</v>
      </c>
      <c r="E38" s="8" t="n">
        <v>59</v>
      </c>
      <c r="F38" s="8" t="n">
        <f aca="false">D38+E38</f>
        <v>88</v>
      </c>
      <c r="G38" s="9" t="n">
        <f aca="false">D38/F38</f>
        <v>0.329545454545455</v>
      </c>
      <c r="H38" s="8" t="n">
        <v>33</v>
      </c>
      <c r="I38" s="8" t="n">
        <v>58</v>
      </c>
      <c r="J38" s="8" t="n">
        <f aca="false">IF(OR(H38="",H38=0),"",H38+I38)</f>
        <v>91</v>
      </c>
      <c r="K38" s="9" t="n">
        <f aca="false">IF(J38="","",H38/J38)</f>
        <v>0.362637362637363</v>
      </c>
      <c r="L38" s="8" t="n">
        <f aca="false">IF(OR(A38=2020,A38=2024),1,0)</f>
        <v>0</v>
      </c>
    </row>
    <row r="39" customFormat="false" ht="15" hidden="false" customHeight="true" outlineLevel="0" collapsed="false">
      <c r="A39" s="8" t="n">
        <v>2020</v>
      </c>
      <c r="B39" s="8" t="s">
        <v>66</v>
      </c>
      <c r="C39" s="8" t="s">
        <v>57</v>
      </c>
      <c r="D39" s="8" t="n">
        <v>42</v>
      </c>
      <c r="E39" s="8" t="n">
        <v>99</v>
      </c>
      <c r="F39" s="8" t="n">
        <f aca="false">D39+E39</f>
        <v>141</v>
      </c>
      <c r="G39" s="9" t="n">
        <f aca="false">D39/F39</f>
        <v>0.297872340425532</v>
      </c>
      <c r="H39" s="8"/>
      <c r="I39" s="8"/>
      <c r="J39" s="8" t="str">
        <f aca="false">IF(OR(H39="",H39=0),"",H39+I39)</f>
        <v/>
      </c>
      <c r="K39" s="9" t="str">
        <f aca="false">IF(J39="","",H39/J39)</f>
        <v/>
      </c>
      <c r="L39" s="8" t="n">
        <f aca="false">IF(OR(A39=2020,A39=2024),1,0)</f>
        <v>1</v>
      </c>
    </row>
    <row r="40" customFormat="false" ht="15" hidden="false" customHeight="true" outlineLevel="0" collapsed="false">
      <c r="A40" s="8" t="n">
        <v>2022</v>
      </c>
      <c r="B40" s="8" t="s">
        <v>66</v>
      </c>
      <c r="C40" s="8" t="s">
        <v>57</v>
      </c>
      <c r="D40" s="8" t="n">
        <v>36</v>
      </c>
      <c r="E40" s="8" t="n">
        <v>79</v>
      </c>
      <c r="F40" s="8" t="n">
        <f aca="false">D40+E40</f>
        <v>115</v>
      </c>
      <c r="G40" s="9" t="n">
        <f aca="false">D40/F40</f>
        <v>0.31304347826087</v>
      </c>
      <c r="H40" s="8" t="n">
        <v>45</v>
      </c>
      <c r="I40" s="8" t="n">
        <v>70</v>
      </c>
      <c r="J40" s="8" t="n">
        <f aca="false">IF(OR(H40="",H40=0),"",H40+I40)</f>
        <v>115</v>
      </c>
      <c r="K40" s="9" t="n">
        <f aca="false">IF(J40="","",H40/J40)</f>
        <v>0.391304347826087</v>
      </c>
      <c r="L40" s="8" t="n">
        <f aca="false">IF(OR(A40=2020,A40=2024),1,0)</f>
        <v>0</v>
      </c>
    </row>
    <row r="41" customFormat="false" ht="15" hidden="false" customHeight="true" outlineLevel="0" collapsed="false">
      <c r="A41" s="8" t="n">
        <v>2024</v>
      </c>
      <c r="B41" s="8" t="s">
        <v>66</v>
      </c>
      <c r="C41" s="8" t="s">
        <v>57</v>
      </c>
      <c r="D41" s="8" t="n">
        <v>38</v>
      </c>
      <c r="E41" s="8" t="n">
        <v>107</v>
      </c>
      <c r="F41" s="8" t="n">
        <f aca="false">D41+E41</f>
        <v>145</v>
      </c>
      <c r="G41" s="9" t="n">
        <f aca="false">D41/F41</f>
        <v>0.262068965517241</v>
      </c>
      <c r="H41" s="8"/>
      <c r="I41" s="8"/>
      <c r="J41" s="8" t="str">
        <f aca="false">IF(OR(H41="",H41=0),"",H41+I41)</f>
        <v/>
      </c>
      <c r="K41" s="9" t="str">
        <f aca="false">IF(J41="","",H41/J41)</f>
        <v/>
      </c>
      <c r="L41" s="8" t="n">
        <f aca="false">IF(OR(A41=2020,A41=2024),1,0)</f>
        <v>1</v>
      </c>
    </row>
    <row r="42" customFormat="false" ht="15" hidden="false" customHeight="true" outlineLevel="0" collapsed="false">
      <c r="A42" s="8" t="n">
        <v>2018</v>
      </c>
      <c r="B42" s="8" t="s">
        <v>67</v>
      </c>
      <c r="C42" s="8" t="s">
        <v>57</v>
      </c>
      <c r="D42" s="8" t="n">
        <v>41</v>
      </c>
      <c r="E42" s="8" t="n">
        <v>163</v>
      </c>
      <c r="F42" s="8" t="n">
        <f aca="false">D42+E42</f>
        <v>204</v>
      </c>
      <c r="G42" s="9" t="n">
        <f aca="false">D42/F42</f>
        <v>0.200980392156863</v>
      </c>
      <c r="H42" s="8" t="n">
        <v>55</v>
      </c>
      <c r="I42" s="8" t="n">
        <v>143</v>
      </c>
      <c r="J42" s="8" t="n">
        <f aca="false">IF(OR(H42="",H42=0),"",H42+I42)</f>
        <v>198</v>
      </c>
      <c r="K42" s="9" t="n">
        <f aca="false">IF(J42="","",H42/J42)</f>
        <v>0.277777777777778</v>
      </c>
      <c r="L42" s="8" t="n">
        <f aca="false">IF(OR(A42=2020,A42=2024),1,0)</f>
        <v>0</v>
      </c>
    </row>
    <row r="43" customFormat="false" ht="15" hidden="false" customHeight="true" outlineLevel="0" collapsed="false">
      <c r="A43" s="8" t="n">
        <v>2020</v>
      </c>
      <c r="B43" s="8" t="s">
        <v>67</v>
      </c>
      <c r="C43" s="8" t="s">
        <v>57</v>
      </c>
      <c r="D43" s="8" t="n">
        <v>51</v>
      </c>
      <c r="E43" s="8" t="n">
        <v>223</v>
      </c>
      <c r="F43" s="8" t="n">
        <f aca="false">D43+E43</f>
        <v>274</v>
      </c>
      <c r="G43" s="9" t="n">
        <f aca="false">D43/F43</f>
        <v>0.186131386861314</v>
      </c>
      <c r="H43" s="8"/>
      <c r="I43" s="8"/>
      <c r="J43" s="8" t="str">
        <f aca="false">IF(OR(H43="",H43=0),"",H43+I43)</f>
        <v/>
      </c>
      <c r="K43" s="9" t="str">
        <f aca="false">IF(J43="","",H43/J43)</f>
        <v/>
      </c>
      <c r="L43" s="8" t="n">
        <f aca="false">IF(OR(A43=2020,A43=2024),1,0)</f>
        <v>1</v>
      </c>
    </row>
    <row r="44" customFormat="false" ht="15" hidden="false" customHeight="true" outlineLevel="0" collapsed="false">
      <c r="A44" s="8" t="n">
        <v>2022</v>
      </c>
      <c r="B44" s="8" t="s">
        <v>67</v>
      </c>
      <c r="C44" s="8" t="s">
        <v>57</v>
      </c>
      <c r="D44" s="8" t="n">
        <v>52</v>
      </c>
      <c r="E44" s="8" t="n">
        <v>189</v>
      </c>
      <c r="F44" s="8" t="n">
        <f aca="false">D44+E44</f>
        <v>241</v>
      </c>
      <c r="G44" s="9" t="n">
        <f aca="false">D44/F44</f>
        <v>0.215767634854772</v>
      </c>
      <c r="H44" s="8" t="n">
        <v>68</v>
      </c>
      <c r="I44" s="8" t="n">
        <v>173</v>
      </c>
      <c r="J44" s="8" t="n">
        <f aca="false">IF(OR(H44="",H44=0),"",H44+I44)</f>
        <v>241</v>
      </c>
      <c r="K44" s="9" t="n">
        <f aca="false">IF(J44="","",H44/J44)</f>
        <v>0.282157676348548</v>
      </c>
      <c r="L44" s="8" t="n">
        <f aca="false">IF(OR(A44=2020,A44=2024),1,0)</f>
        <v>0</v>
      </c>
    </row>
    <row r="45" customFormat="false" ht="15" hidden="false" customHeight="true" outlineLevel="0" collapsed="false">
      <c r="A45" s="8" t="n">
        <v>2024</v>
      </c>
      <c r="B45" s="8" t="s">
        <v>67</v>
      </c>
      <c r="C45" s="8" t="s">
        <v>57</v>
      </c>
      <c r="D45" s="8" t="n">
        <v>58</v>
      </c>
      <c r="E45" s="8" t="n">
        <v>216</v>
      </c>
      <c r="F45" s="8" t="n">
        <f aca="false">D45+E45</f>
        <v>274</v>
      </c>
      <c r="G45" s="9" t="n">
        <f aca="false">D45/F45</f>
        <v>0.211678832116788</v>
      </c>
      <c r="H45" s="8"/>
      <c r="I45" s="8"/>
      <c r="J45" s="8" t="str">
        <f aca="false">IF(OR(H45="",H45=0),"",H45+I45)</f>
        <v/>
      </c>
      <c r="K45" s="9" t="str">
        <f aca="false">IF(J45="","",H45/J45)</f>
        <v/>
      </c>
      <c r="L45" s="8" t="n">
        <f aca="false">IF(OR(A45=2020,A45=2024),1,0)</f>
        <v>1</v>
      </c>
    </row>
    <row r="46" customFormat="false" ht="15" hidden="false" customHeight="true" outlineLevel="0" collapsed="false">
      <c r="A46" s="8" t="n">
        <v>2018</v>
      </c>
      <c r="B46" s="8" t="s">
        <v>68</v>
      </c>
      <c r="C46" s="8" t="s">
        <v>57</v>
      </c>
      <c r="D46" s="8" t="n">
        <v>668</v>
      </c>
      <c r="E46" s="8" t="n">
        <v>766</v>
      </c>
      <c r="F46" s="8" t="n">
        <f aca="false">D46+E46</f>
        <v>1434</v>
      </c>
      <c r="G46" s="9" t="n">
        <f aca="false">D46/F46</f>
        <v>0.465829846582985</v>
      </c>
      <c r="H46" s="8" t="n">
        <v>713</v>
      </c>
      <c r="I46" s="8" t="n">
        <v>711</v>
      </c>
      <c r="J46" s="8" t="n">
        <f aca="false">IF(OR(H46="",H46=0),"",H46+I46)</f>
        <v>1424</v>
      </c>
      <c r="K46" s="9" t="n">
        <f aca="false">IF(J46="","",H46/J46)</f>
        <v>0.500702247191011</v>
      </c>
      <c r="L46" s="8" t="n">
        <f aca="false">IF(OR(A46=2020,A46=2024),1,0)</f>
        <v>0</v>
      </c>
    </row>
    <row r="47" customFormat="false" ht="15" hidden="false" customHeight="true" outlineLevel="0" collapsed="false">
      <c r="A47" s="8" t="n">
        <v>2020</v>
      </c>
      <c r="B47" s="8" t="s">
        <v>68</v>
      </c>
      <c r="C47" s="8" t="s">
        <v>57</v>
      </c>
      <c r="D47" s="8" t="n">
        <v>841</v>
      </c>
      <c r="E47" s="8" t="n">
        <v>1410</v>
      </c>
      <c r="F47" s="8" t="n">
        <f aca="false">D47+E47</f>
        <v>2251</v>
      </c>
      <c r="G47" s="9" t="n">
        <f aca="false">D47/F47</f>
        <v>0.373611728120835</v>
      </c>
      <c r="H47" s="8"/>
      <c r="I47" s="8"/>
      <c r="J47" s="8" t="str">
        <f aca="false">IF(OR(H47="",H47=0),"",H47+I47)</f>
        <v/>
      </c>
      <c r="K47" s="9" t="str">
        <f aca="false">IF(J47="","",H47/J47)</f>
        <v/>
      </c>
      <c r="L47" s="8" t="n">
        <f aca="false">IF(OR(A47=2020,A47=2024),1,0)</f>
        <v>1</v>
      </c>
    </row>
    <row r="48" customFormat="false" ht="15" hidden="false" customHeight="true" outlineLevel="0" collapsed="false">
      <c r="A48" s="8" t="n">
        <v>2022</v>
      </c>
      <c r="B48" s="8" t="s">
        <v>68</v>
      </c>
      <c r="C48" s="8" t="s">
        <v>57</v>
      </c>
      <c r="D48" s="8" t="n">
        <v>719</v>
      </c>
      <c r="E48" s="8" t="n">
        <v>948</v>
      </c>
      <c r="F48" s="8" t="n">
        <f aca="false">D48+E48</f>
        <v>1667</v>
      </c>
      <c r="G48" s="9" t="n">
        <f aca="false">D48/F48</f>
        <v>0.43131373725255</v>
      </c>
      <c r="H48" s="8" t="n">
        <v>803</v>
      </c>
      <c r="I48" s="8" t="n">
        <v>846</v>
      </c>
      <c r="J48" s="8" t="n">
        <f aca="false">IF(OR(H48="",H48=0),"",H48+I48)</f>
        <v>1649</v>
      </c>
      <c r="K48" s="9" t="n">
        <f aca="false">IF(J48="","",H48/J48)</f>
        <v>0.486961795027289</v>
      </c>
      <c r="L48" s="8" t="n">
        <f aca="false">IF(OR(A48=2020,A48=2024),1,0)</f>
        <v>0</v>
      </c>
    </row>
    <row r="49" customFormat="false" ht="15" hidden="false" customHeight="true" outlineLevel="0" collapsed="false">
      <c r="A49" s="8" t="n">
        <v>2024</v>
      </c>
      <c r="B49" s="8" t="s">
        <v>68</v>
      </c>
      <c r="C49" s="8" t="s">
        <v>57</v>
      </c>
      <c r="D49" s="8" t="n">
        <v>944</v>
      </c>
      <c r="E49" s="8" t="n">
        <v>1486</v>
      </c>
      <c r="F49" s="8" t="n">
        <f aca="false">D49+E49</f>
        <v>2430</v>
      </c>
      <c r="G49" s="9" t="n">
        <f aca="false">D49/F49</f>
        <v>0.388477366255144</v>
      </c>
      <c r="H49" s="8"/>
      <c r="I49" s="8"/>
      <c r="J49" s="8" t="str">
        <f aca="false">IF(OR(H49="",H49=0),"",H49+I49)</f>
        <v/>
      </c>
      <c r="K49" s="9" t="str">
        <f aca="false">IF(J49="","",H49/J49)</f>
        <v/>
      </c>
      <c r="L49" s="8" t="n">
        <f aca="false">IF(OR(A49=2020,A49=2024),1,0)</f>
        <v>1</v>
      </c>
    </row>
    <row r="50" customFormat="false" ht="15" hidden="false" customHeight="true" outlineLevel="0" collapsed="false">
      <c r="A50" s="8" t="n">
        <v>2018</v>
      </c>
      <c r="B50" s="8" t="s">
        <v>69</v>
      </c>
      <c r="C50" s="8" t="s">
        <v>57</v>
      </c>
      <c r="D50" s="8" t="n">
        <v>402</v>
      </c>
      <c r="E50" s="8" t="n">
        <v>686</v>
      </c>
      <c r="F50" s="8" t="n">
        <f aca="false">D50+E50</f>
        <v>1088</v>
      </c>
      <c r="G50" s="9" t="n">
        <f aca="false">D50/F50</f>
        <v>0.369485294117647</v>
      </c>
      <c r="H50" s="8" t="n">
        <v>418</v>
      </c>
      <c r="I50" s="8" t="n">
        <v>656</v>
      </c>
      <c r="J50" s="8" t="n">
        <f aca="false">IF(OR(H50="",H50=0),"",H50+I50)</f>
        <v>1074</v>
      </c>
      <c r="K50" s="9" t="n">
        <f aca="false">IF(J50="","",H50/J50)</f>
        <v>0.389199255121043</v>
      </c>
      <c r="L50" s="8" t="n">
        <f aca="false">IF(OR(A50=2020,A50=2024),1,0)</f>
        <v>0</v>
      </c>
    </row>
    <row r="51" customFormat="false" ht="15" hidden="false" customHeight="true" outlineLevel="0" collapsed="false">
      <c r="A51" s="8" t="n">
        <v>2020</v>
      </c>
      <c r="B51" s="8" t="s">
        <v>69</v>
      </c>
      <c r="C51" s="8" t="s">
        <v>57</v>
      </c>
      <c r="D51" s="8" t="n">
        <v>489</v>
      </c>
      <c r="E51" s="8" t="n">
        <v>1164</v>
      </c>
      <c r="F51" s="8" t="n">
        <f aca="false">D51+E51</f>
        <v>1653</v>
      </c>
      <c r="G51" s="9" t="n">
        <f aca="false">D51/F51</f>
        <v>0.295825771324864</v>
      </c>
      <c r="H51" s="8"/>
      <c r="I51" s="8"/>
      <c r="J51" s="8" t="str">
        <f aca="false">IF(OR(H51="",H51=0),"",H51+I51)</f>
        <v/>
      </c>
      <c r="K51" s="9" t="str">
        <f aca="false">IF(J51="","",H51/J51)</f>
        <v/>
      </c>
      <c r="L51" s="8" t="n">
        <f aca="false">IF(OR(A51=2020,A51=2024),1,0)</f>
        <v>1</v>
      </c>
    </row>
    <row r="52" customFormat="false" ht="15" hidden="false" customHeight="true" outlineLevel="0" collapsed="false">
      <c r="A52" s="8" t="n">
        <v>2022</v>
      </c>
      <c r="B52" s="8" t="s">
        <v>69</v>
      </c>
      <c r="C52" s="8" t="s">
        <v>57</v>
      </c>
      <c r="D52" s="8" t="n">
        <v>430</v>
      </c>
      <c r="E52" s="8" t="n">
        <v>916</v>
      </c>
      <c r="F52" s="8" t="n">
        <f aca="false">D52+E52</f>
        <v>1346</v>
      </c>
      <c r="G52" s="9" t="n">
        <f aca="false">D52/F52</f>
        <v>0.319465081723626</v>
      </c>
      <c r="H52" s="8" t="n">
        <v>498</v>
      </c>
      <c r="I52" s="8" t="n">
        <v>828</v>
      </c>
      <c r="J52" s="8" t="n">
        <f aca="false">IF(OR(H52="",H52=0),"",H52+I52)</f>
        <v>1326</v>
      </c>
      <c r="K52" s="9" t="n">
        <f aca="false">IF(J52="","",H52/J52)</f>
        <v>0.375565610859729</v>
      </c>
      <c r="L52" s="8" t="n">
        <f aca="false">IF(OR(A52=2020,A52=2024),1,0)</f>
        <v>0</v>
      </c>
    </row>
    <row r="53" customFormat="false" ht="15" hidden="false" customHeight="true" outlineLevel="0" collapsed="false">
      <c r="A53" s="8" t="n">
        <v>2024</v>
      </c>
      <c r="B53" s="8" t="s">
        <v>69</v>
      </c>
      <c r="C53" s="8" t="s">
        <v>57</v>
      </c>
      <c r="D53" s="8" t="n">
        <v>515</v>
      </c>
      <c r="E53" s="8" t="n">
        <v>1293</v>
      </c>
      <c r="F53" s="8" t="n">
        <f aca="false">D53+E53</f>
        <v>1808</v>
      </c>
      <c r="G53" s="9" t="n">
        <f aca="false">D53/F53</f>
        <v>0.284845132743363</v>
      </c>
      <c r="H53" s="8"/>
      <c r="I53" s="8"/>
      <c r="J53" s="8" t="str">
        <f aca="false">IF(OR(H53="",H53=0),"",H53+I53)</f>
        <v/>
      </c>
      <c r="K53" s="9" t="str">
        <f aca="false">IF(J53="","",H53/J53)</f>
        <v/>
      </c>
      <c r="L53" s="8" t="n">
        <f aca="false">IF(OR(A53=2020,A53=2024),1,0)</f>
        <v>1</v>
      </c>
    </row>
    <row r="54" customFormat="false" ht="15" hidden="false" customHeight="true" outlineLevel="0" collapsed="false">
      <c r="A54" s="8" t="n">
        <v>2018</v>
      </c>
      <c r="B54" s="8" t="s">
        <v>70</v>
      </c>
      <c r="C54" s="8" t="s">
        <v>57</v>
      </c>
      <c r="D54" s="8" t="n">
        <v>510</v>
      </c>
      <c r="E54" s="8" t="n">
        <v>960</v>
      </c>
      <c r="F54" s="8" t="n">
        <f aca="false">D54+E54</f>
        <v>1470</v>
      </c>
      <c r="G54" s="9" t="n">
        <f aca="false">D54/F54</f>
        <v>0.346938775510204</v>
      </c>
      <c r="H54" s="8" t="n">
        <v>557</v>
      </c>
      <c r="I54" s="8" t="n">
        <v>891</v>
      </c>
      <c r="J54" s="8" t="n">
        <f aca="false">IF(OR(H54="",H54=0),"",H54+I54)</f>
        <v>1448</v>
      </c>
      <c r="K54" s="9" t="n">
        <f aca="false">IF(J54="","",H54/J54)</f>
        <v>0.384668508287293</v>
      </c>
      <c r="L54" s="8" t="n">
        <f aca="false">IF(OR(A54=2020,A54=2024),1,0)</f>
        <v>0</v>
      </c>
    </row>
    <row r="55" customFormat="false" ht="15" hidden="false" customHeight="true" outlineLevel="0" collapsed="false">
      <c r="A55" s="8" t="n">
        <v>2020</v>
      </c>
      <c r="B55" s="8" t="s">
        <v>70</v>
      </c>
      <c r="C55" s="8" t="s">
        <v>57</v>
      </c>
      <c r="D55" s="8" t="n">
        <v>563</v>
      </c>
      <c r="E55" s="8" t="n">
        <v>1559</v>
      </c>
      <c r="F55" s="8" t="n">
        <f aca="false">D55+E55</f>
        <v>2122</v>
      </c>
      <c r="G55" s="9" t="n">
        <f aca="false">D55/F55</f>
        <v>0.265315739868049</v>
      </c>
      <c r="H55" s="8"/>
      <c r="I55" s="8"/>
      <c r="J55" s="8" t="str">
        <f aca="false">IF(OR(H55="",H55=0),"",H55+I55)</f>
        <v/>
      </c>
      <c r="K55" s="9" t="str">
        <f aca="false">IF(J55="","",H55/J55)</f>
        <v/>
      </c>
      <c r="L55" s="8" t="n">
        <f aca="false">IF(OR(A55=2020,A55=2024),1,0)</f>
        <v>1</v>
      </c>
    </row>
    <row r="56" customFormat="false" ht="15" hidden="false" customHeight="true" outlineLevel="0" collapsed="false">
      <c r="A56" s="8" t="n">
        <v>2022</v>
      </c>
      <c r="B56" s="8" t="s">
        <v>70</v>
      </c>
      <c r="C56" s="8" t="s">
        <v>57</v>
      </c>
      <c r="D56" s="8" t="n">
        <v>546</v>
      </c>
      <c r="E56" s="8" t="n">
        <v>1227</v>
      </c>
      <c r="F56" s="8" t="n">
        <f aca="false">D56+E56</f>
        <v>1773</v>
      </c>
      <c r="G56" s="9" t="n">
        <f aca="false">D56/F56</f>
        <v>0.307952622673435</v>
      </c>
      <c r="H56" s="8" t="n">
        <v>639</v>
      </c>
      <c r="I56" s="8" t="n">
        <v>1116</v>
      </c>
      <c r="J56" s="8" t="n">
        <f aca="false">IF(OR(H56="",H56=0),"",H56+I56)</f>
        <v>1755</v>
      </c>
      <c r="K56" s="9" t="n">
        <f aca="false">IF(J56="","",H56/J56)</f>
        <v>0.364102564102564</v>
      </c>
      <c r="L56" s="8" t="n">
        <f aca="false">IF(OR(A56=2020,A56=2024),1,0)</f>
        <v>0</v>
      </c>
    </row>
    <row r="57" customFormat="false" ht="15" hidden="false" customHeight="true" outlineLevel="0" collapsed="false">
      <c r="A57" s="8" t="n">
        <v>2024</v>
      </c>
      <c r="B57" s="8" t="s">
        <v>70</v>
      </c>
      <c r="C57" s="8" t="s">
        <v>57</v>
      </c>
      <c r="D57" s="8" t="n">
        <v>694</v>
      </c>
      <c r="E57" s="8" t="n">
        <v>1695</v>
      </c>
      <c r="F57" s="8" t="n">
        <f aca="false">D57+E57</f>
        <v>2389</v>
      </c>
      <c r="G57" s="9" t="n">
        <f aca="false">D57/F57</f>
        <v>0.290498116366681</v>
      </c>
      <c r="H57" s="8"/>
      <c r="I57" s="8"/>
      <c r="J57" s="8" t="str">
        <f aca="false">IF(OR(H57="",H57=0),"",H57+I57)</f>
        <v/>
      </c>
      <c r="K57" s="9" t="str">
        <f aca="false">IF(J57="","",H57/J57)</f>
        <v/>
      </c>
      <c r="L57" s="8" t="n">
        <f aca="false">IF(OR(A57=2020,A57=2024),1,0)</f>
        <v>1</v>
      </c>
    </row>
    <row r="58" customFormat="false" ht="15" hidden="false" customHeight="true" outlineLevel="0" collapsed="false">
      <c r="A58" s="8" t="n">
        <v>2018</v>
      </c>
      <c r="B58" s="8" t="s">
        <v>71</v>
      </c>
      <c r="C58" s="8" t="s">
        <v>57</v>
      </c>
      <c r="D58" s="8" t="n">
        <v>500</v>
      </c>
      <c r="E58" s="8" t="n">
        <v>546</v>
      </c>
      <c r="F58" s="8" t="n">
        <f aca="false">D58+E58</f>
        <v>1046</v>
      </c>
      <c r="G58" s="9" t="n">
        <f aca="false">D58/F58</f>
        <v>0.478011472275335</v>
      </c>
      <c r="H58" s="8" t="n">
        <v>543</v>
      </c>
      <c r="I58" s="8" t="n">
        <v>516</v>
      </c>
      <c r="J58" s="8" t="n">
        <f aca="false">IF(OR(H58="",H58=0),"",H58+I58)</f>
        <v>1059</v>
      </c>
      <c r="K58" s="9" t="n">
        <f aca="false">IF(J58="","",H58/J58)</f>
        <v>0.512747875354108</v>
      </c>
      <c r="L58" s="8" t="n">
        <f aca="false">IF(OR(A58=2020,A58=2024),1,0)</f>
        <v>0</v>
      </c>
    </row>
    <row r="59" customFormat="false" ht="15" hidden="false" customHeight="true" outlineLevel="0" collapsed="false">
      <c r="A59" s="8" t="n">
        <v>2020</v>
      </c>
      <c r="B59" s="8" t="s">
        <v>71</v>
      </c>
      <c r="C59" s="8" t="s">
        <v>57</v>
      </c>
      <c r="D59" s="8" t="n">
        <v>574</v>
      </c>
      <c r="E59" s="8" t="n">
        <v>963</v>
      </c>
      <c r="F59" s="8" t="n">
        <f aca="false">D59+E59</f>
        <v>1537</v>
      </c>
      <c r="G59" s="9" t="n">
        <f aca="false">D59/F59</f>
        <v>0.373454782042941</v>
      </c>
      <c r="H59" s="8"/>
      <c r="I59" s="8"/>
      <c r="J59" s="8" t="str">
        <f aca="false">IF(OR(H59="",H59=0),"",H59+I59)</f>
        <v/>
      </c>
      <c r="K59" s="9" t="str">
        <f aca="false">IF(J59="","",H59/J59)</f>
        <v/>
      </c>
      <c r="L59" s="8" t="n">
        <f aca="false">IF(OR(A59=2020,A59=2024),1,0)</f>
        <v>1</v>
      </c>
    </row>
    <row r="60" customFormat="false" ht="15" hidden="false" customHeight="true" outlineLevel="0" collapsed="false">
      <c r="A60" s="8" t="n">
        <v>2022</v>
      </c>
      <c r="B60" s="8" t="s">
        <v>71</v>
      </c>
      <c r="C60" s="8" t="s">
        <v>57</v>
      </c>
      <c r="D60" s="8" t="n">
        <v>488</v>
      </c>
      <c r="E60" s="8" t="n">
        <v>706</v>
      </c>
      <c r="F60" s="8" t="n">
        <f aca="false">D60+E60</f>
        <v>1194</v>
      </c>
      <c r="G60" s="9" t="n">
        <f aca="false">D60/F60</f>
        <v>0.408710217755444</v>
      </c>
      <c r="H60" s="8" t="n">
        <v>580</v>
      </c>
      <c r="I60" s="8" t="n">
        <v>601</v>
      </c>
      <c r="J60" s="8" t="n">
        <f aca="false">IF(OR(H60="",H60=0),"",H60+I60)</f>
        <v>1181</v>
      </c>
      <c r="K60" s="9" t="n">
        <f aca="false">IF(J60="","",H60/J60)</f>
        <v>0.491109229466554</v>
      </c>
      <c r="L60" s="8" t="n">
        <f aca="false">IF(OR(A60=2020,A60=2024),1,0)</f>
        <v>0</v>
      </c>
    </row>
    <row r="61" customFormat="false" ht="15" hidden="false" customHeight="true" outlineLevel="0" collapsed="false">
      <c r="A61" s="8" t="n">
        <v>2024</v>
      </c>
      <c r="B61" s="8" t="s">
        <v>71</v>
      </c>
      <c r="C61" s="8" t="s">
        <v>57</v>
      </c>
      <c r="D61" s="8" t="n">
        <v>601</v>
      </c>
      <c r="E61" s="8" t="n">
        <v>955</v>
      </c>
      <c r="F61" s="8" t="n">
        <f aca="false">D61+E61</f>
        <v>1556</v>
      </c>
      <c r="G61" s="9" t="n">
        <f aca="false">D61/F61</f>
        <v>0.386246786632391</v>
      </c>
      <c r="H61" s="8"/>
      <c r="I61" s="8"/>
      <c r="J61" s="8" t="str">
        <f aca="false">IF(OR(H61="",H61=0),"",H61+I61)</f>
        <v/>
      </c>
      <c r="K61" s="9" t="str">
        <f aca="false">IF(J61="","",H61/J61)</f>
        <v/>
      </c>
      <c r="L61" s="8" t="n">
        <f aca="false">IF(OR(A61=2020,A61=2024),1,0)</f>
        <v>1</v>
      </c>
    </row>
    <row r="62" customFormat="false" ht="15" hidden="false" customHeight="true" outlineLevel="0" collapsed="false">
      <c r="A62" s="8" t="n">
        <v>2018</v>
      </c>
      <c r="B62" s="8" t="s">
        <v>72</v>
      </c>
      <c r="C62" s="8" t="s">
        <v>57</v>
      </c>
      <c r="D62" s="8" t="n">
        <v>111</v>
      </c>
      <c r="E62" s="8" t="n">
        <v>372</v>
      </c>
      <c r="F62" s="8" t="n">
        <f aca="false">D62+E62</f>
        <v>483</v>
      </c>
      <c r="G62" s="9" t="n">
        <f aca="false">D62/F62</f>
        <v>0.229813664596273</v>
      </c>
      <c r="H62" s="8" t="n">
        <v>130</v>
      </c>
      <c r="I62" s="8" t="n">
        <v>354</v>
      </c>
      <c r="J62" s="8" t="n">
        <f aca="false">IF(OR(H62="",H62=0),"",H62+I62)</f>
        <v>484</v>
      </c>
      <c r="K62" s="9" t="n">
        <f aca="false">IF(J62="","",H62/J62)</f>
        <v>0.268595041322314</v>
      </c>
      <c r="L62" s="8" t="n">
        <f aca="false">IF(OR(A62=2020,A62=2024),1,0)</f>
        <v>0</v>
      </c>
    </row>
    <row r="63" customFormat="false" ht="15" hidden="false" customHeight="true" outlineLevel="0" collapsed="false">
      <c r="A63" s="8" t="n">
        <v>2020</v>
      </c>
      <c r="B63" s="8" t="s">
        <v>72</v>
      </c>
      <c r="C63" s="8" t="s">
        <v>57</v>
      </c>
      <c r="D63" s="8" t="n">
        <v>109</v>
      </c>
      <c r="E63" s="8" t="n">
        <v>531</v>
      </c>
      <c r="F63" s="8" t="n">
        <f aca="false">D63+E63</f>
        <v>640</v>
      </c>
      <c r="G63" s="9" t="n">
        <f aca="false">D63/F63</f>
        <v>0.1703125</v>
      </c>
      <c r="H63" s="8"/>
      <c r="I63" s="8"/>
      <c r="J63" s="8" t="str">
        <f aca="false">IF(OR(H63="",H63=0),"",H63+I63)</f>
        <v/>
      </c>
      <c r="K63" s="9" t="str">
        <f aca="false">IF(J63="","",H63/J63)</f>
        <v/>
      </c>
      <c r="L63" s="8" t="n">
        <f aca="false">IF(OR(A63=2020,A63=2024),1,0)</f>
        <v>1</v>
      </c>
    </row>
    <row r="64" customFormat="false" ht="15" hidden="false" customHeight="true" outlineLevel="0" collapsed="false">
      <c r="A64" s="8" t="n">
        <v>2022</v>
      </c>
      <c r="B64" s="8" t="s">
        <v>72</v>
      </c>
      <c r="C64" s="8" t="s">
        <v>57</v>
      </c>
      <c r="D64" s="8" t="n">
        <v>96</v>
      </c>
      <c r="E64" s="8" t="n">
        <v>444</v>
      </c>
      <c r="F64" s="8" t="n">
        <f aca="false">D64+E64</f>
        <v>540</v>
      </c>
      <c r="G64" s="9" t="n">
        <f aca="false">D64/F64</f>
        <v>0.177777777777778</v>
      </c>
      <c r="H64" s="8" t="n">
        <v>144</v>
      </c>
      <c r="I64" s="8" t="n">
        <v>397</v>
      </c>
      <c r="J64" s="8" t="n">
        <f aca="false">IF(OR(H64="",H64=0),"",H64+I64)</f>
        <v>541</v>
      </c>
      <c r="K64" s="9" t="n">
        <f aca="false">IF(J64="","",H64/J64)</f>
        <v>0.266173752310536</v>
      </c>
      <c r="L64" s="8" t="n">
        <f aca="false">IF(OR(A64=2020,A64=2024),1,0)</f>
        <v>0</v>
      </c>
    </row>
    <row r="65" customFormat="false" ht="15" hidden="false" customHeight="true" outlineLevel="0" collapsed="false">
      <c r="A65" s="8" t="n">
        <v>2024</v>
      </c>
      <c r="B65" s="8" t="s">
        <v>72</v>
      </c>
      <c r="C65" s="8" t="s">
        <v>57</v>
      </c>
      <c r="D65" s="8" t="n">
        <v>134</v>
      </c>
      <c r="E65" s="8" t="n">
        <v>505</v>
      </c>
      <c r="F65" s="8" t="n">
        <f aca="false">D65+E65</f>
        <v>639</v>
      </c>
      <c r="G65" s="9" t="n">
        <f aca="false">D65/F65</f>
        <v>0.209702660406886</v>
      </c>
      <c r="H65" s="8"/>
      <c r="I65" s="8"/>
      <c r="J65" s="8" t="str">
        <f aca="false">IF(OR(H65="",H65=0),"",H65+I65)</f>
        <v/>
      </c>
      <c r="K65" s="9" t="str">
        <f aca="false">IF(J65="","",H65/J65)</f>
        <v/>
      </c>
      <c r="L65" s="8" t="n">
        <f aca="false">IF(OR(A65=2020,A65=2024),1,0)</f>
        <v>1</v>
      </c>
    </row>
    <row r="66" customFormat="false" ht="15" hidden="false" customHeight="true" outlineLevel="0" collapsed="false">
      <c r="A66" s="8" t="n">
        <v>2018</v>
      </c>
      <c r="B66" s="8" t="s">
        <v>73</v>
      </c>
      <c r="C66" s="8" t="s">
        <v>57</v>
      </c>
      <c r="D66" s="8" t="n">
        <v>687</v>
      </c>
      <c r="E66" s="8" t="n">
        <v>978</v>
      </c>
      <c r="F66" s="8" t="n">
        <f aca="false">D66+E66</f>
        <v>1665</v>
      </c>
      <c r="G66" s="9" t="n">
        <f aca="false">D66/F66</f>
        <v>0.412612612612613</v>
      </c>
      <c r="H66" s="8" t="n">
        <v>753</v>
      </c>
      <c r="I66" s="8" t="n">
        <v>904</v>
      </c>
      <c r="J66" s="8" t="n">
        <f aca="false">IF(OR(H66="",H66=0),"",H66+I66)</f>
        <v>1657</v>
      </c>
      <c r="K66" s="9" t="n">
        <f aca="false">IF(J66="","",H66/J66)</f>
        <v>0.454435727217864</v>
      </c>
      <c r="L66" s="8" t="n">
        <f aca="false">IF(OR(A66=2020,A66=2024),1,0)</f>
        <v>0</v>
      </c>
    </row>
    <row r="67" customFormat="false" ht="15" hidden="false" customHeight="true" outlineLevel="0" collapsed="false">
      <c r="A67" s="8" t="n">
        <v>2020</v>
      </c>
      <c r="B67" s="8" t="s">
        <v>73</v>
      </c>
      <c r="C67" s="8" t="s">
        <v>57</v>
      </c>
      <c r="D67" s="8" t="n">
        <v>863</v>
      </c>
      <c r="E67" s="8" t="n">
        <v>1676</v>
      </c>
      <c r="F67" s="8" t="n">
        <f aca="false">D67+E67</f>
        <v>2539</v>
      </c>
      <c r="G67" s="9" t="n">
        <f aca="false">D67/F67</f>
        <v>0.339897597479323</v>
      </c>
      <c r="H67" s="8"/>
      <c r="I67" s="8"/>
      <c r="J67" s="8" t="str">
        <f aca="false">IF(OR(H67="",H67=0),"",H67+I67)</f>
        <v/>
      </c>
      <c r="K67" s="9" t="str">
        <f aca="false">IF(J67="","",H67/J67)</f>
        <v/>
      </c>
      <c r="L67" s="8" t="n">
        <f aca="false">IF(OR(A67=2020,A67=2024),1,0)</f>
        <v>1</v>
      </c>
    </row>
    <row r="68" customFormat="false" ht="15" hidden="false" customHeight="true" outlineLevel="0" collapsed="false">
      <c r="A68" s="8" t="n">
        <v>2022</v>
      </c>
      <c r="B68" s="8" t="s">
        <v>73</v>
      </c>
      <c r="C68" s="8" t="s">
        <v>57</v>
      </c>
      <c r="D68" s="8" t="n">
        <v>737</v>
      </c>
      <c r="E68" s="8" t="n">
        <v>1172</v>
      </c>
      <c r="F68" s="8" t="n">
        <f aca="false">D68+E68</f>
        <v>1909</v>
      </c>
      <c r="G68" s="9" t="n">
        <f aca="false">D68/F68</f>
        <v>0.386066003143007</v>
      </c>
      <c r="H68" s="8" t="n">
        <v>812</v>
      </c>
      <c r="I68" s="8" t="n">
        <v>1057</v>
      </c>
      <c r="J68" s="8" t="n">
        <f aca="false">IF(OR(H68="",H68=0),"",H68+I68)</f>
        <v>1869</v>
      </c>
      <c r="K68" s="9" t="n">
        <f aca="false">IF(J68="","",H68/J68)</f>
        <v>0.434456928838951</v>
      </c>
      <c r="L68" s="8" t="n">
        <f aca="false">IF(OR(A68=2020,A68=2024),1,0)</f>
        <v>0</v>
      </c>
    </row>
    <row r="69" customFormat="false" ht="15" hidden="false" customHeight="true" outlineLevel="0" collapsed="false">
      <c r="A69" s="8" t="n">
        <v>2024</v>
      </c>
      <c r="B69" s="8" t="s">
        <v>73</v>
      </c>
      <c r="C69" s="8" t="s">
        <v>57</v>
      </c>
      <c r="D69" s="8" t="n">
        <v>981</v>
      </c>
      <c r="E69" s="8" t="n">
        <v>1740</v>
      </c>
      <c r="F69" s="8" t="n">
        <f aca="false">D69+E69</f>
        <v>2721</v>
      </c>
      <c r="G69" s="9" t="n">
        <f aca="false">D69/F69</f>
        <v>0.360529217199559</v>
      </c>
      <c r="H69" s="8"/>
      <c r="I69" s="8"/>
      <c r="J69" s="8" t="str">
        <f aca="false">IF(OR(H69="",H69=0),"",H69+I69)</f>
        <v/>
      </c>
      <c r="K69" s="9" t="str">
        <f aca="false">IF(J69="","",H69/J69)</f>
        <v/>
      </c>
      <c r="L69" s="8" t="n">
        <f aca="false">IF(OR(A69=2020,A69=2024),1,0)</f>
        <v>1</v>
      </c>
    </row>
    <row r="70" customFormat="false" ht="15" hidden="false" customHeight="true" outlineLevel="0" collapsed="false">
      <c r="A70" s="8" t="n">
        <v>2018</v>
      </c>
      <c r="B70" s="8" t="s">
        <v>74</v>
      </c>
      <c r="C70" s="8" t="s">
        <v>57</v>
      </c>
      <c r="D70" s="8" t="n">
        <v>53</v>
      </c>
      <c r="E70" s="8" t="n">
        <v>112</v>
      </c>
      <c r="F70" s="8" t="n">
        <f aca="false">D70+E70</f>
        <v>165</v>
      </c>
      <c r="G70" s="9" t="n">
        <f aca="false">D70/F70</f>
        <v>0.321212121212121</v>
      </c>
      <c r="H70" s="8" t="n">
        <v>62</v>
      </c>
      <c r="I70" s="8" t="n">
        <v>103</v>
      </c>
      <c r="J70" s="8" t="n">
        <f aca="false">IF(OR(H70="",H70=0),"",H70+I70)</f>
        <v>165</v>
      </c>
      <c r="K70" s="9" t="n">
        <f aca="false">IF(J70="","",H70/J70)</f>
        <v>0.375757575757576</v>
      </c>
      <c r="L70" s="8" t="n">
        <f aca="false">IF(OR(A70=2020,A70=2024),1,0)</f>
        <v>0</v>
      </c>
    </row>
    <row r="71" customFormat="false" ht="15" hidden="false" customHeight="true" outlineLevel="0" collapsed="false">
      <c r="A71" s="8" t="n">
        <v>2020</v>
      </c>
      <c r="B71" s="8" t="s">
        <v>74</v>
      </c>
      <c r="C71" s="8" t="s">
        <v>57</v>
      </c>
      <c r="D71" s="8" t="n">
        <v>52</v>
      </c>
      <c r="E71" s="8" t="n">
        <v>167</v>
      </c>
      <c r="F71" s="8" t="n">
        <f aca="false">D71+E71</f>
        <v>219</v>
      </c>
      <c r="G71" s="9" t="n">
        <f aca="false">D71/F71</f>
        <v>0.237442922374429</v>
      </c>
      <c r="H71" s="8"/>
      <c r="I71" s="8"/>
      <c r="J71" s="8" t="str">
        <f aca="false">IF(OR(H71="",H71=0),"",H71+I71)</f>
        <v/>
      </c>
      <c r="K71" s="9" t="str">
        <f aca="false">IF(J71="","",H71/J71)</f>
        <v/>
      </c>
      <c r="L71" s="8" t="n">
        <f aca="false">IF(OR(A71=2020,A71=2024),1,0)</f>
        <v>1</v>
      </c>
    </row>
    <row r="72" customFormat="false" ht="15" hidden="false" customHeight="true" outlineLevel="0" collapsed="false">
      <c r="A72" s="8" t="n">
        <v>2022</v>
      </c>
      <c r="B72" s="8" t="s">
        <v>74</v>
      </c>
      <c r="C72" s="8" t="s">
        <v>57</v>
      </c>
      <c r="D72" s="8" t="n">
        <v>51</v>
      </c>
      <c r="E72" s="8" t="n">
        <v>136</v>
      </c>
      <c r="F72" s="8" t="n">
        <f aca="false">D72+E72</f>
        <v>187</v>
      </c>
      <c r="G72" s="9" t="n">
        <f aca="false">D72/F72</f>
        <v>0.272727272727273</v>
      </c>
      <c r="H72" s="8" t="n">
        <v>61</v>
      </c>
      <c r="I72" s="8" t="n">
        <v>122</v>
      </c>
      <c r="J72" s="8" t="n">
        <f aca="false">IF(OR(H72="",H72=0),"",H72+I72)</f>
        <v>183</v>
      </c>
      <c r="K72" s="9" t="n">
        <f aca="false">IF(J72="","",H72/J72)</f>
        <v>0.333333333333333</v>
      </c>
      <c r="L72" s="8" t="n">
        <f aca="false">IF(OR(A72=2020,A72=2024),1,0)</f>
        <v>0</v>
      </c>
    </row>
    <row r="73" customFormat="false" ht="15" hidden="false" customHeight="true" outlineLevel="0" collapsed="false">
      <c r="A73" s="8" t="n">
        <v>2024</v>
      </c>
      <c r="B73" s="8" t="s">
        <v>74</v>
      </c>
      <c r="C73" s="8" t="s">
        <v>57</v>
      </c>
      <c r="D73" s="8" t="n">
        <v>74</v>
      </c>
      <c r="E73" s="8" t="n">
        <v>162</v>
      </c>
      <c r="F73" s="8" t="n">
        <f aca="false">D73+E73</f>
        <v>236</v>
      </c>
      <c r="G73" s="9" t="n">
        <f aca="false">D73/F73</f>
        <v>0.313559322033898</v>
      </c>
      <c r="H73" s="8"/>
      <c r="I73" s="8"/>
      <c r="J73" s="8" t="str">
        <f aca="false">IF(OR(H73="",H73=0),"",H73+I73)</f>
        <v/>
      </c>
      <c r="K73" s="9" t="str">
        <f aca="false">IF(J73="","",H73/J73)</f>
        <v/>
      </c>
      <c r="L73" s="8" t="n">
        <f aca="false">IF(OR(A73=2020,A73=2024),1,0)</f>
        <v>1</v>
      </c>
    </row>
    <row r="74" customFormat="false" ht="15" hidden="false" customHeight="true" outlineLevel="0" collapsed="false">
      <c r="A74" s="8" t="n">
        <v>2018</v>
      </c>
      <c r="B74" s="8" t="s">
        <v>75</v>
      </c>
      <c r="C74" s="8" t="s">
        <v>57</v>
      </c>
      <c r="D74" s="8" t="n">
        <v>1453</v>
      </c>
      <c r="E74" s="8" t="n">
        <v>2080</v>
      </c>
      <c r="F74" s="8" t="n">
        <f aca="false">D74+E74</f>
        <v>3533</v>
      </c>
      <c r="G74" s="9" t="n">
        <f aca="false">D74/F74</f>
        <v>0.411265213699406</v>
      </c>
      <c r="H74" s="8" t="n">
        <v>1565</v>
      </c>
      <c r="I74" s="8" t="n">
        <v>1933</v>
      </c>
      <c r="J74" s="8" t="n">
        <f aca="false">IF(OR(H74="",H74=0),"",H74+I74)</f>
        <v>3498</v>
      </c>
      <c r="K74" s="9" t="n">
        <f aca="false">IF(J74="","",H74/J74)</f>
        <v>0.447398513436249</v>
      </c>
      <c r="L74" s="8" t="n">
        <f aca="false">IF(OR(A74=2020,A74=2024),1,0)</f>
        <v>0</v>
      </c>
    </row>
    <row r="75" customFormat="false" ht="15" hidden="false" customHeight="true" outlineLevel="0" collapsed="false">
      <c r="A75" s="8" t="n">
        <v>2020</v>
      </c>
      <c r="B75" s="8" t="s">
        <v>75</v>
      </c>
      <c r="C75" s="8" t="s">
        <v>57</v>
      </c>
      <c r="D75" s="8" t="n">
        <v>1997</v>
      </c>
      <c r="E75" s="8" t="n">
        <v>3474</v>
      </c>
      <c r="F75" s="8" t="n">
        <f aca="false">D75+E75</f>
        <v>5471</v>
      </c>
      <c r="G75" s="9" t="n">
        <f aca="false">D75/F75</f>
        <v>0.365015536464997</v>
      </c>
      <c r="H75" s="8"/>
      <c r="I75" s="8"/>
      <c r="J75" s="8" t="str">
        <f aca="false">IF(OR(H75="",H75=0),"",H75+I75)</f>
        <v/>
      </c>
      <c r="K75" s="9" t="str">
        <f aca="false">IF(J75="","",H75/J75)</f>
        <v/>
      </c>
      <c r="L75" s="8" t="n">
        <f aca="false">IF(OR(A75=2020,A75=2024),1,0)</f>
        <v>1</v>
      </c>
    </row>
    <row r="76" customFormat="false" ht="15" hidden="false" customHeight="true" outlineLevel="0" collapsed="false">
      <c r="A76" s="8" t="n">
        <v>2022</v>
      </c>
      <c r="B76" s="8" t="s">
        <v>75</v>
      </c>
      <c r="C76" s="8" t="s">
        <v>57</v>
      </c>
      <c r="D76" s="8" t="n">
        <v>1574</v>
      </c>
      <c r="E76" s="8" t="n">
        <v>2750</v>
      </c>
      <c r="F76" s="8" t="n">
        <f aca="false">D76+E76</f>
        <v>4324</v>
      </c>
      <c r="G76" s="9" t="n">
        <f aca="false">D76/F76</f>
        <v>0.364014801110083</v>
      </c>
      <c r="H76" s="8" t="n">
        <v>1839</v>
      </c>
      <c r="I76" s="8" t="n">
        <v>2441</v>
      </c>
      <c r="J76" s="8" t="n">
        <f aca="false">IF(OR(H76="",H76=0),"",H76+I76)</f>
        <v>4280</v>
      </c>
      <c r="K76" s="9" t="n">
        <f aca="false">IF(J76="","",H76/J76)</f>
        <v>0.429672897196262</v>
      </c>
      <c r="L76" s="8" t="n">
        <f aca="false">IF(OR(A76=2020,A76=2024),1,0)</f>
        <v>0</v>
      </c>
    </row>
    <row r="77" customFormat="false" ht="15" hidden="false" customHeight="true" outlineLevel="0" collapsed="false">
      <c r="A77" s="8" t="n">
        <v>2024</v>
      </c>
      <c r="B77" s="8" t="s">
        <v>75</v>
      </c>
      <c r="C77" s="8" t="s">
        <v>57</v>
      </c>
      <c r="D77" s="8" t="n">
        <v>2047</v>
      </c>
      <c r="E77" s="8" t="n">
        <v>3702</v>
      </c>
      <c r="F77" s="8" t="n">
        <f aca="false">D77+E77</f>
        <v>5749</v>
      </c>
      <c r="G77" s="9" t="n">
        <f aca="false">D77/F77</f>
        <v>0.356061923812837</v>
      </c>
      <c r="H77" s="8"/>
      <c r="I77" s="8"/>
      <c r="J77" s="8" t="str">
        <f aca="false">IF(OR(H77="",H77=0),"",H77+I77)</f>
        <v/>
      </c>
      <c r="K77" s="9" t="str">
        <f aca="false">IF(J77="","",H77/J77)</f>
        <v/>
      </c>
      <c r="L77" s="8" t="n">
        <f aca="false">IF(OR(A77=2020,A77=2024),1,0)</f>
        <v>1</v>
      </c>
    </row>
    <row r="78" customFormat="false" ht="15" hidden="false" customHeight="true" outlineLevel="0" collapsed="false">
      <c r="A78" s="8" t="n">
        <v>2018</v>
      </c>
      <c r="B78" s="8" t="s">
        <v>76</v>
      </c>
      <c r="C78" s="8" t="s">
        <v>57</v>
      </c>
      <c r="D78" s="8" t="n">
        <v>574</v>
      </c>
      <c r="E78" s="8" t="n">
        <v>562</v>
      </c>
      <c r="F78" s="8" t="n">
        <f aca="false">D78+E78</f>
        <v>1136</v>
      </c>
      <c r="G78" s="9" t="n">
        <f aca="false">D78/F78</f>
        <v>0.505281690140845</v>
      </c>
      <c r="H78" s="8" t="n">
        <v>585</v>
      </c>
      <c r="I78" s="8" t="n">
        <v>533</v>
      </c>
      <c r="J78" s="8" t="n">
        <f aca="false">IF(OR(H78="",H78=0),"",H78+I78)</f>
        <v>1118</v>
      </c>
      <c r="K78" s="9" t="n">
        <f aca="false">IF(J78="","",H78/J78)</f>
        <v>0.523255813953488</v>
      </c>
      <c r="L78" s="8" t="n">
        <f aca="false">IF(OR(A78=2020,A78=2024),1,0)</f>
        <v>0</v>
      </c>
    </row>
    <row r="79" customFormat="false" ht="15" hidden="false" customHeight="true" outlineLevel="0" collapsed="false">
      <c r="A79" s="8" t="n">
        <v>2020</v>
      </c>
      <c r="B79" s="8" t="s">
        <v>76</v>
      </c>
      <c r="C79" s="8" t="s">
        <v>57</v>
      </c>
      <c r="D79" s="8" t="n">
        <v>620</v>
      </c>
      <c r="E79" s="8" t="n">
        <v>917</v>
      </c>
      <c r="F79" s="8" t="n">
        <f aca="false">D79+E79</f>
        <v>1537</v>
      </c>
      <c r="G79" s="9" t="n">
        <f aca="false">D79/F79</f>
        <v>0.403383214053351</v>
      </c>
      <c r="H79" s="8"/>
      <c r="I79" s="8"/>
      <c r="J79" s="8" t="str">
        <f aca="false">IF(OR(H79="",H79=0),"",H79+I79)</f>
        <v/>
      </c>
      <c r="K79" s="9" t="str">
        <f aca="false">IF(J79="","",H79/J79)</f>
        <v/>
      </c>
      <c r="L79" s="8" t="n">
        <f aca="false">IF(OR(A79=2020,A79=2024),1,0)</f>
        <v>1</v>
      </c>
    </row>
    <row r="80" customFormat="false" ht="15" hidden="false" customHeight="true" outlineLevel="0" collapsed="false">
      <c r="A80" s="8" t="n">
        <v>2022</v>
      </c>
      <c r="B80" s="8" t="s">
        <v>76</v>
      </c>
      <c r="C80" s="8" t="s">
        <v>57</v>
      </c>
      <c r="D80" s="8" t="n">
        <v>557</v>
      </c>
      <c r="E80" s="8" t="n">
        <v>678</v>
      </c>
      <c r="F80" s="8" t="n">
        <f aca="false">D80+E80</f>
        <v>1235</v>
      </c>
      <c r="G80" s="9" t="n">
        <f aca="false">D80/F80</f>
        <v>0.451012145748988</v>
      </c>
      <c r="H80" s="8" t="n">
        <v>636</v>
      </c>
      <c r="I80" s="8" t="n">
        <v>594</v>
      </c>
      <c r="J80" s="8" t="n">
        <f aca="false">IF(OR(H80="",H80=0),"",H80+I80)</f>
        <v>1230</v>
      </c>
      <c r="K80" s="9" t="n">
        <f aca="false">IF(J80="","",H80/J80)</f>
        <v>0.517073170731707</v>
      </c>
      <c r="L80" s="8" t="n">
        <f aca="false">IF(OR(A80=2020,A80=2024),1,0)</f>
        <v>0</v>
      </c>
    </row>
    <row r="81" customFormat="false" ht="15" hidden="false" customHeight="true" outlineLevel="0" collapsed="false">
      <c r="A81" s="8" t="n">
        <v>2024</v>
      </c>
      <c r="B81" s="8" t="s">
        <v>76</v>
      </c>
      <c r="C81" s="8" t="s">
        <v>57</v>
      </c>
      <c r="D81" s="8" t="n">
        <v>660</v>
      </c>
      <c r="E81" s="8" t="n">
        <v>913</v>
      </c>
      <c r="F81" s="8" t="n">
        <f aca="false">D81+E81</f>
        <v>1573</v>
      </c>
      <c r="G81" s="9" t="n">
        <f aca="false">D81/F81</f>
        <v>0.41958041958042</v>
      </c>
      <c r="H81" s="8"/>
      <c r="I81" s="8"/>
      <c r="J81" s="8" t="str">
        <f aca="false">IF(OR(H81="",H81=0),"",H81+I81)</f>
        <v/>
      </c>
      <c r="K81" s="9" t="str">
        <f aca="false">IF(J81="","",H81/J81)</f>
        <v/>
      </c>
      <c r="L81" s="8" t="n">
        <f aca="false">IF(OR(A81=2020,A81=2024),1,0)</f>
        <v>1</v>
      </c>
    </row>
    <row r="82" customFormat="false" ht="15" hidden="false" customHeight="true" outlineLevel="0" collapsed="false">
      <c r="A82" s="8" t="n">
        <v>2018</v>
      </c>
      <c r="B82" s="8" t="s">
        <v>77</v>
      </c>
      <c r="C82" s="8" t="s">
        <v>57</v>
      </c>
      <c r="D82" s="8" t="n">
        <v>613</v>
      </c>
      <c r="E82" s="8" t="n">
        <v>1136</v>
      </c>
      <c r="F82" s="8" t="n">
        <f aca="false">D82+E82</f>
        <v>1749</v>
      </c>
      <c r="G82" s="9" t="n">
        <f aca="false">D82/F82</f>
        <v>0.350485991995426</v>
      </c>
      <c r="H82" s="8" t="n">
        <v>643</v>
      </c>
      <c r="I82" s="8" t="n">
        <v>1085</v>
      </c>
      <c r="J82" s="8" t="n">
        <f aca="false">IF(OR(H82="",H82=0),"",H82+I82)</f>
        <v>1728</v>
      </c>
      <c r="K82" s="9" t="n">
        <f aca="false">IF(J82="","",H82/J82)</f>
        <v>0.372106481481481</v>
      </c>
      <c r="L82" s="8" t="n">
        <f aca="false">IF(OR(A82=2020,A82=2024),1,0)</f>
        <v>0</v>
      </c>
    </row>
    <row r="83" customFormat="false" ht="15" hidden="false" customHeight="true" outlineLevel="0" collapsed="false">
      <c r="A83" s="8" t="n">
        <v>2020</v>
      </c>
      <c r="B83" s="8" t="s">
        <v>77</v>
      </c>
      <c r="C83" s="8" t="s">
        <v>57</v>
      </c>
      <c r="D83" s="8" t="n">
        <v>723</v>
      </c>
      <c r="E83" s="8" t="n">
        <v>1892</v>
      </c>
      <c r="F83" s="8" t="n">
        <f aca="false">D83+E83</f>
        <v>2615</v>
      </c>
      <c r="G83" s="9" t="n">
        <f aca="false">D83/F83</f>
        <v>0.276481835564054</v>
      </c>
      <c r="H83" s="8"/>
      <c r="I83" s="8"/>
      <c r="J83" s="8" t="str">
        <f aca="false">IF(OR(H83="",H83=0),"",H83+I83)</f>
        <v/>
      </c>
      <c r="K83" s="9" t="str">
        <f aca="false">IF(J83="","",H83/J83)</f>
        <v/>
      </c>
      <c r="L83" s="8" t="n">
        <f aca="false">IF(OR(A83=2020,A83=2024),1,0)</f>
        <v>1</v>
      </c>
    </row>
    <row r="84" customFormat="false" ht="15" hidden="false" customHeight="true" outlineLevel="0" collapsed="false">
      <c r="A84" s="8" t="n">
        <v>2022</v>
      </c>
      <c r="B84" s="8" t="s">
        <v>77</v>
      </c>
      <c r="C84" s="8" t="s">
        <v>57</v>
      </c>
      <c r="D84" s="8" t="n">
        <v>625</v>
      </c>
      <c r="E84" s="8" t="n">
        <v>1506</v>
      </c>
      <c r="F84" s="8" t="n">
        <f aca="false">D84+E84</f>
        <v>2131</v>
      </c>
      <c r="G84" s="9" t="n">
        <f aca="false">D84/F84</f>
        <v>0.293289535429376</v>
      </c>
      <c r="H84" s="8" t="n">
        <v>728</v>
      </c>
      <c r="I84" s="8" t="n">
        <v>1366</v>
      </c>
      <c r="J84" s="8" t="n">
        <f aca="false">IF(OR(H84="",H84=0),"",H84+I84)</f>
        <v>2094</v>
      </c>
      <c r="K84" s="9" t="n">
        <f aca="false">IF(J84="","",H84/J84)</f>
        <v>0.347659980897803</v>
      </c>
      <c r="L84" s="8" t="n">
        <f aca="false">IF(OR(A84=2020,A84=2024),1,0)</f>
        <v>0</v>
      </c>
    </row>
    <row r="85" customFormat="false" ht="15" hidden="false" customHeight="true" outlineLevel="0" collapsed="false">
      <c r="A85" s="8" t="n">
        <v>2024</v>
      </c>
      <c r="B85" s="8" t="s">
        <v>77</v>
      </c>
      <c r="C85" s="8" t="s">
        <v>57</v>
      </c>
      <c r="D85" s="8" t="n">
        <v>802</v>
      </c>
      <c r="E85" s="8" t="n">
        <v>1955</v>
      </c>
      <c r="F85" s="8" t="n">
        <f aca="false">D85+E85</f>
        <v>2757</v>
      </c>
      <c r="G85" s="9" t="n">
        <f aca="false">D85/F85</f>
        <v>0.290895901342038</v>
      </c>
      <c r="H85" s="8"/>
      <c r="I85" s="8"/>
      <c r="J85" s="8" t="str">
        <f aca="false">IF(OR(H85="",H85=0),"",H85+I85)</f>
        <v/>
      </c>
      <c r="K85" s="9" t="str">
        <f aca="false">IF(J85="","",H85/J85)</f>
        <v/>
      </c>
      <c r="L85" s="8" t="n">
        <f aca="false">IF(OR(A85=2020,A85=2024),1,0)</f>
        <v>1</v>
      </c>
    </row>
    <row r="86" customFormat="false" ht="15" hidden="false" customHeight="true" outlineLevel="0" collapsed="false">
      <c r="A86" s="8" t="n">
        <v>2018</v>
      </c>
      <c r="B86" s="8" t="s">
        <v>78</v>
      </c>
      <c r="C86" s="8" t="s">
        <v>57</v>
      </c>
      <c r="D86" s="8" t="n">
        <v>273</v>
      </c>
      <c r="E86" s="8" t="n">
        <v>574</v>
      </c>
      <c r="F86" s="8" t="n">
        <f aca="false">D86+E86</f>
        <v>847</v>
      </c>
      <c r="G86" s="9" t="n">
        <f aca="false">D86/F86</f>
        <v>0.322314049586777</v>
      </c>
      <c r="H86" s="8" t="n">
        <v>326</v>
      </c>
      <c r="I86" s="8" t="n">
        <v>505</v>
      </c>
      <c r="J86" s="8" t="n">
        <f aca="false">IF(OR(H86="",H86=0),"",H86+I86)</f>
        <v>831</v>
      </c>
      <c r="K86" s="9" t="n">
        <f aca="false">IF(J86="","",H86/J86)</f>
        <v>0.392298435619735</v>
      </c>
      <c r="L86" s="8" t="n">
        <f aca="false">IF(OR(A86=2020,A86=2024),1,0)</f>
        <v>0</v>
      </c>
    </row>
    <row r="87" customFormat="false" ht="15" hidden="false" customHeight="true" outlineLevel="0" collapsed="false">
      <c r="A87" s="8" t="n">
        <v>2020</v>
      </c>
      <c r="B87" s="8" t="s">
        <v>78</v>
      </c>
      <c r="C87" s="8" t="s">
        <v>57</v>
      </c>
      <c r="D87" s="8" t="n">
        <v>323</v>
      </c>
      <c r="E87" s="8" t="n">
        <v>898</v>
      </c>
      <c r="F87" s="8" t="n">
        <f aca="false">D87+E87</f>
        <v>1221</v>
      </c>
      <c r="G87" s="9" t="n">
        <f aca="false">D87/F87</f>
        <v>0.264537264537265</v>
      </c>
      <c r="H87" s="8"/>
      <c r="I87" s="8"/>
      <c r="J87" s="8" t="str">
        <f aca="false">IF(OR(H87="",H87=0),"",H87+I87)</f>
        <v/>
      </c>
      <c r="K87" s="9" t="str">
        <f aca="false">IF(J87="","",H87/J87)</f>
        <v/>
      </c>
      <c r="L87" s="8" t="n">
        <f aca="false">IF(OR(A87=2020,A87=2024),1,0)</f>
        <v>1</v>
      </c>
    </row>
    <row r="88" customFormat="false" ht="15" hidden="false" customHeight="true" outlineLevel="0" collapsed="false">
      <c r="A88" s="8" t="n">
        <v>2022</v>
      </c>
      <c r="B88" s="8" t="s">
        <v>78</v>
      </c>
      <c r="C88" s="8" t="s">
        <v>57</v>
      </c>
      <c r="D88" s="8" t="n">
        <v>245</v>
      </c>
      <c r="E88" s="8" t="n">
        <v>656</v>
      </c>
      <c r="F88" s="8" t="n">
        <f aca="false">D88+E88</f>
        <v>901</v>
      </c>
      <c r="G88" s="9" t="n">
        <f aca="false">D88/F88</f>
        <v>0.271920088790233</v>
      </c>
      <c r="H88" s="8" t="n">
        <v>323</v>
      </c>
      <c r="I88" s="8" t="n">
        <v>568</v>
      </c>
      <c r="J88" s="8" t="n">
        <f aca="false">IF(OR(H88="",H88=0),"",H88+I88)</f>
        <v>891</v>
      </c>
      <c r="K88" s="9" t="n">
        <f aca="false">IF(J88="","",H88/J88)</f>
        <v>0.362514029180696</v>
      </c>
      <c r="L88" s="8" t="n">
        <f aca="false">IF(OR(A88=2020,A88=2024),1,0)</f>
        <v>0</v>
      </c>
    </row>
    <row r="89" customFormat="false" ht="15" hidden="false" customHeight="true" outlineLevel="0" collapsed="false">
      <c r="A89" s="8" t="n">
        <v>2024</v>
      </c>
      <c r="B89" s="8" t="s">
        <v>78</v>
      </c>
      <c r="C89" s="8" t="s">
        <v>57</v>
      </c>
      <c r="D89" s="8" t="n">
        <v>351</v>
      </c>
      <c r="E89" s="8" t="n">
        <v>849</v>
      </c>
      <c r="F89" s="8" t="n">
        <f aca="false">D89+E89</f>
        <v>1200</v>
      </c>
      <c r="G89" s="9" t="n">
        <f aca="false">D89/F89</f>
        <v>0.2925</v>
      </c>
      <c r="H89" s="8"/>
      <c r="I89" s="8"/>
      <c r="J89" s="8" t="str">
        <f aca="false">IF(OR(H89="",H89=0),"",H89+I89)</f>
        <v/>
      </c>
      <c r="K89" s="9" t="str">
        <f aca="false">IF(J89="","",H89/J89)</f>
        <v/>
      </c>
      <c r="L89" s="8" t="n">
        <f aca="false">IF(OR(A89=2020,A89=2024),1,0)</f>
        <v>1</v>
      </c>
    </row>
    <row r="90" customFormat="false" ht="15" hidden="false" customHeight="true" outlineLevel="0" collapsed="false">
      <c r="A90" s="8" t="n">
        <v>2018</v>
      </c>
      <c r="B90" s="8" t="s">
        <v>79</v>
      </c>
      <c r="C90" s="8" t="s">
        <v>57</v>
      </c>
      <c r="D90" s="8" t="n">
        <v>50</v>
      </c>
      <c r="E90" s="8" t="n">
        <v>48</v>
      </c>
      <c r="F90" s="8" t="n">
        <f aca="false">D90+E90</f>
        <v>98</v>
      </c>
      <c r="G90" s="9" t="n">
        <f aca="false">D90/F90</f>
        <v>0.510204081632653</v>
      </c>
      <c r="H90" s="8" t="n">
        <v>53</v>
      </c>
      <c r="I90" s="8" t="n">
        <v>44</v>
      </c>
      <c r="J90" s="8" t="n">
        <f aca="false">IF(OR(H90="",H90=0),"",H90+I90)</f>
        <v>97</v>
      </c>
      <c r="K90" s="9" t="n">
        <f aca="false">IF(J90="","",H90/J90)</f>
        <v>0.54639175257732</v>
      </c>
      <c r="L90" s="8" t="n">
        <f aca="false">IF(OR(A90=2020,A90=2024),1,0)</f>
        <v>0</v>
      </c>
    </row>
    <row r="91" customFormat="false" ht="15" hidden="false" customHeight="true" outlineLevel="0" collapsed="false">
      <c r="A91" s="8" t="n">
        <v>2020</v>
      </c>
      <c r="B91" s="8" t="s">
        <v>79</v>
      </c>
      <c r="C91" s="8" t="s">
        <v>57</v>
      </c>
      <c r="D91" s="8" t="n">
        <v>62</v>
      </c>
      <c r="E91" s="8" t="n">
        <v>91</v>
      </c>
      <c r="F91" s="8" t="n">
        <f aca="false">D91+E91</f>
        <v>153</v>
      </c>
      <c r="G91" s="9" t="n">
        <f aca="false">D91/F91</f>
        <v>0.405228758169935</v>
      </c>
      <c r="H91" s="8"/>
      <c r="I91" s="8"/>
      <c r="J91" s="8" t="str">
        <f aca="false">IF(OR(H91="",H91=0),"",H91+I91)</f>
        <v/>
      </c>
      <c r="K91" s="9" t="str">
        <f aca="false">IF(J91="","",H91/J91)</f>
        <v/>
      </c>
      <c r="L91" s="8" t="n">
        <f aca="false">IF(OR(A91=2020,A91=2024),1,0)</f>
        <v>1</v>
      </c>
    </row>
    <row r="92" customFormat="false" ht="15" hidden="false" customHeight="true" outlineLevel="0" collapsed="false">
      <c r="A92" s="8" t="n">
        <v>2022</v>
      </c>
      <c r="B92" s="8" t="s">
        <v>79</v>
      </c>
      <c r="C92" s="8" t="s">
        <v>57</v>
      </c>
      <c r="D92" s="8" t="n">
        <v>46</v>
      </c>
      <c r="E92" s="8" t="n">
        <v>54</v>
      </c>
      <c r="F92" s="8" t="n">
        <f aca="false">D92+E92</f>
        <v>100</v>
      </c>
      <c r="G92" s="9" t="n">
        <f aca="false">D92/F92</f>
        <v>0.46</v>
      </c>
      <c r="H92" s="8" t="n">
        <v>49</v>
      </c>
      <c r="I92" s="8" t="n">
        <v>48</v>
      </c>
      <c r="J92" s="8" t="n">
        <f aca="false">IF(OR(H92="",H92=0),"",H92+I92)</f>
        <v>97</v>
      </c>
      <c r="K92" s="9" t="n">
        <f aca="false">IF(J92="","",H92/J92)</f>
        <v>0.505154639175258</v>
      </c>
      <c r="L92" s="8" t="n">
        <f aca="false">IF(OR(A92=2020,A92=2024),1,0)</f>
        <v>0</v>
      </c>
    </row>
    <row r="93" customFormat="false" ht="15" hidden="false" customHeight="true" outlineLevel="0" collapsed="false">
      <c r="A93" s="8" t="n">
        <v>2024</v>
      </c>
      <c r="B93" s="8" t="s">
        <v>79</v>
      </c>
      <c r="C93" s="8" t="s">
        <v>57</v>
      </c>
      <c r="D93" s="8" t="n">
        <v>58</v>
      </c>
      <c r="E93" s="8" t="n">
        <v>105</v>
      </c>
      <c r="F93" s="8" t="n">
        <f aca="false">D93+E93</f>
        <v>163</v>
      </c>
      <c r="G93" s="9" t="n">
        <f aca="false">D93/F93</f>
        <v>0.355828220858896</v>
      </c>
      <c r="H93" s="8"/>
      <c r="I93" s="8"/>
      <c r="J93" s="8" t="str">
        <f aca="false">IF(OR(H93="",H93=0),"",H93+I93)</f>
        <v/>
      </c>
      <c r="K93" s="9" t="str">
        <f aca="false">IF(J93="","",H93/J93)</f>
        <v/>
      </c>
      <c r="L93" s="8" t="n">
        <f aca="false">IF(OR(A93=2020,A93=2024),1,0)</f>
        <v>1</v>
      </c>
    </row>
    <row r="94" customFormat="false" ht="15" hidden="false" customHeight="true" outlineLevel="0" collapsed="false">
      <c r="A94" s="8" t="n">
        <v>2018</v>
      </c>
      <c r="B94" s="8" t="s">
        <v>80</v>
      </c>
      <c r="C94" s="8" t="s">
        <v>81</v>
      </c>
      <c r="D94" s="8" t="n">
        <v>454</v>
      </c>
      <c r="E94" s="8" t="n">
        <v>406</v>
      </c>
      <c r="F94" s="8" t="n">
        <f aca="false">D94+E94</f>
        <v>860</v>
      </c>
      <c r="G94" s="9" t="n">
        <f aca="false">D94/F94</f>
        <v>0.527906976744186</v>
      </c>
      <c r="H94" s="8" t="n">
        <v>519</v>
      </c>
      <c r="I94" s="8" t="n">
        <v>356</v>
      </c>
      <c r="J94" s="8" t="n">
        <f aca="false">IF(OR(H94="",H94=0),"",H94+I94)</f>
        <v>875</v>
      </c>
      <c r="K94" s="9" t="n">
        <f aca="false">IF(J94="","",H94/J94)</f>
        <v>0.593142857142857</v>
      </c>
      <c r="L94" s="8" t="n">
        <f aca="false">IF(OR(A94=2020,A94=2024),1,0)</f>
        <v>0</v>
      </c>
    </row>
    <row r="95" customFormat="false" ht="15" hidden="false" customHeight="true" outlineLevel="0" collapsed="false">
      <c r="A95" s="8" t="n">
        <v>2020</v>
      </c>
      <c r="B95" s="8" t="s">
        <v>80</v>
      </c>
      <c r="C95" s="8" t="s">
        <v>81</v>
      </c>
      <c r="D95" s="8" t="n">
        <v>644</v>
      </c>
      <c r="E95" s="8" t="n">
        <v>735</v>
      </c>
      <c r="F95" s="8" t="n">
        <f aca="false">D95+E95</f>
        <v>1379</v>
      </c>
      <c r="G95" s="9" t="n">
        <f aca="false">D95/F95</f>
        <v>0.467005076142132</v>
      </c>
      <c r="H95" s="8"/>
      <c r="I95" s="8"/>
      <c r="J95" s="8" t="str">
        <f aca="false">IF(OR(H95="",H95=0),"",H95+I95)</f>
        <v/>
      </c>
      <c r="K95" s="9" t="str">
        <f aca="false">IF(J95="","",H95/J95)</f>
        <v/>
      </c>
      <c r="L95" s="8" t="n">
        <f aca="false">IF(OR(A95=2020,A95=2024),1,0)</f>
        <v>1</v>
      </c>
    </row>
    <row r="96" customFormat="false" ht="15" hidden="false" customHeight="true" outlineLevel="0" collapsed="false">
      <c r="A96" s="8" t="n">
        <v>2022</v>
      </c>
      <c r="B96" s="8" t="s">
        <v>80</v>
      </c>
      <c r="C96" s="8" t="s">
        <v>81</v>
      </c>
      <c r="D96" s="8" t="n">
        <v>494</v>
      </c>
      <c r="E96" s="8" t="n">
        <v>519</v>
      </c>
      <c r="F96" s="8" t="n">
        <f aca="false">D96+E96</f>
        <v>1013</v>
      </c>
      <c r="G96" s="9" t="n">
        <f aca="false">D96/F96</f>
        <v>0.487660414610069</v>
      </c>
      <c r="H96" s="8" t="n">
        <v>539</v>
      </c>
      <c r="I96" s="8" t="n">
        <v>447</v>
      </c>
      <c r="J96" s="8" t="n">
        <f aca="false">IF(OR(H96="",H96=0),"",H96+I96)</f>
        <v>986</v>
      </c>
      <c r="K96" s="9" t="n">
        <f aca="false">IF(J96="","",H96/J96)</f>
        <v>0.546653144016227</v>
      </c>
      <c r="L96" s="8" t="n">
        <f aca="false">IF(OR(A96=2020,A96=2024),1,0)</f>
        <v>0</v>
      </c>
    </row>
    <row r="97" customFormat="false" ht="15" hidden="false" customHeight="true" outlineLevel="0" collapsed="false">
      <c r="A97" s="8" t="n">
        <v>2024</v>
      </c>
      <c r="B97" s="8" t="s">
        <v>80</v>
      </c>
      <c r="C97" s="8" t="s">
        <v>81</v>
      </c>
      <c r="D97" s="8" t="n">
        <v>601</v>
      </c>
      <c r="E97" s="8" t="n">
        <v>766</v>
      </c>
      <c r="F97" s="8" t="n">
        <f aca="false">D97+E97</f>
        <v>1367</v>
      </c>
      <c r="G97" s="9" t="n">
        <f aca="false">D97/F97</f>
        <v>0.439648866130212</v>
      </c>
      <c r="H97" s="8"/>
      <c r="I97" s="8"/>
      <c r="J97" s="8" t="str">
        <f aca="false">IF(OR(H97="",H97=0),"",H97+I97)</f>
        <v/>
      </c>
      <c r="K97" s="9" t="str">
        <f aca="false">IF(J97="","",H97/J97)</f>
        <v/>
      </c>
      <c r="L97" s="8" t="n">
        <f aca="false">IF(OR(A97=2020,A97=2024),1,0)</f>
        <v>1</v>
      </c>
    </row>
    <row r="98" customFormat="false" ht="15" hidden="false" customHeight="true" outlineLevel="0" collapsed="false">
      <c r="A98" s="8" t="n">
        <v>2018</v>
      </c>
      <c r="B98" s="8" t="s">
        <v>82</v>
      </c>
      <c r="C98" s="8" t="s">
        <v>81</v>
      </c>
      <c r="D98" s="8" t="n">
        <v>19919</v>
      </c>
      <c r="E98" s="8" t="n">
        <v>7341</v>
      </c>
      <c r="F98" s="8" t="n">
        <f aca="false">D98+E98</f>
        <v>27260</v>
      </c>
      <c r="G98" s="9" t="n">
        <f aca="false">D98/F98</f>
        <v>0.73070432868672</v>
      </c>
      <c r="H98" s="8" t="n">
        <v>21066</v>
      </c>
      <c r="I98" s="8" t="n">
        <v>6512</v>
      </c>
      <c r="J98" s="8" t="n">
        <f aca="false">IF(OR(H98="",H98=0),"",H98+I98)</f>
        <v>27578</v>
      </c>
      <c r="K98" s="9" t="n">
        <f aca="false">IF(J98="","",H98/J98)</f>
        <v>0.763869751250997</v>
      </c>
      <c r="L98" s="8" t="n">
        <f aca="false">IF(OR(A98=2020,A98=2024),1,0)</f>
        <v>0</v>
      </c>
    </row>
    <row r="99" customFormat="false" ht="15" hidden="false" customHeight="true" outlineLevel="0" collapsed="false">
      <c r="A99" s="8" t="n">
        <v>2020</v>
      </c>
      <c r="B99" s="8" t="s">
        <v>82</v>
      </c>
      <c r="C99" s="8" t="s">
        <v>81</v>
      </c>
      <c r="D99" s="8" t="n">
        <v>27952</v>
      </c>
      <c r="E99" s="8" t="n">
        <v>12938</v>
      </c>
      <c r="F99" s="8" t="n">
        <f aca="false">D99+E99</f>
        <v>40890</v>
      </c>
      <c r="G99" s="9" t="n">
        <f aca="false">D99/F99</f>
        <v>0.6835901198337</v>
      </c>
      <c r="H99" s="8"/>
      <c r="I99" s="8"/>
      <c r="J99" s="8" t="str">
        <f aca="false">IF(OR(H99="",H99=0),"",H99+I99)</f>
        <v/>
      </c>
      <c r="K99" s="9" t="str">
        <f aca="false">IF(J99="","",H99/J99)</f>
        <v/>
      </c>
      <c r="L99" s="8" t="n">
        <f aca="false">IF(OR(A99=2020,A99=2024),1,0)</f>
        <v>1</v>
      </c>
    </row>
    <row r="100" customFormat="false" ht="15" hidden="false" customHeight="true" outlineLevel="0" collapsed="false">
      <c r="A100" s="8" t="n">
        <v>2022</v>
      </c>
      <c r="B100" s="8" t="s">
        <v>82</v>
      </c>
      <c r="C100" s="8" t="s">
        <v>81</v>
      </c>
      <c r="D100" s="8" t="n">
        <v>16965</v>
      </c>
      <c r="E100" s="8" t="n">
        <v>7936</v>
      </c>
      <c r="F100" s="8" t="n">
        <f aca="false">D100+E100</f>
        <v>24901</v>
      </c>
      <c r="G100" s="9" t="n">
        <f aca="false">D100/F100</f>
        <v>0.681297939841773</v>
      </c>
      <c r="H100" s="8" t="n">
        <v>17605</v>
      </c>
      <c r="I100" s="8" t="n">
        <v>6760</v>
      </c>
      <c r="J100" s="8" t="n">
        <f aca="false">IF(OR(H100="",H100=0),"",H100+I100)</f>
        <v>24365</v>
      </c>
      <c r="K100" s="9" t="n">
        <f aca="false">IF(J100="","",H100/J100)</f>
        <v>0.722552842191668</v>
      </c>
      <c r="L100" s="8" t="n">
        <f aca="false">IF(OR(A100=2020,A100=2024),1,0)</f>
        <v>0</v>
      </c>
    </row>
    <row r="101" customFormat="false" ht="15" hidden="false" customHeight="true" outlineLevel="0" collapsed="false">
      <c r="A101" s="8" t="n">
        <v>2024</v>
      </c>
      <c r="B101" s="8" t="s">
        <v>82</v>
      </c>
      <c r="C101" s="8" t="s">
        <v>81</v>
      </c>
      <c r="D101" s="8" t="n">
        <v>26568</v>
      </c>
      <c r="E101" s="8" t="n">
        <v>14583</v>
      </c>
      <c r="F101" s="8" t="n">
        <f aca="false">D101+E101</f>
        <v>41151</v>
      </c>
      <c r="G101" s="9" t="n">
        <f aca="false">D101/F101</f>
        <v>0.645622220602172</v>
      </c>
      <c r="H101" s="8"/>
      <c r="I101" s="8"/>
      <c r="J101" s="8" t="str">
        <f aca="false">IF(OR(H101="",H101=0),"",H101+I101)</f>
        <v/>
      </c>
      <c r="K101" s="9" t="str">
        <f aca="false">IF(J101="","",H101/J101)</f>
        <v/>
      </c>
      <c r="L101" s="8" t="n">
        <f aca="false">IF(OR(A101=2020,A101=2024),1,0)</f>
        <v>1</v>
      </c>
    </row>
    <row r="102" customFormat="false" ht="15" hidden="false" customHeight="true" outlineLevel="0" collapsed="false">
      <c r="A102" s="8" t="n">
        <v>2018</v>
      </c>
      <c r="B102" s="8" t="s">
        <v>83</v>
      </c>
      <c r="C102" s="8" t="s">
        <v>81</v>
      </c>
      <c r="D102" s="8" t="n">
        <v>4700</v>
      </c>
      <c r="E102" s="8" t="n">
        <v>2300</v>
      </c>
      <c r="F102" s="8" t="n">
        <f aca="false">D102+E102</f>
        <v>7000</v>
      </c>
      <c r="G102" s="9" t="n">
        <f aca="false">D102/F102</f>
        <v>0.671428571428571</v>
      </c>
      <c r="H102" s="8" t="n">
        <v>5072</v>
      </c>
      <c r="I102" s="8" t="n">
        <v>2132</v>
      </c>
      <c r="J102" s="8" t="n">
        <f aca="false">IF(OR(H102="",H102=0),"",H102+I102)</f>
        <v>7204</v>
      </c>
      <c r="K102" s="9" t="n">
        <f aca="false">IF(J102="","",H102/J102)</f>
        <v>0.704053303720156</v>
      </c>
      <c r="L102" s="8" t="n">
        <f aca="false">IF(OR(A102=2020,A102=2024),1,0)</f>
        <v>0</v>
      </c>
    </row>
    <row r="103" customFormat="false" ht="15" hidden="false" customHeight="true" outlineLevel="0" collapsed="false">
      <c r="A103" s="8" t="n">
        <v>2020</v>
      </c>
      <c r="B103" s="8" t="s">
        <v>83</v>
      </c>
      <c r="C103" s="8" t="s">
        <v>81</v>
      </c>
      <c r="D103" s="8" t="n">
        <v>6475</v>
      </c>
      <c r="E103" s="8" t="n">
        <v>3784</v>
      </c>
      <c r="F103" s="8" t="n">
        <f aca="false">D103+E103</f>
        <v>10259</v>
      </c>
      <c r="G103" s="9" t="n">
        <f aca="false">D103/F103</f>
        <v>0.631153133833707</v>
      </c>
      <c r="H103" s="8"/>
      <c r="I103" s="8"/>
      <c r="J103" s="8" t="str">
        <f aca="false">IF(OR(H103="",H103=0),"",H103+I103)</f>
        <v/>
      </c>
      <c r="K103" s="9" t="str">
        <f aca="false">IF(J103="","",H103/J103)</f>
        <v/>
      </c>
      <c r="L103" s="8" t="n">
        <f aca="false">IF(OR(A103=2020,A103=2024),1,0)</f>
        <v>1</v>
      </c>
    </row>
    <row r="104" customFormat="false" ht="15" hidden="false" customHeight="true" outlineLevel="0" collapsed="false">
      <c r="A104" s="8" t="n">
        <v>2022</v>
      </c>
      <c r="B104" s="8" t="s">
        <v>83</v>
      </c>
      <c r="C104" s="8" t="s">
        <v>81</v>
      </c>
      <c r="D104" s="8" t="n">
        <v>5186</v>
      </c>
      <c r="E104" s="8" t="n">
        <v>2705</v>
      </c>
      <c r="F104" s="8" t="n">
        <f aca="false">D104+E104</f>
        <v>7891</v>
      </c>
      <c r="G104" s="9" t="n">
        <f aca="false">D104/F104</f>
        <v>0.657204410087441</v>
      </c>
      <c r="H104" s="8" t="n">
        <v>5445</v>
      </c>
      <c r="I104" s="8" t="n">
        <v>2279</v>
      </c>
      <c r="J104" s="8" t="n">
        <f aca="false">IF(OR(H104="",H104=0),"",H104+I104)</f>
        <v>7724</v>
      </c>
      <c r="K104" s="9" t="n">
        <f aca="false">IF(J104="","",H104/J104)</f>
        <v>0.704945624029001</v>
      </c>
      <c r="L104" s="8" t="n">
        <f aca="false">IF(OR(A104=2020,A104=2024),1,0)</f>
        <v>0</v>
      </c>
    </row>
    <row r="105" customFormat="false" ht="15" hidden="false" customHeight="true" outlineLevel="0" collapsed="false">
      <c r="A105" s="8" t="n">
        <v>2024</v>
      </c>
      <c r="B105" s="8" t="s">
        <v>83</v>
      </c>
      <c r="C105" s="8" t="s">
        <v>81</v>
      </c>
      <c r="D105" s="8" t="n">
        <v>6612</v>
      </c>
      <c r="E105" s="8" t="n">
        <v>3834</v>
      </c>
      <c r="F105" s="8" t="n">
        <f aca="false">D105+E105</f>
        <v>10446</v>
      </c>
      <c r="G105" s="9" t="n">
        <f aca="false">D105/F105</f>
        <v>0.632969557725445</v>
      </c>
      <c r="H105" s="8"/>
      <c r="I105" s="8"/>
      <c r="J105" s="8" t="str">
        <f aca="false">IF(OR(H105="",H105=0),"",H105+I105)</f>
        <v/>
      </c>
      <c r="K105" s="9" t="str">
        <f aca="false">IF(J105="","",H105/J105)</f>
        <v/>
      </c>
      <c r="L105" s="8" t="n">
        <f aca="false">IF(OR(A105=2020,A105=2024),1,0)</f>
        <v>1</v>
      </c>
    </row>
    <row r="106" customFormat="false" ht="15" hidden="false" customHeight="true" outlineLevel="0" collapsed="false">
      <c r="A106" s="8" t="n">
        <v>2018</v>
      </c>
      <c r="B106" s="8" t="s">
        <v>84</v>
      </c>
      <c r="C106" s="8" t="s">
        <v>81</v>
      </c>
      <c r="D106" s="8" t="n">
        <v>1137</v>
      </c>
      <c r="E106" s="8" t="n">
        <v>821</v>
      </c>
      <c r="F106" s="8" t="n">
        <f aca="false">D106+E106</f>
        <v>1958</v>
      </c>
      <c r="G106" s="9" t="n">
        <f aca="false">D106/F106</f>
        <v>0.580694586312564</v>
      </c>
      <c r="H106" s="8" t="n">
        <v>1266</v>
      </c>
      <c r="I106" s="8" t="n">
        <v>733</v>
      </c>
      <c r="J106" s="8" t="n">
        <f aca="false">IF(OR(H106="",H106=0),"",H106+I106)</f>
        <v>1999</v>
      </c>
      <c r="K106" s="9" t="n">
        <f aca="false">IF(J106="","",H106/J106)</f>
        <v>0.633316658329165</v>
      </c>
      <c r="L106" s="8" t="n">
        <f aca="false">IF(OR(A106=2020,A106=2024),1,0)</f>
        <v>0</v>
      </c>
    </row>
    <row r="107" customFormat="false" ht="15" hidden="false" customHeight="true" outlineLevel="0" collapsed="false">
      <c r="A107" s="8" t="n">
        <v>2020</v>
      </c>
      <c r="B107" s="8" t="s">
        <v>84</v>
      </c>
      <c r="C107" s="8" t="s">
        <v>81</v>
      </c>
      <c r="D107" s="8" t="n">
        <v>1582</v>
      </c>
      <c r="E107" s="8" t="n">
        <v>1496</v>
      </c>
      <c r="F107" s="8" t="n">
        <f aca="false">D107+E107</f>
        <v>3078</v>
      </c>
      <c r="G107" s="9" t="n">
        <f aca="false">D107/F107</f>
        <v>0.513970110461339</v>
      </c>
      <c r="H107" s="8"/>
      <c r="I107" s="8"/>
      <c r="J107" s="8" t="str">
        <f aca="false">IF(OR(H107="",H107=0),"",H107+I107)</f>
        <v/>
      </c>
      <c r="K107" s="9" t="str">
        <f aca="false">IF(J107="","",H107/J107)</f>
        <v/>
      </c>
      <c r="L107" s="8" t="n">
        <f aca="false">IF(OR(A107=2020,A107=2024),1,0)</f>
        <v>1</v>
      </c>
    </row>
    <row r="108" customFormat="false" ht="15" hidden="false" customHeight="true" outlineLevel="0" collapsed="false">
      <c r="A108" s="8" t="n">
        <v>2022</v>
      </c>
      <c r="B108" s="8" t="s">
        <v>84</v>
      </c>
      <c r="C108" s="8" t="s">
        <v>81</v>
      </c>
      <c r="D108" s="8" t="n">
        <v>1135</v>
      </c>
      <c r="E108" s="8" t="n">
        <v>975</v>
      </c>
      <c r="F108" s="8" t="n">
        <f aca="false">D108+E108</f>
        <v>2110</v>
      </c>
      <c r="G108" s="9" t="n">
        <f aca="false">D108/F108</f>
        <v>0.537914691943128</v>
      </c>
      <c r="H108" s="8" t="n">
        <v>1235</v>
      </c>
      <c r="I108" s="8" t="n">
        <v>827</v>
      </c>
      <c r="J108" s="8" t="n">
        <f aca="false">IF(OR(H108="",H108=0),"",H108+I108)</f>
        <v>2062</v>
      </c>
      <c r="K108" s="9" t="n">
        <f aca="false">IF(J108="","",H108/J108)</f>
        <v>0.598933074684772</v>
      </c>
      <c r="L108" s="8" t="n">
        <f aca="false">IF(OR(A108=2020,A108=2024),1,0)</f>
        <v>0</v>
      </c>
    </row>
    <row r="109" customFormat="false" ht="15" hidden="false" customHeight="true" outlineLevel="0" collapsed="false">
      <c r="A109" s="8" t="n">
        <v>2024</v>
      </c>
      <c r="B109" s="8" t="s">
        <v>84</v>
      </c>
      <c r="C109" s="8" t="s">
        <v>81</v>
      </c>
      <c r="D109" s="8" t="n">
        <v>1560</v>
      </c>
      <c r="E109" s="8" t="n">
        <v>1491</v>
      </c>
      <c r="F109" s="8" t="n">
        <f aca="false">D109+E109</f>
        <v>3051</v>
      </c>
      <c r="G109" s="9" t="n">
        <f aca="false">D109/F109</f>
        <v>0.511307767944936</v>
      </c>
      <c r="H109" s="8"/>
      <c r="I109" s="8"/>
      <c r="J109" s="8" t="str">
        <f aca="false">IF(OR(H109="",H109=0),"",H109+I109)</f>
        <v/>
      </c>
      <c r="K109" s="9" t="str">
        <f aca="false">IF(J109="","",H109/J109)</f>
        <v/>
      </c>
      <c r="L109" s="8" t="n">
        <f aca="false">IF(OR(A109=2020,A109=2024),1,0)</f>
        <v>1</v>
      </c>
    </row>
    <row r="110" customFormat="false" ht="15" hidden="false" customHeight="true" outlineLevel="0" collapsed="false">
      <c r="A110" s="8" t="n">
        <v>2018</v>
      </c>
      <c r="B110" s="8" t="s">
        <v>85</v>
      </c>
      <c r="C110" s="8" t="s">
        <v>81</v>
      </c>
      <c r="D110" s="8" t="n">
        <v>513</v>
      </c>
      <c r="E110" s="8" t="n">
        <v>446</v>
      </c>
      <c r="F110" s="8" t="n">
        <f aca="false">D110+E110</f>
        <v>959</v>
      </c>
      <c r="G110" s="9" t="n">
        <f aca="false">D110/F110</f>
        <v>0.534932221063608</v>
      </c>
      <c r="H110" s="8" t="n">
        <v>583</v>
      </c>
      <c r="I110" s="8" t="n">
        <v>403</v>
      </c>
      <c r="J110" s="8" t="n">
        <f aca="false">IF(OR(H110="",H110=0),"",H110+I110)</f>
        <v>986</v>
      </c>
      <c r="K110" s="9" t="n">
        <f aca="false">IF(J110="","",H110/J110)</f>
        <v>0.591277890466532</v>
      </c>
      <c r="L110" s="8" t="n">
        <f aca="false">IF(OR(A110=2020,A110=2024),1,0)</f>
        <v>0</v>
      </c>
    </row>
    <row r="111" customFormat="false" ht="15" hidden="false" customHeight="true" outlineLevel="0" collapsed="false">
      <c r="A111" s="8" t="n">
        <v>2020</v>
      </c>
      <c r="B111" s="8" t="s">
        <v>85</v>
      </c>
      <c r="C111" s="8" t="s">
        <v>81</v>
      </c>
      <c r="D111" s="8" t="n">
        <v>704</v>
      </c>
      <c r="E111" s="8" t="n">
        <v>791</v>
      </c>
      <c r="F111" s="8" t="n">
        <f aca="false">D111+E111</f>
        <v>1495</v>
      </c>
      <c r="G111" s="9" t="n">
        <f aca="false">D111/F111</f>
        <v>0.470903010033445</v>
      </c>
      <c r="H111" s="8"/>
      <c r="I111" s="8"/>
      <c r="J111" s="8" t="str">
        <f aca="false">IF(OR(H111="",H111=0),"",H111+I111)</f>
        <v/>
      </c>
      <c r="K111" s="9" t="str">
        <f aca="false">IF(J111="","",H111/J111)</f>
        <v/>
      </c>
      <c r="L111" s="8" t="n">
        <f aca="false">IF(OR(A111=2020,A111=2024),1,0)</f>
        <v>1</v>
      </c>
    </row>
    <row r="112" customFormat="false" ht="15" hidden="false" customHeight="true" outlineLevel="0" collapsed="false">
      <c r="A112" s="8" t="n">
        <v>2022</v>
      </c>
      <c r="B112" s="8" t="s">
        <v>85</v>
      </c>
      <c r="C112" s="8" t="s">
        <v>81</v>
      </c>
      <c r="D112" s="8" t="n">
        <v>621</v>
      </c>
      <c r="E112" s="8" t="n">
        <v>598</v>
      </c>
      <c r="F112" s="8" t="n">
        <f aca="false">D112+E112</f>
        <v>1219</v>
      </c>
      <c r="G112" s="9" t="n">
        <f aca="false">D112/F112</f>
        <v>0.509433962264151</v>
      </c>
      <c r="H112" s="8" t="n">
        <v>673</v>
      </c>
      <c r="I112" s="8" t="n">
        <v>516</v>
      </c>
      <c r="J112" s="8" t="n">
        <f aca="false">IF(OR(H112="",H112=0),"",H112+I112)</f>
        <v>1189</v>
      </c>
      <c r="K112" s="9" t="n">
        <f aca="false">IF(J112="","",H112/J112)</f>
        <v>0.566021867115223</v>
      </c>
      <c r="L112" s="8" t="n">
        <f aca="false">IF(OR(A112=2020,A112=2024),1,0)</f>
        <v>0</v>
      </c>
    </row>
    <row r="113" customFormat="false" ht="15" hidden="false" customHeight="true" outlineLevel="0" collapsed="false">
      <c r="A113" s="8" t="n">
        <v>2024</v>
      </c>
      <c r="B113" s="8" t="s">
        <v>85</v>
      </c>
      <c r="C113" s="8" t="s">
        <v>81</v>
      </c>
      <c r="D113" s="8" t="n">
        <v>735</v>
      </c>
      <c r="E113" s="8" t="n">
        <v>804</v>
      </c>
      <c r="F113" s="8" t="n">
        <f aca="false">D113+E113</f>
        <v>1539</v>
      </c>
      <c r="G113" s="9" t="n">
        <f aca="false">D113/F113</f>
        <v>0.477582846003899</v>
      </c>
      <c r="H113" s="8"/>
      <c r="I113" s="8"/>
      <c r="J113" s="8" t="str">
        <f aca="false">IF(OR(H113="",H113=0),"",H113+I113)</f>
        <v/>
      </c>
      <c r="K113" s="9" t="str">
        <f aca="false">IF(J113="","",H113/J113)</f>
        <v/>
      </c>
      <c r="L113" s="8" t="n">
        <f aca="false">IF(OR(A113=2020,A113=2024),1,0)</f>
        <v>1</v>
      </c>
    </row>
    <row r="114" customFormat="false" ht="15" hidden="false" customHeight="true" outlineLevel="0" collapsed="false">
      <c r="A114" s="8" t="n">
        <v>2018</v>
      </c>
      <c r="B114" s="8" t="s">
        <v>86</v>
      </c>
      <c r="C114" s="8" t="s">
        <v>81</v>
      </c>
      <c r="D114" s="8" t="n">
        <v>660</v>
      </c>
      <c r="E114" s="8" t="n">
        <v>515</v>
      </c>
      <c r="F114" s="8" t="n">
        <f aca="false">D114+E114</f>
        <v>1175</v>
      </c>
      <c r="G114" s="9" t="n">
        <f aca="false">D114/F114</f>
        <v>0.561702127659575</v>
      </c>
      <c r="H114" s="8" t="n">
        <v>732</v>
      </c>
      <c r="I114" s="8" t="n">
        <v>470</v>
      </c>
      <c r="J114" s="8" t="n">
        <f aca="false">IF(OR(H114="",H114=0),"",H114+I114)</f>
        <v>1202</v>
      </c>
      <c r="K114" s="9" t="n">
        <f aca="false">IF(J114="","",H114/J114)</f>
        <v>0.608985024958403</v>
      </c>
      <c r="L114" s="8" t="n">
        <f aca="false">IF(OR(A114=2020,A114=2024),1,0)</f>
        <v>0</v>
      </c>
    </row>
    <row r="115" customFormat="false" ht="15" hidden="false" customHeight="true" outlineLevel="0" collapsed="false">
      <c r="A115" s="8" t="n">
        <v>2020</v>
      </c>
      <c r="B115" s="8" t="s">
        <v>86</v>
      </c>
      <c r="C115" s="8" t="s">
        <v>81</v>
      </c>
      <c r="D115" s="8" t="n">
        <v>878</v>
      </c>
      <c r="E115" s="8" t="n">
        <v>870</v>
      </c>
      <c r="F115" s="8" t="n">
        <f aca="false">D115+E115</f>
        <v>1748</v>
      </c>
      <c r="G115" s="9" t="n">
        <f aca="false">D115/F115</f>
        <v>0.502288329519451</v>
      </c>
      <c r="H115" s="8"/>
      <c r="I115" s="8"/>
      <c r="J115" s="8" t="str">
        <f aca="false">IF(OR(H115="",H115=0),"",H115+I115)</f>
        <v/>
      </c>
      <c r="K115" s="9" t="str">
        <f aca="false">IF(J115="","",H115/J115)</f>
        <v/>
      </c>
      <c r="L115" s="8" t="n">
        <f aca="false">IF(OR(A115=2020,A115=2024),1,0)</f>
        <v>1</v>
      </c>
    </row>
    <row r="116" customFormat="false" ht="15" hidden="false" customHeight="true" outlineLevel="0" collapsed="false">
      <c r="A116" s="8" t="n">
        <v>2022</v>
      </c>
      <c r="B116" s="8" t="s">
        <v>86</v>
      </c>
      <c r="C116" s="8" t="s">
        <v>81</v>
      </c>
      <c r="D116" s="8" t="n">
        <v>691</v>
      </c>
      <c r="E116" s="8" t="n">
        <v>606</v>
      </c>
      <c r="F116" s="8" t="n">
        <f aca="false">D116+E116</f>
        <v>1297</v>
      </c>
      <c r="G116" s="9" t="n">
        <f aca="false">D116/F116</f>
        <v>0.532767925983038</v>
      </c>
      <c r="H116" s="8" t="n">
        <v>743</v>
      </c>
      <c r="I116" s="8" t="n">
        <v>528</v>
      </c>
      <c r="J116" s="8" t="n">
        <f aca="false">IF(OR(H116="",H116=0),"",H116+I116)</f>
        <v>1271</v>
      </c>
      <c r="K116" s="9" t="n">
        <f aca="false">IF(J116="","",H116/J116)</f>
        <v>0.584579071597168</v>
      </c>
      <c r="L116" s="8" t="n">
        <f aca="false">IF(OR(A116=2020,A116=2024),1,0)</f>
        <v>0</v>
      </c>
    </row>
    <row r="117" customFormat="false" ht="15" hidden="false" customHeight="true" outlineLevel="0" collapsed="false">
      <c r="A117" s="8" t="n">
        <v>2024</v>
      </c>
      <c r="B117" s="8" t="s">
        <v>86</v>
      </c>
      <c r="C117" s="8" t="s">
        <v>81</v>
      </c>
      <c r="D117" s="8" t="n">
        <v>899</v>
      </c>
      <c r="E117" s="8" t="n">
        <v>898</v>
      </c>
      <c r="F117" s="8" t="n">
        <f aca="false">D117+E117</f>
        <v>1797</v>
      </c>
      <c r="G117" s="9" t="n">
        <f aca="false">D117/F117</f>
        <v>0.500278241513634</v>
      </c>
      <c r="H117" s="8"/>
      <c r="I117" s="8"/>
      <c r="J117" s="8" t="str">
        <f aca="false">IF(OR(H117="",H117=0),"",H117+I117)</f>
        <v/>
      </c>
      <c r="K117" s="9" t="str">
        <f aca="false">IF(J117="","",H117/J117)</f>
        <v/>
      </c>
      <c r="L117" s="8" t="n">
        <f aca="false">IF(OR(A117=2020,A117=2024),1,0)</f>
        <v>1</v>
      </c>
    </row>
    <row r="118" customFormat="false" ht="15" hidden="false" customHeight="true" outlineLevel="0" collapsed="false">
      <c r="A118" s="8" t="n">
        <v>2018</v>
      </c>
      <c r="B118" s="8" t="s">
        <v>87</v>
      </c>
      <c r="C118" s="8" t="s">
        <v>81</v>
      </c>
      <c r="D118" s="8" t="n">
        <v>2434</v>
      </c>
      <c r="E118" s="8" t="n">
        <v>1955</v>
      </c>
      <c r="F118" s="8" t="n">
        <f aca="false">D118+E118</f>
        <v>4389</v>
      </c>
      <c r="G118" s="9" t="n">
        <f aca="false">D118/F118</f>
        <v>0.554568238778765</v>
      </c>
      <c r="H118" s="8" t="n">
        <v>2687</v>
      </c>
      <c r="I118" s="8" t="n">
        <v>1769</v>
      </c>
      <c r="J118" s="8" t="n">
        <f aca="false">IF(OR(H118="",H118=0),"",H118+I118)</f>
        <v>4456</v>
      </c>
      <c r="K118" s="9" t="n">
        <f aca="false">IF(J118="","",H118/J118)</f>
        <v>0.603007181328546</v>
      </c>
      <c r="L118" s="8" t="n">
        <f aca="false">IF(OR(A118=2020,A118=2024),1,0)</f>
        <v>0</v>
      </c>
    </row>
    <row r="119" customFormat="false" ht="15" hidden="false" customHeight="true" outlineLevel="0" collapsed="false">
      <c r="A119" s="8" t="n">
        <v>2020</v>
      </c>
      <c r="B119" s="8" t="s">
        <v>87</v>
      </c>
      <c r="C119" s="8" t="s">
        <v>81</v>
      </c>
      <c r="D119" s="8" t="n">
        <v>3393</v>
      </c>
      <c r="E119" s="8" t="n">
        <v>3078</v>
      </c>
      <c r="F119" s="8" t="n">
        <f aca="false">D119+E119</f>
        <v>6471</v>
      </c>
      <c r="G119" s="9" t="n">
        <f aca="false">D119/F119</f>
        <v>0.524339360222531</v>
      </c>
      <c r="H119" s="8"/>
      <c r="I119" s="8"/>
      <c r="J119" s="8" t="str">
        <f aca="false">IF(OR(H119="",H119=0),"",H119+I119)</f>
        <v/>
      </c>
      <c r="K119" s="9" t="str">
        <f aca="false">IF(J119="","",H119/J119)</f>
        <v/>
      </c>
      <c r="L119" s="8" t="n">
        <f aca="false">IF(OR(A119=2020,A119=2024),1,0)</f>
        <v>1</v>
      </c>
    </row>
    <row r="120" customFormat="false" ht="15" hidden="false" customHeight="true" outlineLevel="0" collapsed="false">
      <c r="A120" s="8" t="n">
        <v>2022</v>
      </c>
      <c r="B120" s="8" t="s">
        <v>87</v>
      </c>
      <c r="C120" s="8" t="s">
        <v>81</v>
      </c>
      <c r="D120" s="8" t="n">
        <v>2834</v>
      </c>
      <c r="E120" s="8" t="n">
        <v>2250</v>
      </c>
      <c r="F120" s="8" t="n">
        <f aca="false">D120+E120</f>
        <v>5084</v>
      </c>
      <c r="G120" s="9" t="n">
        <f aca="false">D120/F120</f>
        <v>0.557435090479937</v>
      </c>
      <c r="H120" s="8" t="n">
        <v>3045</v>
      </c>
      <c r="I120" s="8" t="n">
        <v>1925</v>
      </c>
      <c r="J120" s="8" t="n">
        <f aca="false">IF(OR(H120="",H120=0),"",H120+I120)</f>
        <v>4970</v>
      </c>
      <c r="K120" s="9" t="n">
        <f aca="false">IF(J120="","",H120/J120)</f>
        <v>0.612676056338028</v>
      </c>
      <c r="L120" s="8" t="n">
        <f aca="false">IF(OR(A120=2020,A120=2024),1,0)</f>
        <v>0</v>
      </c>
    </row>
    <row r="121" customFormat="false" ht="15" hidden="false" customHeight="true" outlineLevel="0" collapsed="false">
      <c r="A121" s="8" t="n">
        <v>2024</v>
      </c>
      <c r="B121" s="8" t="s">
        <v>87</v>
      </c>
      <c r="C121" s="8" t="s">
        <v>81</v>
      </c>
      <c r="D121" s="8" t="n">
        <v>3663</v>
      </c>
      <c r="E121" s="8" t="n">
        <v>3236</v>
      </c>
      <c r="F121" s="8" t="n">
        <f aca="false">D121+E121</f>
        <v>6899</v>
      </c>
      <c r="G121" s="9" t="n">
        <f aca="false">D121/F121</f>
        <v>0.530946513987535</v>
      </c>
      <c r="H121" s="8"/>
      <c r="I121" s="8"/>
      <c r="J121" s="8" t="str">
        <f aca="false">IF(OR(H121="",H121=0),"",H121+I121)</f>
        <v/>
      </c>
      <c r="K121" s="9" t="str">
        <f aca="false">IF(J121="","",H121/J121)</f>
        <v/>
      </c>
      <c r="L121" s="8" t="n">
        <f aca="false">IF(OR(A121=2020,A121=2024),1,0)</f>
        <v>1</v>
      </c>
    </row>
    <row r="122" customFormat="false" ht="15" hidden="false" customHeight="true" outlineLevel="0" collapsed="false">
      <c r="A122" s="8" t="n">
        <v>2018</v>
      </c>
      <c r="B122" s="8" t="s">
        <v>88</v>
      </c>
      <c r="C122" s="8" t="s">
        <v>81</v>
      </c>
      <c r="D122" s="8" t="n">
        <v>1077</v>
      </c>
      <c r="E122" s="8" t="n">
        <v>463</v>
      </c>
      <c r="F122" s="8" t="n">
        <f aca="false">D122+E122</f>
        <v>1540</v>
      </c>
      <c r="G122" s="9" t="n">
        <f aca="false">D122/F122</f>
        <v>0.699350649350649</v>
      </c>
      <c r="H122" s="8" t="n">
        <v>1149</v>
      </c>
      <c r="I122" s="8" t="n">
        <v>425</v>
      </c>
      <c r="J122" s="8" t="n">
        <f aca="false">IF(OR(H122="",H122=0),"",H122+I122)</f>
        <v>1574</v>
      </c>
      <c r="K122" s="9" t="n">
        <f aca="false">IF(J122="","",H122/J122)</f>
        <v>0.729987293519695</v>
      </c>
      <c r="L122" s="8" t="n">
        <f aca="false">IF(OR(A122=2020,A122=2024),1,0)</f>
        <v>0</v>
      </c>
    </row>
    <row r="123" customFormat="false" ht="15" hidden="false" customHeight="true" outlineLevel="0" collapsed="false">
      <c r="A123" s="8" t="n">
        <v>2020</v>
      </c>
      <c r="B123" s="8" t="s">
        <v>88</v>
      </c>
      <c r="C123" s="8" t="s">
        <v>81</v>
      </c>
      <c r="D123" s="8" t="n">
        <v>1481</v>
      </c>
      <c r="E123" s="8" t="n">
        <v>737</v>
      </c>
      <c r="F123" s="8" t="n">
        <f aca="false">D123+E123</f>
        <v>2218</v>
      </c>
      <c r="G123" s="9" t="n">
        <f aca="false">D123/F123</f>
        <v>0.667718665464382</v>
      </c>
      <c r="H123" s="8"/>
      <c r="I123" s="8"/>
      <c r="J123" s="8" t="str">
        <f aca="false">IF(OR(H123="",H123=0),"",H123+I123)</f>
        <v/>
      </c>
      <c r="K123" s="9" t="str">
        <f aca="false">IF(J123="","",H123/J123)</f>
        <v/>
      </c>
      <c r="L123" s="8" t="n">
        <f aca="false">IF(OR(A123=2020,A123=2024),1,0)</f>
        <v>1</v>
      </c>
    </row>
    <row r="124" customFormat="false" ht="15" hidden="false" customHeight="true" outlineLevel="0" collapsed="false">
      <c r="A124" s="8" t="n">
        <v>2022</v>
      </c>
      <c r="B124" s="8" t="s">
        <v>88</v>
      </c>
      <c r="C124" s="8" t="s">
        <v>81</v>
      </c>
      <c r="D124" s="8" t="n">
        <v>1070</v>
      </c>
      <c r="E124" s="8" t="n">
        <v>479</v>
      </c>
      <c r="F124" s="8" t="n">
        <f aca="false">D124+E124</f>
        <v>1549</v>
      </c>
      <c r="G124" s="9" t="n">
        <f aca="false">D124/F124</f>
        <v>0.690768237572628</v>
      </c>
      <c r="H124" s="8" t="n">
        <v>1119</v>
      </c>
      <c r="I124" s="8" t="n">
        <v>403</v>
      </c>
      <c r="J124" s="8" t="n">
        <f aca="false">IF(OR(H124="",H124=0),"",H124+I124)</f>
        <v>1522</v>
      </c>
      <c r="K124" s="9" t="n">
        <f aca="false">IF(J124="","",H124/J124)</f>
        <v>0.735216819973719</v>
      </c>
      <c r="L124" s="8" t="n">
        <f aca="false">IF(OR(A124=2020,A124=2024),1,0)</f>
        <v>0</v>
      </c>
    </row>
    <row r="125" customFormat="false" ht="15" hidden="false" customHeight="true" outlineLevel="0" collapsed="false">
      <c r="A125" s="8" t="n">
        <v>2024</v>
      </c>
      <c r="B125" s="8" t="s">
        <v>88</v>
      </c>
      <c r="C125" s="8" t="s">
        <v>81</v>
      </c>
      <c r="D125" s="8" t="n">
        <v>1433</v>
      </c>
      <c r="E125" s="8" t="n">
        <v>793</v>
      </c>
      <c r="F125" s="8" t="n">
        <f aca="false">D125+E125</f>
        <v>2226</v>
      </c>
      <c r="G125" s="9" t="n">
        <f aca="false">D125/F125</f>
        <v>0.643755615453729</v>
      </c>
      <c r="H125" s="8"/>
      <c r="I125" s="8"/>
      <c r="J125" s="8" t="str">
        <f aca="false">IF(OR(H125="",H125=0),"",H125+I125)</f>
        <v/>
      </c>
      <c r="K125" s="9" t="str">
        <f aca="false">IF(J125="","",H125/J125)</f>
        <v/>
      </c>
      <c r="L125" s="8" t="n">
        <f aca="false">IF(OR(A125=2020,A125=2024),1,0)</f>
        <v>1</v>
      </c>
    </row>
    <row r="126" customFormat="false" ht="15" hidden="false" customHeight="true" outlineLevel="0" collapsed="false">
      <c r="A126" s="8" t="n">
        <v>2018</v>
      </c>
      <c r="B126" s="8" t="s">
        <v>89</v>
      </c>
      <c r="C126" s="8" t="s">
        <v>81</v>
      </c>
      <c r="D126" s="8" t="n">
        <v>294</v>
      </c>
      <c r="E126" s="8" t="n">
        <v>198</v>
      </c>
      <c r="F126" s="8" t="n">
        <f aca="false">D126+E126</f>
        <v>492</v>
      </c>
      <c r="G126" s="9" t="n">
        <f aca="false">D126/F126</f>
        <v>0.597560975609756</v>
      </c>
      <c r="H126" s="8" t="n">
        <v>314</v>
      </c>
      <c r="I126" s="8" t="n">
        <v>177</v>
      </c>
      <c r="J126" s="8" t="n">
        <f aca="false">IF(OR(H126="",H126=0),"",H126+I126)</f>
        <v>491</v>
      </c>
      <c r="K126" s="9" t="n">
        <f aca="false">IF(J126="","",H126/J126)</f>
        <v>0.639511201629328</v>
      </c>
      <c r="L126" s="8" t="n">
        <f aca="false">IF(OR(A126=2020,A126=2024),1,0)</f>
        <v>0</v>
      </c>
    </row>
    <row r="127" customFormat="false" ht="15" hidden="false" customHeight="true" outlineLevel="0" collapsed="false">
      <c r="A127" s="8" t="n">
        <v>2020</v>
      </c>
      <c r="B127" s="8" t="s">
        <v>89</v>
      </c>
      <c r="C127" s="8" t="s">
        <v>81</v>
      </c>
      <c r="D127" s="8" t="n">
        <v>405</v>
      </c>
      <c r="E127" s="8" t="n">
        <v>304</v>
      </c>
      <c r="F127" s="8" t="n">
        <f aca="false">D127+E127</f>
        <v>709</v>
      </c>
      <c r="G127" s="9" t="n">
        <f aca="false">D127/F127</f>
        <v>0.571227080394922</v>
      </c>
      <c r="H127" s="8"/>
      <c r="I127" s="8"/>
      <c r="J127" s="8" t="str">
        <f aca="false">IF(OR(H127="",H127=0),"",H127+I127)</f>
        <v/>
      </c>
      <c r="K127" s="9" t="str">
        <f aca="false">IF(J127="","",H127/J127)</f>
        <v/>
      </c>
      <c r="L127" s="8" t="n">
        <f aca="false">IF(OR(A127=2020,A127=2024),1,0)</f>
        <v>1</v>
      </c>
    </row>
    <row r="128" customFormat="false" ht="15" hidden="false" customHeight="true" outlineLevel="0" collapsed="false">
      <c r="A128" s="8" t="n">
        <v>2022</v>
      </c>
      <c r="B128" s="8" t="s">
        <v>89</v>
      </c>
      <c r="C128" s="8" t="s">
        <v>81</v>
      </c>
      <c r="D128" s="8" t="n">
        <v>262</v>
      </c>
      <c r="E128" s="8" t="n">
        <v>205</v>
      </c>
      <c r="F128" s="8" t="n">
        <f aca="false">D128+E128</f>
        <v>467</v>
      </c>
      <c r="G128" s="9" t="n">
        <f aca="false">D128/F128</f>
        <v>0.561027837259101</v>
      </c>
      <c r="H128" s="8" t="n">
        <v>283</v>
      </c>
      <c r="I128" s="8" t="n">
        <v>175</v>
      </c>
      <c r="J128" s="8" t="n">
        <f aca="false">IF(OR(H128="",H128=0),"",H128+I128)</f>
        <v>458</v>
      </c>
      <c r="K128" s="9" t="n">
        <f aca="false">IF(J128="","",H128/J128)</f>
        <v>0.617903930131004</v>
      </c>
      <c r="L128" s="8" t="n">
        <f aca="false">IF(OR(A128=2020,A128=2024),1,0)</f>
        <v>0</v>
      </c>
    </row>
    <row r="129" customFormat="false" ht="15" hidden="false" customHeight="true" outlineLevel="0" collapsed="false">
      <c r="A129" s="8" t="n">
        <v>2024</v>
      </c>
      <c r="B129" s="8" t="s">
        <v>89</v>
      </c>
      <c r="C129" s="8" t="s">
        <v>81</v>
      </c>
      <c r="D129" s="8" t="n">
        <v>379</v>
      </c>
      <c r="E129" s="8" t="n">
        <v>330</v>
      </c>
      <c r="F129" s="8" t="n">
        <f aca="false">D129+E129</f>
        <v>709</v>
      </c>
      <c r="G129" s="9" t="n">
        <f aca="false">D129/F129</f>
        <v>0.534555712270804</v>
      </c>
      <c r="H129" s="8"/>
      <c r="I129" s="8"/>
      <c r="J129" s="8" t="str">
        <f aca="false">IF(OR(H129="",H129=0),"",H129+I129)</f>
        <v/>
      </c>
      <c r="K129" s="9" t="str">
        <f aca="false">IF(J129="","",H129/J129)</f>
        <v/>
      </c>
      <c r="L129" s="8" t="n">
        <f aca="false">IF(OR(A129=2020,A129=2024),1,0)</f>
        <v>1</v>
      </c>
    </row>
    <row r="130" customFormat="false" ht="15" hidden="false" customHeight="true" outlineLevel="0" collapsed="false">
      <c r="A130" s="8" t="n">
        <v>2018</v>
      </c>
      <c r="B130" s="8" t="s">
        <v>90</v>
      </c>
      <c r="C130" s="8" t="s">
        <v>81</v>
      </c>
      <c r="D130" s="8" t="n">
        <v>498</v>
      </c>
      <c r="E130" s="8" t="n">
        <v>876</v>
      </c>
      <c r="F130" s="8" t="n">
        <f aca="false">D130+E130</f>
        <v>1374</v>
      </c>
      <c r="G130" s="9" t="n">
        <f aca="false">D130/F130</f>
        <v>0.362445414847162</v>
      </c>
      <c r="H130" s="8" t="n">
        <v>596</v>
      </c>
      <c r="I130" s="8" t="n">
        <v>806</v>
      </c>
      <c r="J130" s="8" t="n">
        <f aca="false">IF(OR(H130="",H130=0),"",H130+I130)</f>
        <v>1402</v>
      </c>
      <c r="K130" s="9" t="n">
        <f aca="false">IF(J130="","",H130/J130)</f>
        <v>0.425106990014265</v>
      </c>
      <c r="L130" s="8" t="n">
        <f aca="false">IF(OR(A130=2020,A130=2024),1,0)</f>
        <v>0</v>
      </c>
    </row>
    <row r="131" customFormat="false" ht="15" hidden="false" customHeight="true" outlineLevel="0" collapsed="false">
      <c r="A131" s="8" t="n">
        <v>2020</v>
      </c>
      <c r="B131" s="8" t="s">
        <v>90</v>
      </c>
      <c r="C131" s="8" t="s">
        <v>81</v>
      </c>
      <c r="D131" s="8" t="n">
        <v>602</v>
      </c>
      <c r="E131" s="8" t="n">
        <v>1339</v>
      </c>
      <c r="F131" s="8" t="n">
        <f aca="false">D131+E131</f>
        <v>1941</v>
      </c>
      <c r="G131" s="9" t="n">
        <f aca="false">D131/F131</f>
        <v>0.310149407521896</v>
      </c>
      <c r="H131" s="8"/>
      <c r="I131" s="8"/>
      <c r="J131" s="8" t="str">
        <f aca="false">IF(OR(H131="",H131=0),"",H131+I131)</f>
        <v/>
      </c>
      <c r="K131" s="9" t="str">
        <f aca="false">IF(J131="","",H131/J131)</f>
        <v/>
      </c>
      <c r="L131" s="8" t="n">
        <f aca="false">IF(OR(A131=2020,A131=2024),1,0)</f>
        <v>1</v>
      </c>
    </row>
    <row r="132" customFormat="false" ht="15" hidden="false" customHeight="true" outlineLevel="0" collapsed="false">
      <c r="A132" s="8" t="n">
        <v>2022</v>
      </c>
      <c r="B132" s="8" t="s">
        <v>90</v>
      </c>
      <c r="C132" s="8" t="s">
        <v>81</v>
      </c>
      <c r="D132" s="8" t="n">
        <v>532</v>
      </c>
      <c r="E132" s="8" t="n">
        <v>1068</v>
      </c>
      <c r="F132" s="8" t="n">
        <f aca="false">D132+E132</f>
        <v>1600</v>
      </c>
      <c r="G132" s="9" t="n">
        <f aca="false">D132/F132</f>
        <v>0.3325</v>
      </c>
      <c r="H132" s="8" t="n">
        <v>603</v>
      </c>
      <c r="I132" s="8" t="n">
        <v>985</v>
      </c>
      <c r="J132" s="8" t="n">
        <f aca="false">IF(OR(H132="",H132=0),"",H132+I132)</f>
        <v>1588</v>
      </c>
      <c r="K132" s="9" t="n">
        <f aca="false">IF(J132="","",H132/J132)</f>
        <v>0.379722921914358</v>
      </c>
      <c r="L132" s="8" t="n">
        <f aca="false">IF(OR(A132=2020,A132=2024),1,0)</f>
        <v>0</v>
      </c>
    </row>
    <row r="133" customFormat="false" ht="15" hidden="false" customHeight="true" outlineLevel="0" collapsed="false">
      <c r="A133" s="8" t="n">
        <v>2024</v>
      </c>
      <c r="B133" s="8" t="s">
        <v>90</v>
      </c>
      <c r="C133" s="8" t="s">
        <v>81</v>
      </c>
      <c r="D133" s="8" t="n">
        <v>654</v>
      </c>
      <c r="E133" s="8" t="n">
        <v>1439</v>
      </c>
      <c r="F133" s="8" t="n">
        <f aca="false">D133+E133</f>
        <v>2093</v>
      </c>
      <c r="G133" s="9" t="n">
        <f aca="false">D133/F133</f>
        <v>0.312470138557095</v>
      </c>
      <c r="H133" s="8"/>
      <c r="I133" s="8"/>
      <c r="J133" s="8" t="str">
        <f aca="false">IF(OR(H133="",H133=0),"",H133+I133)</f>
        <v/>
      </c>
      <c r="K133" s="9" t="str">
        <f aca="false">IF(J133="","",H133/J133)</f>
        <v/>
      </c>
      <c r="L133" s="8" t="n">
        <f aca="false">IF(OR(A133=2020,A133=2024),1,0)</f>
        <v>1</v>
      </c>
    </row>
    <row r="134" customFormat="false" ht="15" hidden="false" customHeight="true" outlineLevel="0" collapsed="false">
      <c r="A134" s="8" t="n">
        <v>2018</v>
      </c>
      <c r="B134" s="8" t="s">
        <v>91</v>
      </c>
      <c r="C134" s="8" t="s">
        <v>81</v>
      </c>
      <c r="D134" s="8" t="n">
        <v>7236</v>
      </c>
      <c r="E134" s="8" t="n">
        <v>6846</v>
      </c>
      <c r="F134" s="8" t="n">
        <f aca="false">D134+E134</f>
        <v>14082</v>
      </c>
      <c r="G134" s="9" t="n">
        <f aca="false">D134/F134</f>
        <v>0.513847464848743</v>
      </c>
      <c r="H134" s="8" t="n">
        <v>8135</v>
      </c>
      <c r="I134" s="8" t="n">
        <v>6138</v>
      </c>
      <c r="J134" s="8" t="n">
        <f aca="false">IF(OR(H134="",H134=0),"",H134+I134)</f>
        <v>14273</v>
      </c>
      <c r="K134" s="9" t="n">
        <f aca="false">IF(J134="","",H134/J134)</f>
        <v>0.569957261963147</v>
      </c>
      <c r="L134" s="8" t="n">
        <f aca="false">IF(OR(A134=2020,A134=2024),1,0)</f>
        <v>0</v>
      </c>
    </row>
    <row r="135" customFormat="false" ht="15" hidden="false" customHeight="true" outlineLevel="0" collapsed="false">
      <c r="A135" s="8" t="n">
        <v>2020</v>
      </c>
      <c r="B135" s="8" t="s">
        <v>91</v>
      </c>
      <c r="C135" s="8" t="s">
        <v>81</v>
      </c>
      <c r="D135" s="8" t="n">
        <v>9782</v>
      </c>
      <c r="E135" s="8" t="n">
        <v>10014</v>
      </c>
      <c r="F135" s="8" t="n">
        <f aca="false">D135+E135</f>
        <v>19796</v>
      </c>
      <c r="G135" s="9" t="n">
        <f aca="false">D135/F135</f>
        <v>0.494140230349566</v>
      </c>
      <c r="H135" s="8"/>
      <c r="I135" s="8"/>
      <c r="J135" s="8" t="str">
        <f aca="false">IF(OR(H135="",H135=0),"",H135+I135)</f>
        <v/>
      </c>
      <c r="K135" s="9" t="str">
        <f aca="false">IF(J135="","",H135/J135)</f>
        <v/>
      </c>
      <c r="L135" s="8" t="n">
        <f aca="false">IF(OR(A135=2020,A135=2024),1,0)</f>
        <v>1</v>
      </c>
    </row>
    <row r="136" customFormat="false" ht="15" hidden="false" customHeight="true" outlineLevel="0" collapsed="false">
      <c r="A136" s="8" t="n">
        <v>2022</v>
      </c>
      <c r="B136" s="8" t="s">
        <v>91</v>
      </c>
      <c r="C136" s="8" t="s">
        <v>81</v>
      </c>
      <c r="D136" s="8" t="n">
        <v>8358</v>
      </c>
      <c r="E136" s="8" t="n">
        <v>7595</v>
      </c>
      <c r="F136" s="8" t="n">
        <f aca="false">D136+E136</f>
        <v>15953</v>
      </c>
      <c r="G136" s="9" t="n">
        <f aca="false">D136/F136</f>
        <v>0.523913997367266</v>
      </c>
      <c r="H136" s="8" t="n">
        <v>9278</v>
      </c>
      <c r="I136" s="8" t="n">
        <v>6376</v>
      </c>
      <c r="J136" s="8" t="n">
        <f aca="false">IF(OR(H136="",H136=0),"",H136+I136)</f>
        <v>15654</v>
      </c>
      <c r="K136" s="9" t="n">
        <f aca="false">IF(J136="","",H136/J136)</f>
        <v>0.592691963715344</v>
      </c>
      <c r="L136" s="8" t="n">
        <f aca="false">IF(OR(A136=2020,A136=2024),1,0)</f>
        <v>0</v>
      </c>
    </row>
    <row r="137" customFormat="false" ht="15" hidden="false" customHeight="true" outlineLevel="0" collapsed="false">
      <c r="A137" s="8" t="n">
        <v>2024</v>
      </c>
      <c r="B137" s="8" t="s">
        <v>91</v>
      </c>
      <c r="C137" s="8" t="s">
        <v>81</v>
      </c>
      <c r="D137" s="8" t="n">
        <v>10021</v>
      </c>
      <c r="E137" s="8" t="n">
        <v>10199</v>
      </c>
      <c r="F137" s="8" t="n">
        <f aca="false">D137+E137</f>
        <v>20220</v>
      </c>
      <c r="G137" s="9" t="n">
        <f aca="false">D137/F137</f>
        <v>0.495598417408506</v>
      </c>
      <c r="H137" s="8"/>
      <c r="I137" s="8"/>
      <c r="J137" s="8" t="str">
        <f aca="false">IF(OR(H137="",H137=0),"",H137+I137)</f>
        <v/>
      </c>
      <c r="K137" s="9" t="str">
        <f aca="false">IF(J137="","",H137/J137)</f>
        <v/>
      </c>
      <c r="L137" s="8" t="n">
        <f aca="false">IF(OR(A137=2020,A137=2024),1,0)</f>
        <v>1</v>
      </c>
    </row>
    <row r="138" customFormat="false" ht="15" hidden="false" customHeight="true" outlineLevel="0" collapsed="false">
      <c r="A138" s="8" t="n">
        <v>2018</v>
      </c>
      <c r="B138" s="8" t="s">
        <v>92</v>
      </c>
      <c r="C138" s="8" t="s">
        <v>81</v>
      </c>
      <c r="D138" s="8" t="n">
        <v>738</v>
      </c>
      <c r="E138" s="8" t="n">
        <v>1114</v>
      </c>
      <c r="F138" s="8" t="n">
        <f aca="false">D138+E138</f>
        <v>1852</v>
      </c>
      <c r="G138" s="9" t="n">
        <f aca="false">D138/F138</f>
        <v>0.398488120950324</v>
      </c>
      <c r="H138" s="8" t="n">
        <v>836</v>
      </c>
      <c r="I138" s="8" t="n">
        <v>1035</v>
      </c>
      <c r="J138" s="8" t="n">
        <f aca="false">IF(OR(H138="",H138=0),"",H138+I138)</f>
        <v>1871</v>
      </c>
      <c r="K138" s="9" t="n">
        <f aca="false">IF(J138="","",H138/J138)</f>
        <v>0.44681988241582</v>
      </c>
      <c r="L138" s="8" t="n">
        <f aca="false">IF(OR(A138=2020,A138=2024),1,0)</f>
        <v>0</v>
      </c>
    </row>
    <row r="139" customFormat="false" ht="15" hidden="false" customHeight="true" outlineLevel="0" collapsed="false">
      <c r="A139" s="8" t="n">
        <v>2020</v>
      </c>
      <c r="B139" s="8" t="s">
        <v>92</v>
      </c>
      <c r="C139" s="8" t="s">
        <v>81</v>
      </c>
      <c r="D139" s="8" t="n">
        <v>920</v>
      </c>
      <c r="E139" s="8" t="n">
        <v>1596</v>
      </c>
      <c r="F139" s="8" t="n">
        <f aca="false">D139+E139</f>
        <v>2516</v>
      </c>
      <c r="G139" s="9" t="n">
        <f aca="false">D139/F139</f>
        <v>0.365659777424483</v>
      </c>
      <c r="H139" s="8"/>
      <c r="I139" s="8"/>
      <c r="J139" s="8" t="str">
        <f aca="false">IF(OR(H139="",H139=0),"",H139+I139)</f>
        <v/>
      </c>
      <c r="K139" s="9" t="str">
        <f aca="false">IF(J139="","",H139/J139)</f>
        <v/>
      </c>
      <c r="L139" s="8" t="n">
        <f aca="false">IF(OR(A139=2020,A139=2024),1,0)</f>
        <v>1</v>
      </c>
    </row>
    <row r="140" customFormat="false" ht="15" hidden="false" customHeight="true" outlineLevel="0" collapsed="false">
      <c r="A140" s="8" t="n">
        <v>2022</v>
      </c>
      <c r="B140" s="8" t="s">
        <v>92</v>
      </c>
      <c r="C140" s="8" t="s">
        <v>81</v>
      </c>
      <c r="D140" s="8" t="n">
        <v>850</v>
      </c>
      <c r="E140" s="8" t="n">
        <v>1311</v>
      </c>
      <c r="F140" s="8" t="n">
        <f aca="false">D140+E140</f>
        <v>2161</v>
      </c>
      <c r="G140" s="9" t="n">
        <f aca="false">D140/F140</f>
        <v>0.39333641832485</v>
      </c>
      <c r="H140" s="8" t="n">
        <v>969</v>
      </c>
      <c r="I140" s="8" t="n">
        <v>1160</v>
      </c>
      <c r="J140" s="8" t="n">
        <f aca="false">IF(OR(H140="",H140=0),"",H140+I140)</f>
        <v>2129</v>
      </c>
      <c r="K140" s="9" t="n">
        <f aca="false">IF(J140="","",H140/J140)</f>
        <v>0.45514325974636</v>
      </c>
      <c r="L140" s="8" t="n">
        <f aca="false">IF(OR(A140=2020,A140=2024),1,0)</f>
        <v>0</v>
      </c>
    </row>
    <row r="141" customFormat="false" ht="15" hidden="false" customHeight="true" outlineLevel="0" collapsed="false">
      <c r="A141" s="8" t="n">
        <v>2024</v>
      </c>
      <c r="B141" s="8" t="s">
        <v>92</v>
      </c>
      <c r="C141" s="8" t="s">
        <v>81</v>
      </c>
      <c r="D141" s="8" t="n">
        <v>985</v>
      </c>
      <c r="E141" s="8" t="n">
        <v>1586</v>
      </c>
      <c r="F141" s="8" t="n">
        <f aca="false">D141+E141</f>
        <v>2571</v>
      </c>
      <c r="G141" s="9" t="n">
        <f aca="false">D141/F141</f>
        <v>0.383119408790354</v>
      </c>
      <c r="H141" s="8"/>
      <c r="I141" s="8"/>
      <c r="J141" s="8" t="str">
        <f aca="false">IF(OR(H141="",H141=0),"",H141+I141)</f>
        <v/>
      </c>
      <c r="K141" s="9" t="str">
        <f aca="false">IF(J141="","",H141/J141)</f>
        <v/>
      </c>
      <c r="L141" s="8" t="n">
        <f aca="false">IF(OR(A141=2020,A141=2024),1,0)</f>
        <v>1</v>
      </c>
    </row>
    <row r="142" customFormat="false" ht="15" hidden="false" customHeight="true" outlineLevel="0" collapsed="false">
      <c r="A142" s="8" t="n">
        <v>2018</v>
      </c>
      <c r="B142" s="8" t="s">
        <v>93</v>
      </c>
      <c r="C142" s="8" t="s">
        <v>81</v>
      </c>
      <c r="D142" s="8" t="n">
        <v>411</v>
      </c>
      <c r="E142" s="8" t="n">
        <v>680</v>
      </c>
      <c r="F142" s="8" t="n">
        <f aca="false">D142+E142</f>
        <v>1091</v>
      </c>
      <c r="G142" s="9" t="n">
        <f aca="false">D142/F142</f>
        <v>0.376718606782768</v>
      </c>
      <c r="H142" s="8" t="n">
        <v>471</v>
      </c>
      <c r="I142" s="8" t="n">
        <v>647</v>
      </c>
      <c r="J142" s="8" t="n">
        <f aca="false">IF(OR(H142="",H142=0),"",H142+I142)</f>
        <v>1118</v>
      </c>
      <c r="K142" s="9" t="n">
        <f aca="false">IF(J142="","",H142/J142)</f>
        <v>0.42128801431127</v>
      </c>
      <c r="L142" s="8" t="n">
        <f aca="false">IF(OR(A142=2020,A142=2024),1,0)</f>
        <v>0</v>
      </c>
    </row>
    <row r="143" customFormat="false" ht="15" hidden="false" customHeight="true" outlineLevel="0" collapsed="false">
      <c r="A143" s="8" t="n">
        <v>2020</v>
      </c>
      <c r="B143" s="8" t="s">
        <v>93</v>
      </c>
      <c r="C143" s="8" t="s">
        <v>81</v>
      </c>
      <c r="D143" s="8" t="n">
        <v>533</v>
      </c>
      <c r="E143" s="8" t="n">
        <v>955</v>
      </c>
      <c r="F143" s="8" t="n">
        <f aca="false">D143+E143</f>
        <v>1488</v>
      </c>
      <c r="G143" s="9" t="n">
        <f aca="false">D143/F143</f>
        <v>0.358198924731183</v>
      </c>
      <c r="H143" s="8"/>
      <c r="I143" s="8"/>
      <c r="J143" s="8" t="str">
        <f aca="false">IF(OR(H143="",H143=0),"",H143+I143)</f>
        <v/>
      </c>
      <c r="K143" s="9" t="str">
        <f aca="false">IF(J143="","",H143/J143)</f>
        <v/>
      </c>
      <c r="L143" s="8" t="n">
        <f aca="false">IF(OR(A143=2020,A143=2024),1,0)</f>
        <v>1</v>
      </c>
    </row>
    <row r="144" customFormat="false" ht="15" hidden="false" customHeight="true" outlineLevel="0" collapsed="false">
      <c r="A144" s="8" t="n">
        <v>2022</v>
      </c>
      <c r="B144" s="8" t="s">
        <v>93</v>
      </c>
      <c r="C144" s="8" t="s">
        <v>81</v>
      </c>
      <c r="D144" s="8" t="n">
        <v>457</v>
      </c>
      <c r="E144" s="8" t="n">
        <v>760</v>
      </c>
      <c r="F144" s="8" t="n">
        <f aca="false">D144+E144</f>
        <v>1217</v>
      </c>
      <c r="G144" s="9" t="n">
        <f aca="false">D144/F144</f>
        <v>0.375513557929334</v>
      </c>
      <c r="H144" s="8" t="n">
        <v>505</v>
      </c>
      <c r="I144" s="8" t="n">
        <v>689</v>
      </c>
      <c r="J144" s="8" t="n">
        <f aca="false">IF(OR(H144="",H144=0),"",H144+I144)</f>
        <v>1194</v>
      </c>
      <c r="K144" s="9" t="n">
        <f aca="false">IF(J144="","",H144/J144)</f>
        <v>0.422948073701843</v>
      </c>
      <c r="L144" s="8" t="n">
        <f aca="false">IF(OR(A144=2020,A144=2024),1,0)</f>
        <v>0</v>
      </c>
    </row>
    <row r="145" customFormat="false" ht="15" hidden="false" customHeight="true" outlineLevel="0" collapsed="false">
      <c r="A145" s="8" t="n">
        <v>2024</v>
      </c>
      <c r="B145" s="8" t="s">
        <v>93</v>
      </c>
      <c r="C145" s="8" t="s">
        <v>81</v>
      </c>
      <c r="D145" s="8" t="n">
        <v>543</v>
      </c>
      <c r="E145" s="8" t="n">
        <v>990</v>
      </c>
      <c r="F145" s="8" t="n">
        <f aca="false">D145+E145</f>
        <v>1533</v>
      </c>
      <c r="G145" s="9" t="n">
        <f aca="false">D145/F145</f>
        <v>0.354207436399217</v>
      </c>
      <c r="H145" s="8"/>
      <c r="I145" s="8"/>
      <c r="J145" s="8" t="str">
        <f aca="false">IF(OR(H145="",H145=0),"",H145+I145)</f>
        <v/>
      </c>
      <c r="K145" s="9" t="str">
        <f aca="false">IF(J145="","",H145/J145)</f>
        <v/>
      </c>
      <c r="L145" s="8" t="n">
        <f aca="false">IF(OR(A145=2020,A145=2024),1,0)</f>
        <v>1</v>
      </c>
    </row>
    <row r="146" customFormat="false" ht="15" hidden="false" customHeight="true" outlineLevel="0" collapsed="false">
      <c r="A146" s="8" t="n">
        <v>2018</v>
      </c>
      <c r="B146" s="8" t="s">
        <v>94</v>
      </c>
      <c r="C146" s="8" t="s">
        <v>81</v>
      </c>
      <c r="D146" s="8" t="n">
        <v>623</v>
      </c>
      <c r="E146" s="8" t="n">
        <v>1233</v>
      </c>
      <c r="F146" s="8" t="n">
        <f aca="false">D146+E146</f>
        <v>1856</v>
      </c>
      <c r="G146" s="9" t="n">
        <f aca="false">D146/F146</f>
        <v>0.335668103448276</v>
      </c>
      <c r="H146" s="8" t="n">
        <v>744</v>
      </c>
      <c r="I146" s="8" t="n">
        <v>1131</v>
      </c>
      <c r="J146" s="8" t="n">
        <f aca="false">IF(OR(H146="",H146=0),"",H146+I146)</f>
        <v>1875</v>
      </c>
      <c r="K146" s="9" t="n">
        <f aca="false">IF(J146="","",H146/J146)</f>
        <v>0.3968</v>
      </c>
      <c r="L146" s="8" t="n">
        <f aca="false">IF(OR(A146=2020,A146=2024),1,0)</f>
        <v>0</v>
      </c>
    </row>
    <row r="147" customFormat="false" ht="15" hidden="false" customHeight="true" outlineLevel="0" collapsed="false">
      <c r="A147" s="8" t="n">
        <v>2020</v>
      </c>
      <c r="B147" s="8" t="s">
        <v>94</v>
      </c>
      <c r="C147" s="8" t="s">
        <v>81</v>
      </c>
      <c r="D147" s="8" t="n">
        <v>846</v>
      </c>
      <c r="E147" s="8" t="n">
        <v>1783</v>
      </c>
      <c r="F147" s="8" t="n">
        <f aca="false">D147+E147</f>
        <v>2629</v>
      </c>
      <c r="G147" s="9" t="n">
        <f aca="false">D147/F147</f>
        <v>0.321795359452263</v>
      </c>
      <c r="H147" s="8"/>
      <c r="I147" s="8"/>
      <c r="J147" s="8" t="str">
        <f aca="false">IF(OR(H147="",H147=0),"",H147+I147)</f>
        <v/>
      </c>
      <c r="K147" s="9" t="str">
        <f aca="false">IF(J147="","",H147/J147)</f>
        <v/>
      </c>
      <c r="L147" s="8" t="n">
        <f aca="false">IF(OR(A147=2020,A147=2024),1,0)</f>
        <v>1</v>
      </c>
    </row>
    <row r="148" customFormat="false" ht="15" hidden="false" customHeight="true" outlineLevel="0" collapsed="false">
      <c r="A148" s="8" t="n">
        <v>2022</v>
      </c>
      <c r="B148" s="8" t="s">
        <v>94</v>
      </c>
      <c r="C148" s="8" t="s">
        <v>81</v>
      </c>
      <c r="D148" s="8" t="n">
        <v>719</v>
      </c>
      <c r="E148" s="8" t="n">
        <v>1434</v>
      </c>
      <c r="F148" s="8" t="n">
        <f aca="false">D148+E148</f>
        <v>2153</v>
      </c>
      <c r="G148" s="9" t="n">
        <f aca="false">D148/F148</f>
        <v>0.333952624245239</v>
      </c>
      <c r="H148" s="8" t="n">
        <v>808</v>
      </c>
      <c r="I148" s="8" t="n">
        <v>1330</v>
      </c>
      <c r="J148" s="8" t="n">
        <f aca="false">IF(OR(H148="",H148=0),"",H148+I148)</f>
        <v>2138</v>
      </c>
      <c r="K148" s="9" t="n">
        <f aca="false">IF(J148="","",H148/J148)</f>
        <v>0.377923292797007</v>
      </c>
      <c r="L148" s="8" t="n">
        <f aca="false">IF(OR(A148=2020,A148=2024),1,0)</f>
        <v>0</v>
      </c>
    </row>
    <row r="149" customFormat="false" ht="15" hidden="false" customHeight="true" outlineLevel="0" collapsed="false">
      <c r="A149" s="8" t="n">
        <v>2024</v>
      </c>
      <c r="B149" s="8" t="s">
        <v>94</v>
      </c>
      <c r="C149" s="8" t="s">
        <v>81</v>
      </c>
      <c r="D149" s="8" t="n">
        <v>850</v>
      </c>
      <c r="E149" s="8" t="n">
        <v>1856</v>
      </c>
      <c r="F149" s="8" t="n">
        <f aca="false">D149+E149</f>
        <v>2706</v>
      </c>
      <c r="G149" s="9" t="n">
        <f aca="false">D149/F149</f>
        <v>0.314116777531412</v>
      </c>
      <c r="H149" s="8"/>
      <c r="I149" s="8"/>
      <c r="J149" s="8" t="str">
        <f aca="false">IF(OR(H149="",H149=0),"",H149+I149)</f>
        <v/>
      </c>
      <c r="K149" s="9" t="str">
        <f aca="false">IF(J149="","",H149/J149)</f>
        <v/>
      </c>
      <c r="L149" s="8" t="n">
        <f aca="false">IF(OR(A149=2020,A149=2024),1,0)</f>
        <v>1</v>
      </c>
    </row>
    <row r="150" customFormat="false" ht="15" hidden="false" customHeight="true" outlineLevel="0" collapsed="false">
      <c r="A150" s="8" t="n">
        <v>2018</v>
      </c>
      <c r="B150" s="8" t="s">
        <v>95</v>
      </c>
      <c r="C150" s="8" t="s">
        <v>81</v>
      </c>
      <c r="D150" s="8" t="n">
        <v>691</v>
      </c>
      <c r="E150" s="8" t="n">
        <v>584</v>
      </c>
      <c r="F150" s="8" t="n">
        <f aca="false">D150+E150</f>
        <v>1275</v>
      </c>
      <c r="G150" s="9" t="n">
        <f aca="false">D150/F150</f>
        <v>0.541960784313726</v>
      </c>
      <c r="H150" s="8" t="n">
        <v>790</v>
      </c>
      <c r="I150" s="8" t="n">
        <v>508</v>
      </c>
      <c r="J150" s="8" t="n">
        <f aca="false">IF(OR(H150="",H150=0),"",H150+I150)</f>
        <v>1298</v>
      </c>
      <c r="K150" s="9" t="n">
        <f aca="false">IF(J150="","",H150/J150)</f>
        <v>0.608628659476117</v>
      </c>
      <c r="L150" s="8" t="n">
        <f aca="false">IF(OR(A150=2020,A150=2024),1,0)</f>
        <v>0</v>
      </c>
    </row>
    <row r="151" customFormat="false" ht="15" hidden="false" customHeight="true" outlineLevel="0" collapsed="false">
      <c r="A151" s="8" t="n">
        <v>2020</v>
      </c>
      <c r="B151" s="8" t="s">
        <v>95</v>
      </c>
      <c r="C151" s="8" t="s">
        <v>81</v>
      </c>
      <c r="D151" s="8" t="n">
        <v>997</v>
      </c>
      <c r="E151" s="8" t="n">
        <v>860</v>
      </c>
      <c r="F151" s="8" t="n">
        <f aca="false">D151+E151</f>
        <v>1857</v>
      </c>
      <c r="G151" s="9" t="n">
        <f aca="false">D151/F151</f>
        <v>0.536887452880991</v>
      </c>
      <c r="H151" s="8"/>
      <c r="I151" s="8"/>
      <c r="J151" s="8" t="str">
        <f aca="false">IF(OR(H151="",H151=0),"",H151+I151)</f>
        <v/>
      </c>
      <c r="K151" s="9" t="str">
        <f aca="false">IF(J151="","",H151/J151)</f>
        <v/>
      </c>
      <c r="L151" s="8" t="n">
        <f aca="false">IF(OR(A151=2020,A151=2024),1,0)</f>
        <v>1</v>
      </c>
    </row>
    <row r="152" customFormat="false" ht="15" hidden="false" customHeight="true" outlineLevel="0" collapsed="false">
      <c r="A152" s="8" t="n">
        <v>2022</v>
      </c>
      <c r="B152" s="8" t="s">
        <v>95</v>
      </c>
      <c r="C152" s="8" t="s">
        <v>81</v>
      </c>
      <c r="D152" s="8" t="n">
        <v>788</v>
      </c>
      <c r="E152" s="8" t="n">
        <v>628</v>
      </c>
      <c r="F152" s="8" t="n">
        <f aca="false">D152+E152</f>
        <v>1416</v>
      </c>
      <c r="G152" s="9" t="n">
        <f aca="false">D152/F152</f>
        <v>0.556497175141243</v>
      </c>
      <c r="H152" s="8" t="n">
        <v>865</v>
      </c>
      <c r="I152" s="8" t="n">
        <v>525</v>
      </c>
      <c r="J152" s="8" t="n">
        <f aca="false">IF(OR(H152="",H152=0),"",H152+I152)</f>
        <v>1390</v>
      </c>
      <c r="K152" s="9" t="n">
        <f aca="false">IF(J152="","",H152/J152)</f>
        <v>0.622302158273381</v>
      </c>
      <c r="L152" s="8" t="n">
        <f aca="false">IF(OR(A152=2020,A152=2024),1,0)</f>
        <v>0</v>
      </c>
    </row>
    <row r="153" customFormat="false" ht="15" hidden="false" customHeight="true" outlineLevel="0" collapsed="false">
      <c r="A153" s="8" t="n">
        <v>2024</v>
      </c>
      <c r="B153" s="8" t="s">
        <v>95</v>
      </c>
      <c r="C153" s="8" t="s">
        <v>81</v>
      </c>
      <c r="D153" s="8" t="n">
        <v>980</v>
      </c>
      <c r="E153" s="8" t="n">
        <v>872</v>
      </c>
      <c r="F153" s="8" t="n">
        <f aca="false">D153+E153</f>
        <v>1852</v>
      </c>
      <c r="G153" s="9" t="n">
        <f aca="false">D153/F153</f>
        <v>0.529157667386609</v>
      </c>
      <c r="H153" s="8"/>
      <c r="I153" s="8"/>
      <c r="J153" s="8" t="str">
        <f aca="false">IF(OR(H153="",H153=0),"",H153+I153)</f>
        <v/>
      </c>
      <c r="K153" s="9" t="str">
        <f aca="false">IF(J153="","",H153/J153)</f>
        <v/>
      </c>
      <c r="L153" s="8" t="n">
        <f aca="false">IF(OR(A153=2020,A153=2024),1,0)</f>
        <v>1</v>
      </c>
    </row>
    <row r="154" customFormat="false" ht="15" hidden="false" customHeight="true" outlineLevel="0" collapsed="false">
      <c r="A154" s="8" t="n">
        <v>2018</v>
      </c>
      <c r="B154" s="8" t="s">
        <v>96</v>
      </c>
      <c r="C154" s="8" t="s">
        <v>81</v>
      </c>
      <c r="D154" s="8" t="n">
        <v>2780</v>
      </c>
      <c r="E154" s="8" t="n">
        <v>3849</v>
      </c>
      <c r="F154" s="8" t="n">
        <f aca="false">D154+E154</f>
        <v>6629</v>
      </c>
      <c r="G154" s="9" t="n">
        <f aca="false">D154/F154</f>
        <v>0.419369437320863</v>
      </c>
      <c r="H154" s="8" t="n">
        <v>3295</v>
      </c>
      <c r="I154" s="8" t="n">
        <v>3459</v>
      </c>
      <c r="J154" s="8" t="n">
        <f aca="false">IF(OR(H154="",H154=0),"",H154+I154)</f>
        <v>6754</v>
      </c>
      <c r="K154" s="9" t="n">
        <f aca="false">IF(J154="","",H154/J154)</f>
        <v>0.487859046490968</v>
      </c>
      <c r="L154" s="8" t="n">
        <f aca="false">IF(OR(A154=2020,A154=2024),1,0)</f>
        <v>0</v>
      </c>
    </row>
    <row r="155" customFormat="false" ht="15" hidden="false" customHeight="true" outlineLevel="0" collapsed="false">
      <c r="A155" s="8" t="n">
        <v>2020</v>
      </c>
      <c r="B155" s="8" t="s">
        <v>96</v>
      </c>
      <c r="C155" s="8" t="s">
        <v>81</v>
      </c>
      <c r="D155" s="8" t="n">
        <v>3900</v>
      </c>
      <c r="E155" s="8" t="n">
        <v>5859</v>
      </c>
      <c r="F155" s="8" t="n">
        <f aca="false">D155+E155</f>
        <v>9759</v>
      </c>
      <c r="G155" s="9" t="n">
        <f aca="false">D155/F155</f>
        <v>0.399631109744851</v>
      </c>
      <c r="H155" s="8"/>
      <c r="I155" s="8"/>
      <c r="J155" s="8" t="str">
        <f aca="false">IF(OR(H155="",H155=0),"",H155+I155)</f>
        <v/>
      </c>
      <c r="K155" s="9" t="str">
        <f aca="false">IF(J155="","",H155/J155)</f>
        <v/>
      </c>
      <c r="L155" s="8" t="n">
        <f aca="false">IF(OR(A155=2020,A155=2024),1,0)</f>
        <v>1</v>
      </c>
    </row>
    <row r="156" customFormat="false" ht="15" hidden="false" customHeight="true" outlineLevel="0" collapsed="false">
      <c r="A156" s="8" t="n">
        <v>2022</v>
      </c>
      <c r="B156" s="8" t="s">
        <v>96</v>
      </c>
      <c r="C156" s="8" t="s">
        <v>81</v>
      </c>
      <c r="D156" s="8" t="n">
        <v>3255</v>
      </c>
      <c r="E156" s="8" t="n">
        <v>4462</v>
      </c>
      <c r="F156" s="8" t="n">
        <f aca="false">D156+E156</f>
        <v>7717</v>
      </c>
      <c r="G156" s="9" t="n">
        <f aca="false">D156/F156</f>
        <v>0.421796034728521</v>
      </c>
      <c r="H156" s="8" t="n">
        <v>3693</v>
      </c>
      <c r="I156" s="8" t="n">
        <v>3907</v>
      </c>
      <c r="J156" s="8" t="n">
        <f aca="false">IF(OR(H156="",H156=0),"",H156+I156)</f>
        <v>7600</v>
      </c>
      <c r="K156" s="9" t="n">
        <f aca="false">IF(J156="","",H156/J156)</f>
        <v>0.485921052631579</v>
      </c>
      <c r="L156" s="8" t="n">
        <f aca="false">IF(OR(A156=2020,A156=2024),1,0)</f>
        <v>0</v>
      </c>
    </row>
    <row r="157" customFormat="false" ht="15" hidden="false" customHeight="true" outlineLevel="0" collapsed="false">
      <c r="A157" s="8" t="n">
        <v>2024</v>
      </c>
      <c r="B157" s="8" t="s">
        <v>96</v>
      </c>
      <c r="C157" s="8" t="s">
        <v>81</v>
      </c>
      <c r="D157" s="8" t="n">
        <v>4022</v>
      </c>
      <c r="E157" s="8" t="n">
        <v>5915</v>
      </c>
      <c r="F157" s="8" t="n">
        <f aca="false">D157+E157</f>
        <v>9937</v>
      </c>
      <c r="G157" s="9" t="n">
        <f aca="false">D157/F157</f>
        <v>0.404749924524504</v>
      </c>
      <c r="H157" s="8"/>
      <c r="I157" s="8"/>
      <c r="J157" s="8" t="str">
        <f aca="false">IF(OR(H157="",H157=0),"",H157+I157)</f>
        <v/>
      </c>
      <c r="K157" s="9" t="str">
        <f aca="false">IF(J157="","",H157/J157)</f>
        <v/>
      </c>
      <c r="L157" s="8" t="n">
        <f aca="false">IF(OR(A157=2020,A157=2024),1,0)</f>
        <v>1</v>
      </c>
    </row>
    <row r="158" customFormat="false" ht="15" hidden="false" customHeight="true" outlineLevel="0" collapsed="false">
      <c r="A158" s="8" t="n">
        <v>2018</v>
      </c>
      <c r="B158" s="8" t="s">
        <v>97</v>
      </c>
      <c r="C158" s="8" t="s">
        <v>81</v>
      </c>
      <c r="D158" s="8" t="n">
        <v>2945</v>
      </c>
      <c r="E158" s="8" t="n">
        <v>2844</v>
      </c>
      <c r="F158" s="8" t="n">
        <f aca="false">D158+E158</f>
        <v>5789</v>
      </c>
      <c r="G158" s="9" t="n">
        <f aca="false">D158/F158</f>
        <v>0.50872344100881</v>
      </c>
      <c r="H158" s="8" t="n">
        <v>3301</v>
      </c>
      <c r="I158" s="8" t="n">
        <v>2559</v>
      </c>
      <c r="J158" s="8" t="n">
        <f aca="false">IF(OR(H158="",H158=0),"",H158+I158)</f>
        <v>5860</v>
      </c>
      <c r="K158" s="9" t="n">
        <f aca="false">IF(J158="","",H158/J158)</f>
        <v>0.563310580204778</v>
      </c>
      <c r="L158" s="8" t="n">
        <f aca="false">IF(OR(A158=2020,A158=2024),1,0)</f>
        <v>0</v>
      </c>
    </row>
    <row r="159" customFormat="false" ht="15" hidden="false" customHeight="true" outlineLevel="0" collapsed="false">
      <c r="A159" s="8" t="n">
        <v>2020</v>
      </c>
      <c r="B159" s="8" t="s">
        <v>97</v>
      </c>
      <c r="C159" s="8" t="s">
        <v>81</v>
      </c>
      <c r="D159" s="8" t="n">
        <v>4029</v>
      </c>
      <c r="E159" s="8" t="n">
        <v>4143</v>
      </c>
      <c r="F159" s="8" t="n">
        <f aca="false">D159+E159</f>
        <v>8172</v>
      </c>
      <c r="G159" s="9" t="n">
        <f aca="false">D159/F159</f>
        <v>0.49302496328928</v>
      </c>
      <c r="H159" s="8"/>
      <c r="I159" s="8"/>
      <c r="J159" s="8" t="str">
        <f aca="false">IF(OR(H159="",H159=0),"",H159+I159)</f>
        <v/>
      </c>
      <c r="K159" s="9" t="str">
        <f aca="false">IF(J159="","",H159/J159)</f>
        <v/>
      </c>
      <c r="L159" s="8" t="n">
        <f aca="false">IF(OR(A159=2020,A159=2024),1,0)</f>
        <v>1</v>
      </c>
    </row>
    <row r="160" customFormat="false" ht="15" hidden="false" customHeight="true" outlineLevel="0" collapsed="false">
      <c r="A160" s="8" t="n">
        <v>2022</v>
      </c>
      <c r="B160" s="8" t="s">
        <v>97</v>
      </c>
      <c r="C160" s="8" t="s">
        <v>81</v>
      </c>
      <c r="D160" s="8" t="n">
        <v>3239</v>
      </c>
      <c r="E160" s="8" t="n">
        <v>3129</v>
      </c>
      <c r="F160" s="8" t="n">
        <f aca="false">D160+E160</f>
        <v>6368</v>
      </c>
      <c r="G160" s="9" t="n">
        <f aca="false">D160/F160</f>
        <v>0.508636934673367</v>
      </c>
      <c r="H160" s="8" t="n">
        <v>3579</v>
      </c>
      <c r="I160" s="8" t="n">
        <v>2652</v>
      </c>
      <c r="J160" s="8" t="n">
        <f aca="false">IF(OR(H160="",H160=0),"",H160+I160)</f>
        <v>6231</v>
      </c>
      <c r="K160" s="9" t="n">
        <f aca="false">IF(J160="","",H160/J160)</f>
        <v>0.574386133846895</v>
      </c>
      <c r="L160" s="8" t="n">
        <f aca="false">IF(OR(A160=2020,A160=2024),1,0)</f>
        <v>0</v>
      </c>
    </row>
    <row r="161" customFormat="false" ht="15" hidden="false" customHeight="true" outlineLevel="0" collapsed="false">
      <c r="A161" s="8" t="n">
        <v>2024</v>
      </c>
      <c r="B161" s="8" t="s">
        <v>97</v>
      </c>
      <c r="C161" s="8" t="s">
        <v>81</v>
      </c>
      <c r="D161" s="8" t="n">
        <v>4010</v>
      </c>
      <c r="E161" s="8" t="n">
        <v>4104</v>
      </c>
      <c r="F161" s="8" t="n">
        <f aca="false">D161+E161</f>
        <v>8114</v>
      </c>
      <c r="G161" s="9" t="n">
        <f aca="false">D161/F161</f>
        <v>0.494207542519103</v>
      </c>
      <c r="H161" s="8"/>
      <c r="I161" s="8"/>
      <c r="J161" s="8" t="str">
        <f aca="false">IF(OR(H161="",H161=0),"",H161+I161)</f>
        <v/>
      </c>
      <c r="K161" s="9" t="str">
        <f aca="false">IF(J161="","",H161/J161)</f>
        <v/>
      </c>
      <c r="L161" s="8" t="n">
        <f aca="false">IF(OR(A161=2020,A161=2024),1,0)</f>
        <v>1</v>
      </c>
    </row>
    <row r="162" customFormat="false" ht="15" hidden="false" customHeight="true" outlineLevel="0" collapsed="false">
      <c r="A162" s="8" t="n">
        <v>2018</v>
      </c>
      <c r="B162" s="8" t="s">
        <v>98</v>
      </c>
      <c r="C162" s="8" t="s">
        <v>81</v>
      </c>
      <c r="D162" s="8" t="n">
        <v>537</v>
      </c>
      <c r="E162" s="8" t="n">
        <v>626</v>
      </c>
      <c r="F162" s="8" t="n">
        <f aca="false">D162+E162</f>
        <v>1163</v>
      </c>
      <c r="G162" s="9" t="n">
        <f aca="false">D162/F162</f>
        <v>0.461736887360275</v>
      </c>
      <c r="H162" s="8" t="n">
        <v>595</v>
      </c>
      <c r="I162" s="8" t="n">
        <v>582</v>
      </c>
      <c r="J162" s="8" t="n">
        <f aca="false">IF(OR(H162="",H162=0),"",H162+I162)</f>
        <v>1177</v>
      </c>
      <c r="K162" s="9" t="n">
        <f aca="false">IF(J162="","",H162/J162)</f>
        <v>0.505522514868309</v>
      </c>
      <c r="L162" s="8" t="n">
        <f aca="false">IF(OR(A162=2020,A162=2024),1,0)</f>
        <v>0</v>
      </c>
    </row>
    <row r="163" customFormat="false" ht="15" hidden="false" customHeight="true" outlineLevel="0" collapsed="false">
      <c r="A163" s="8" t="n">
        <v>2020</v>
      </c>
      <c r="B163" s="8" t="s">
        <v>98</v>
      </c>
      <c r="C163" s="8" t="s">
        <v>81</v>
      </c>
      <c r="D163" s="8" t="n">
        <v>748</v>
      </c>
      <c r="E163" s="8" t="n">
        <v>1149</v>
      </c>
      <c r="F163" s="8" t="n">
        <f aca="false">D163+E163</f>
        <v>1897</v>
      </c>
      <c r="G163" s="9" t="n">
        <f aca="false">D163/F163</f>
        <v>0.394306800210859</v>
      </c>
      <c r="H163" s="8"/>
      <c r="I163" s="8"/>
      <c r="J163" s="8" t="str">
        <f aca="false">IF(OR(H163="",H163=0),"",H163+I163)</f>
        <v/>
      </c>
      <c r="K163" s="9" t="str">
        <f aca="false">IF(J163="","",H163/J163)</f>
        <v/>
      </c>
      <c r="L163" s="8" t="n">
        <f aca="false">IF(OR(A163=2020,A163=2024),1,0)</f>
        <v>1</v>
      </c>
    </row>
    <row r="164" customFormat="false" ht="15" hidden="false" customHeight="true" outlineLevel="0" collapsed="false">
      <c r="A164" s="8" t="n">
        <v>2022</v>
      </c>
      <c r="B164" s="8" t="s">
        <v>98</v>
      </c>
      <c r="C164" s="8" t="s">
        <v>81</v>
      </c>
      <c r="D164" s="8" t="n">
        <v>611</v>
      </c>
      <c r="E164" s="8" t="n">
        <v>740</v>
      </c>
      <c r="F164" s="8" t="n">
        <f aca="false">D164+E164</f>
        <v>1351</v>
      </c>
      <c r="G164" s="9" t="n">
        <f aca="false">D164/F164</f>
        <v>0.452257586972613</v>
      </c>
      <c r="H164" s="8" t="n">
        <v>675</v>
      </c>
      <c r="I164" s="8" t="n">
        <v>639</v>
      </c>
      <c r="J164" s="8" t="n">
        <f aca="false">IF(OR(H164="",H164=0),"",H164+I164)</f>
        <v>1314</v>
      </c>
      <c r="K164" s="9" t="n">
        <f aca="false">IF(J164="","",H164/J164)</f>
        <v>0.513698630136986</v>
      </c>
      <c r="L164" s="8" t="n">
        <f aca="false">IF(OR(A164=2020,A164=2024),1,0)</f>
        <v>0</v>
      </c>
    </row>
    <row r="165" customFormat="false" ht="15" hidden="false" customHeight="true" outlineLevel="0" collapsed="false">
      <c r="A165" s="8" t="n">
        <v>2024</v>
      </c>
      <c r="B165" s="8" t="s">
        <v>98</v>
      </c>
      <c r="C165" s="8" t="s">
        <v>81</v>
      </c>
      <c r="D165" s="8" t="n">
        <v>800</v>
      </c>
      <c r="E165" s="8" t="n">
        <v>1156</v>
      </c>
      <c r="F165" s="8" t="n">
        <f aca="false">D165+E165</f>
        <v>1956</v>
      </c>
      <c r="G165" s="9" t="n">
        <f aca="false">D165/F165</f>
        <v>0.408997955010225</v>
      </c>
      <c r="H165" s="8"/>
      <c r="I165" s="8"/>
      <c r="J165" s="8" t="str">
        <f aca="false">IF(OR(H165="",H165=0),"",H165+I165)</f>
        <v/>
      </c>
      <c r="K165" s="9" t="str">
        <f aca="false">IF(J165="","",H165/J165)</f>
        <v/>
      </c>
      <c r="L165" s="8" t="n">
        <f aca="false">IF(OR(A165=2020,A165=2024),1,0)</f>
        <v>1</v>
      </c>
    </row>
    <row r="166" customFormat="false" ht="15" hidden="false" customHeight="true" outlineLevel="0" collapsed="false">
      <c r="A166" s="8" t="n">
        <v>2018</v>
      </c>
      <c r="B166" s="8" t="s">
        <v>99</v>
      </c>
      <c r="C166" s="8" t="s">
        <v>81</v>
      </c>
      <c r="D166" s="8" t="n">
        <v>5009</v>
      </c>
      <c r="E166" s="8" t="n">
        <v>3839</v>
      </c>
      <c r="F166" s="8" t="n">
        <f aca="false">D166+E166</f>
        <v>8848</v>
      </c>
      <c r="G166" s="9" t="n">
        <f aca="false">D166/F166</f>
        <v>0.566116636528029</v>
      </c>
      <c r="H166" s="8" t="n">
        <v>5541</v>
      </c>
      <c r="I166" s="8" t="n">
        <v>3434</v>
      </c>
      <c r="J166" s="8" t="n">
        <f aca="false">IF(OR(H166="",H166=0),"",H166+I166)</f>
        <v>8975</v>
      </c>
      <c r="K166" s="9" t="n">
        <f aca="false">IF(J166="","",H166/J166)</f>
        <v>0.617381615598886</v>
      </c>
      <c r="L166" s="8" t="n">
        <f aca="false">IF(OR(A166=2020,A166=2024),1,0)</f>
        <v>0</v>
      </c>
    </row>
    <row r="167" customFormat="false" ht="15" hidden="false" customHeight="true" outlineLevel="0" collapsed="false">
      <c r="A167" s="8" t="n">
        <v>2020</v>
      </c>
      <c r="B167" s="8" t="s">
        <v>99</v>
      </c>
      <c r="C167" s="8" t="s">
        <v>81</v>
      </c>
      <c r="D167" s="8" t="n">
        <v>6668</v>
      </c>
      <c r="E167" s="8" t="n">
        <v>5856</v>
      </c>
      <c r="F167" s="8" t="n">
        <f aca="false">D167+E167</f>
        <v>12524</v>
      </c>
      <c r="G167" s="9" t="n">
        <f aca="false">D167/F167</f>
        <v>0.532417757904823</v>
      </c>
      <c r="H167" s="8"/>
      <c r="I167" s="8"/>
      <c r="J167" s="8" t="str">
        <f aca="false">IF(OR(H167="",H167=0),"",H167+I167)</f>
        <v/>
      </c>
      <c r="K167" s="9" t="str">
        <f aca="false">IF(J167="","",H167/J167)</f>
        <v/>
      </c>
      <c r="L167" s="8" t="n">
        <f aca="false">IF(OR(A167=2020,A167=2024),1,0)</f>
        <v>1</v>
      </c>
    </row>
    <row r="168" customFormat="false" ht="15" hidden="false" customHeight="true" outlineLevel="0" collapsed="false">
      <c r="A168" s="8" t="n">
        <v>2022</v>
      </c>
      <c r="B168" s="8" t="s">
        <v>99</v>
      </c>
      <c r="C168" s="8" t="s">
        <v>81</v>
      </c>
      <c r="D168" s="8" t="n">
        <v>5699</v>
      </c>
      <c r="E168" s="8" t="n">
        <v>4420</v>
      </c>
      <c r="F168" s="8" t="n">
        <f aca="false">D168+E168</f>
        <v>10119</v>
      </c>
      <c r="G168" s="9" t="n">
        <f aca="false">D168/F168</f>
        <v>0.563197944460915</v>
      </c>
      <c r="H168" s="8" t="n">
        <v>6278</v>
      </c>
      <c r="I168" s="8" t="n">
        <v>3673</v>
      </c>
      <c r="J168" s="8" t="n">
        <f aca="false">IF(OR(H168="",H168=0),"",H168+I168)</f>
        <v>9951</v>
      </c>
      <c r="K168" s="9" t="n">
        <f aca="false">IF(J168="","",H168/J168)</f>
        <v>0.630891367701739</v>
      </c>
      <c r="L168" s="8" t="n">
        <f aca="false">IF(OR(A168=2020,A168=2024),1,0)</f>
        <v>0</v>
      </c>
    </row>
    <row r="169" customFormat="false" ht="15" hidden="false" customHeight="true" outlineLevel="0" collapsed="false">
      <c r="A169" s="8" t="n">
        <v>2024</v>
      </c>
      <c r="B169" s="8" t="s">
        <v>99</v>
      </c>
      <c r="C169" s="8" t="s">
        <v>81</v>
      </c>
      <c r="D169" s="8" t="n">
        <v>7019</v>
      </c>
      <c r="E169" s="8" t="n">
        <v>6110</v>
      </c>
      <c r="F169" s="8" t="n">
        <f aca="false">D169+E169</f>
        <v>13129</v>
      </c>
      <c r="G169" s="9" t="n">
        <f aca="false">D169/F169</f>
        <v>0.534618021174499</v>
      </c>
      <c r="H169" s="8"/>
      <c r="I169" s="8"/>
      <c r="J169" s="8" t="str">
        <f aca="false">IF(OR(H169="",H169=0),"",H169+I169)</f>
        <v/>
      </c>
      <c r="K169" s="9" t="str">
        <f aca="false">IF(J169="","",H169/J169)</f>
        <v/>
      </c>
      <c r="L169" s="8" t="n">
        <f aca="false">IF(OR(A169=2020,A169=2024),1,0)</f>
        <v>1</v>
      </c>
    </row>
    <row r="170" customFormat="false" ht="15" hidden="false" customHeight="true" outlineLevel="0" collapsed="false">
      <c r="A170" s="8" t="n">
        <v>2018</v>
      </c>
      <c r="B170" s="8" t="s">
        <v>100</v>
      </c>
      <c r="C170" s="8" t="s">
        <v>81</v>
      </c>
      <c r="D170" s="8" t="n">
        <v>5137</v>
      </c>
      <c r="E170" s="8" t="n">
        <v>4495</v>
      </c>
      <c r="F170" s="8" t="n">
        <f aca="false">D170+E170</f>
        <v>9632</v>
      </c>
      <c r="G170" s="9" t="n">
        <f aca="false">D170/F170</f>
        <v>0.533326411960133</v>
      </c>
      <c r="H170" s="8" t="n">
        <v>5703</v>
      </c>
      <c r="I170" s="8" t="n">
        <v>4067</v>
      </c>
      <c r="J170" s="8" t="n">
        <f aca="false">IF(OR(H170="",H170=0),"",H170+I170)</f>
        <v>9770</v>
      </c>
      <c r="K170" s="9" t="n">
        <f aca="false">IF(J170="","",H170/J170)</f>
        <v>0.583725690890481</v>
      </c>
      <c r="L170" s="8" t="n">
        <f aca="false">IF(OR(A170=2020,A170=2024),1,0)</f>
        <v>0</v>
      </c>
    </row>
    <row r="171" customFormat="false" ht="15" hidden="false" customHeight="true" outlineLevel="0" collapsed="false">
      <c r="A171" s="8" t="n">
        <v>2020</v>
      </c>
      <c r="B171" s="8" t="s">
        <v>100</v>
      </c>
      <c r="C171" s="8" t="s">
        <v>81</v>
      </c>
      <c r="D171" s="8" t="n">
        <v>7495</v>
      </c>
      <c r="E171" s="8" t="n">
        <v>7011</v>
      </c>
      <c r="F171" s="8" t="n">
        <f aca="false">D171+E171</f>
        <v>14506</v>
      </c>
      <c r="G171" s="9" t="n">
        <f aca="false">D171/F171</f>
        <v>0.516682751964704</v>
      </c>
      <c r="H171" s="8"/>
      <c r="I171" s="8"/>
      <c r="J171" s="8" t="str">
        <f aca="false">IF(OR(H171="",H171=0),"",H171+I171)</f>
        <v/>
      </c>
      <c r="K171" s="9" t="str">
        <f aca="false">IF(J171="","",H171/J171)</f>
        <v/>
      </c>
      <c r="L171" s="8" t="n">
        <f aca="false">IF(OR(A171=2020,A171=2024),1,0)</f>
        <v>1</v>
      </c>
    </row>
    <row r="172" customFormat="false" ht="15" hidden="false" customHeight="true" outlineLevel="0" collapsed="false">
      <c r="A172" s="8" t="n">
        <v>2022</v>
      </c>
      <c r="B172" s="8" t="s">
        <v>100</v>
      </c>
      <c r="C172" s="8" t="s">
        <v>81</v>
      </c>
      <c r="D172" s="8" t="n">
        <v>6009</v>
      </c>
      <c r="E172" s="8" t="n">
        <v>5257</v>
      </c>
      <c r="F172" s="8" t="n">
        <f aca="false">D172+E172</f>
        <v>11266</v>
      </c>
      <c r="G172" s="9" t="n">
        <f aca="false">D172/F172</f>
        <v>0.533374755902716</v>
      </c>
      <c r="H172" s="8" t="n">
        <v>6657</v>
      </c>
      <c r="I172" s="8" t="n">
        <v>4396</v>
      </c>
      <c r="J172" s="8" t="n">
        <f aca="false">IF(OR(H172="",H172=0),"",H172+I172)</f>
        <v>11053</v>
      </c>
      <c r="K172" s="9" t="n">
        <f aca="false">IF(J172="","",H172/J172)</f>
        <v>0.602279924002533</v>
      </c>
      <c r="L172" s="8" t="n">
        <f aca="false">IF(OR(A172=2020,A172=2024),1,0)</f>
        <v>0</v>
      </c>
    </row>
    <row r="173" customFormat="false" ht="15" hidden="false" customHeight="true" outlineLevel="0" collapsed="false">
      <c r="A173" s="8" t="n">
        <v>2024</v>
      </c>
      <c r="B173" s="8" t="s">
        <v>100</v>
      </c>
      <c r="C173" s="8" t="s">
        <v>81</v>
      </c>
      <c r="D173" s="8" t="n">
        <v>8020</v>
      </c>
      <c r="E173" s="8" t="n">
        <v>7607</v>
      </c>
      <c r="F173" s="8" t="n">
        <f aca="false">D173+E173</f>
        <v>15627</v>
      </c>
      <c r="G173" s="9" t="n">
        <f aca="false">D173/F173</f>
        <v>0.513214308568503</v>
      </c>
      <c r="H173" s="8"/>
      <c r="I173" s="8"/>
      <c r="J173" s="8" t="str">
        <f aca="false">IF(OR(H173="",H173=0),"",H173+I173)</f>
        <v/>
      </c>
      <c r="K173" s="9" t="str">
        <f aca="false">IF(J173="","",H173/J173)</f>
        <v/>
      </c>
      <c r="L173" s="8" t="n">
        <f aca="false">IF(OR(A173=2020,A173=2024),1,0)</f>
        <v>1</v>
      </c>
    </row>
    <row r="174" customFormat="false" ht="15" hidden="false" customHeight="true" outlineLevel="0" collapsed="false">
      <c r="A174" s="8" t="n">
        <v>2018</v>
      </c>
      <c r="B174" s="8" t="s">
        <v>101</v>
      </c>
      <c r="C174" s="8" t="s">
        <v>81</v>
      </c>
      <c r="D174" s="8" t="n">
        <v>1663</v>
      </c>
      <c r="E174" s="8" t="n">
        <v>1974</v>
      </c>
      <c r="F174" s="8" t="n">
        <f aca="false">D174+E174</f>
        <v>3637</v>
      </c>
      <c r="G174" s="9" t="n">
        <f aca="false">D174/F174</f>
        <v>0.457244982128128</v>
      </c>
      <c r="H174" s="8" t="n">
        <v>1847</v>
      </c>
      <c r="I174" s="8" t="n">
        <v>1832</v>
      </c>
      <c r="J174" s="8" t="n">
        <f aca="false">IF(OR(H174="",H174=0),"",H174+I174)</f>
        <v>3679</v>
      </c>
      <c r="K174" s="9" t="n">
        <f aca="false">IF(J174="","",H174/J174)</f>
        <v>0.502038597444958</v>
      </c>
      <c r="L174" s="8" t="n">
        <f aca="false">IF(OR(A174=2020,A174=2024),1,0)</f>
        <v>0</v>
      </c>
    </row>
    <row r="175" customFormat="false" ht="15" hidden="false" customHeight="true" outlineLevel="0" collapsed="false">
      <c r="A175" s="8" t="n">
        <v>2020</v>
      </c>
      <c r="B175" s="8" t="s">
        <v>101</v>
      </c>
      <c r="C175" s="8" t="s">
        <v>81</v>
      </c>
      <c r="D175" s="8" t="n">
        <v>2222</v>
      </c>
      <c r="E175" s="8" t="n">
        <v>2955</v>
      </c>
      <c r="F175" s="8" t="n">
        <f aca="false">D175+E175</f>
        <v>5177</v>
      </c>
      <c r="G175" s="9" t="n">
        <f aca="false">D175/F175</f>
        <v>0.42920610392119</v>
      </c>
      <c r="H175" s="8"/>
      <c r="I175" s="8"/>
      <c r="J175" s="8" t="str">
        <f aca="false">IF(OR(H175="",H175=0),"",H175+I175)</f>
        <v/>
      </c>
      <c r="K175" s="9" t="str">
        <f aca="false">IF(J175="","",H175/J175)</f>
        <v/>
      </c>
      <c r="L175" s="8" t="n">
        <f aca="false">IF(OR(A175=2020,A175=2024),1,0)</f>
        <v>1</v>
      </c>
    </row>
    <row r="176" customFormat="false" ht="15" hidden="false" customHeight="true" outlineLevel="0" collapsed="false">
      <c r="A176" s="8" t="n">
        <v>2022</v>
      </c>
      <c r="B176" s="8" t="s">
        <v>101</v>
      </c>
      <c r="C176" s="8" t="s">
        <v>81</v>
      </c>
      <c r="D176" s="8" t="n">
        <v>2032</v>
      </c>
      <c r="E176" s="8" t="n">
        <v>2450</v>
      </c>
      <c r="F176" s="8" t="n">
        <f aca="false">D176+E176</f>
        <v>4482</v>
      </c>
      <c r="G176" s="9" t="n">
        <f aca="false">D176/F176</f>
        <v>0.453369031682285</v>
      </c>
      <c r="H176" s="8" t="n">
        <v>2244</v>
      </c>
      <c r="I176" s="8" t="n">
        <v>2150</v>
      </c>
      <c r="J176" s="8" t="n">
        <f aca="false">IF(OR(H176="",H176=0),"",H176+I176)</f>
        <v>4394</v>
      </c>
      <c r="K176" s="9" t="n">
        <f aca="false">IF(J176="","",H176/J176)</f>
        <v>0.510696404187529</v>
      </c>
      <c r="L176" s="8" t="n">
        <f aca="false">IF(OR(A176=2020,A176=2024),1,0)</f>
        <v>0</v>
      </c>
    </row>
    <row r="177" customFormat="false" ht="15" hidden="false" customHeight="true" outlineLevel="0" collapsed="false">
      <c r="A177" s="8" t="n">
        <v>2024</v>
      </c>
      <c r="B177" s="8" t="s">
        <v>101</v>
      </c>
      <c r="C177" s="8" t="s">
        <v>81</v>
      </c>
      <c r="D177" s="8" t="n">
        <v>2380</v>
      </c>
      <c r="E177" s="8" t="n">
        <v>3135</v>
      </c>
      <c r="F177" s="8" t="n">
        <f aca="false">D177+E177</f>
        <v>5515</v>
      </c>
      <c r="G177" s="9" t="n">
        <f aca="false">D177/F177</f>
        <v>0.43155031731641</v>
      </c>
      <c r="H177" s="8"/>
      <c r="I177" s="8"/>
      <c r="J177" s="8" t="str">
        <f aca="false">IF(OR(H177="",H177=0),"",H177+I177)</f>
        <v/>
      </c>
      <c r="K177" s="9" t="str">
        <f aca="false">IF(J177="","",H177/J177)</f>
        <v/>
      </c>
      <c r="L177" s="8" t="n">
        <f aca="false">IF(OR(A177=2020,A177=2024),1,0)</f>
        <v>1</v>
      </c>
    </row>
    <row r="178" customFormat="false" ht="15" hidden="false" customHeight="true" outlineLevel="0" collapsed="false">
      <c r="A178" s="8" t="n">
        <v>2018</v>
      </c>
      <c r="B178" s="8" t="s">
        <v>102</v>
      </c>
      <c r="C178" s="8" t="s">
        <v>81</v>
      </c>
      <c r="D178" s="8" t="n">
        <v>3652</v>
      </c>
      <c r="E178" s="8" t="n">
        <v>3768</v>
      </c>
      <c r="F178" s="8" t="n">
        <f aca="false">D178+E178</f>
        <v>7420</v>
      </c>
      <c r="G178" s="9" t="n">
        <f aca="false">D178/F178</f>
        <v>0.492183288409704</v>
      </c>
      <c r="H178" s="8" t="n">
        <v>4092</v>
      </c>
      <c r="I178" s="8" t="n">
        <v>3438</v>
      </c>
      <c r="J178" s="8" t="n">
        <f aca="false">IF(OR(H178="",H178=0),"",H178+I178)</f>
        <v>7530</v>
      </c>
      <c r="K178" s="9" t="n">
        <f aca="false">IF(J178="","",H178/J178)</f>
        <v>0.543426294820717</v>
      </c>
      <c r="L178" s="8" t="n">
        <f aca="false">IF(OR(A178=2020,A178=2024),1,0)</f>
        <v>0</v>
      </c>
    </row>
    <row r="179" customFormat="false" ht="15" hidden="false" customHeight="true" outlineLevel="0" collapsed="false">
      <c r="A179" s="8" t="n">
        <v>2020</v>
      </c>
      <c r="B179" s="8" t="s">
        <v>102</v>
      </c>
      <c r="C179" s="8" t="s">
        <v>81</v>
      </c>
      <c r="D179" s="8" t="n">
        <v>4817</v>
      </c>
      <c r="E179" s="8" t="n">
        <v>5501</v>
      </c>
      <c r="F179" s="8" t="n">
        <f aca="false">D179+E179</f>
        <v>10318</v>
      </c>
      <c r="G179" s="9" t="n">
        <f aca="false">D179/F179</f>
        <v>0.466854041480907</v>
      </c>
      <c r="H179" s="8"/>
      <c r="I179" s="8"/>
      <c r="J179" s="8" t="str">
        <f aca="false">IF(OR(H179="",H179=0),"",H179+I179)</f>
        <v/>
      </c>
      <c r="K179" s="9" t="str">
        <f aca="false">IF(J179="","",H179/J179)</f>
        <v/>
      </c>
      <c r="L179" s="8" t="n">
        <f aca="false">IF(OR(A179=2020,A179=2024),1,0)</f>
        <v>1</v>
      </c>
    </row>
    <row r="180" customFormat="false" ht="15" hidden="false" customHeight="true" outlineLevel="0" collapsed="false">
      <c r="A180" s="8" t="n">
        <v>2022</v>
      </c>
      <c r="B180" s="8" t="s">
        <v>102</v>
      </c>
      <c r="C180" s="8" t="s">
        <v>81</v>
      </c>
      <c r="D180" s="8" t="n">
        <v>4406</v>
      </c>
      <c r="E180" s="8" t="n">
        <v>4369</v>
      </c>
      <c r="F180" s="8" t="n">
        <f aca="false">D180+E180</f>
        <v>8775</v>
      </c>
      <c r="G180" s="9" t="n">
        <f aca="false">D180/F180</f>
        <v>0.502108262108262</v>
      </c>
      <c r="H180" s="8" t="n">
        <v>4861</v>
      </c>
      <c r="I180" s="8" t="n">
        <v>3730</v>
      </c>
      <c r="J180" s="8" t="n">
        <f aca="false">IF(OR(H180="",H180=0),"",H180+I180)</f>
        <v>8591</v>
      </c>
      <c r="K180" s="9" t="n">
        <f aca="false">IF(J180="","",H180/J180)</f>
        <v>0.565824700267722</v>
      </c>
      <c r="L180" s="8" t="n">
        <f aca="false">IF(OR(A180=2020,A180=2024),1,0)</f>
        <v>0</v>
      </c>
    </row>
    <row r="181" customFormat="false" ht="15" hidden="false" customHeight="true" outlineLevel="0" collapsed="false">
      <c r="A181" s="8" t="n">
        <v>2024</v>
      </c>
      <c r="B181" s="8" t="s">
        <v>102</v>
      </c>
      <c r="C181" s="8" t="s">
        <v>81</v>
      </c>
      <c r="D181" s="8" t="n">
        <v>5462</v>
      </c>
      <c r="E181" s="8" t="n">
        <v>5740</v>
      </c>
      <c r="F181" s="8" t="n">
        <f aca="false">D181+E181</f>
        <v>11202</v>
      </c>
      <c r="G181" s="9" t="n">
        <f aca="false">D181/F181</f>
        <v>0.487591501517586</v>
      </c>
      <c r="H181" s="8"/>
      <c r="I181" s="8"/>
      <c r="J181" s="8" t="str">
        <f aca="false">IF(OR(H181="",H181=0),"",H181+I181)</f>
        <v/>
      </c>
      <c r="K181" s="9" t="str">
        <f aca="false">IF(J181="","",H181/J181)</f>
        <v/>
      </c>
      <c r="L181" s="8" t="n">
        <f aca="false">IF(OR(A181=2020,A181=2024),1,0)</f>
        <v>1</v>
      </c>
    </row>
    <row r="182" customFormat="false" ht="15" hidden="false" customHeight="true" outlineLevel="0" collapsed="false">
      <c r="A182" s="8" t="n">
        <v>2018</v>
      </c>
      <c r="B182" s="8" t="s">
        <v>103</v>
      </c>
      <c r="C182" s="8" t="s">
        <v>81</v>
      </c>
      <c r="D182" s="8" t="n">
        <v>875</v>
      </c>
      <c r="E182" s="8" t="n">
        <v>1592</v>
      </c>
      <c r="F182" s="8" t="n">
        <f aca="false">D182+E182</f>
        <v>2467</v>
      </c>
      <c r="G182" s="9" t="n">
        <f aca="false">D182/F182</f>
        <v>0.35468179975679</v>
      </c>
      <c r="H182" s="8" t="n">
        <v>1054</v>
      </c>
      <c r="I182" s="8" t="n">
        <v>1454</v>
      </c>
      <c r="J182" s="8" t="n">
        <f aca="false">IF(OR(H182="",H182=0),"",H182+I182)</f>
        <v>2508</v>
      </c>
      <c r="K182" s="9" t="n">
        <f aca="false">IF(J182="","",H182/J182)</f>
        <v>0.420255183413078</v>
      </c>
      <c r="L182" s="8" t="n">
        <f aca="false">IF(OR(A182=2020,A182=2024),1,0)</f>
        <v>0</v>
      </c>
    </row>
    <row r="183" customFormat="false" ht="15" hidden="false" customHeight="true" outlineLevel="0" collapsed="false">
      <c r="A183" s="8" t="n">
        <v>2020</v>
      </c>
      <c r="B183" s="8" t="s">
        <v>103</v>
      </c>
      <c r="C183" s="8" t="s">
        <v>81</v>
      </c>
      <c r="D183" s="8" t="n">
        <v>1231</v>
      </c>
      <c r="E183" s="8" t="n">
        <v>2578</v>
      </c>
      <c r="F183" s="8" t="n">
        <f aca="false">D183+E183</f>
        <v>3809</v>
      </c>
      <c r="G183" s="9" t="n">
        <f aca="false">D183/F183</f>
        <v>0.323181937516409</v>
      </c>
      <c r="H183" s="8"/>
      <c r="I183" s="8"/>
      <c r="J183" s="8" t="str">
        <f aca="false">IF(OR(H183="",H183=0),"",H183+I183)</f>
        <v/>
      </c>
      <c r="K183" s="9" t="str">
        <f aca="false">IF(J183="","",H183/J183)</f>
        <v/>
      </c>
      <c r="L183" s="8" t="n">
        <f aca="false">IF(OR(A183=2020,A183=2024),1,0)</f>
        <v>1</v>
      </c>
    </row>
    <row r="184" customFormat="false" ht="15" hidden="false" customHeight="true" outlineLevel="0" collapsed="false">
      <c r="A184" s="8" t="n">
        <v>2022</v>
      </c>
      <c r="B184" s="8" t="s">
        <v>103</v>
      </c>
      <c r="C184" s="8" t="s">
        <v>81</v>
      </c>
      <c r="D184" s="8" t="n">
        <v>1054</v>
      </c>
      <c r="E184" s="8" t="n">
        <v>1952</v>
      </c>
      <c r="F184" s="8" t="n">
        <f aca="false">D184+E184</f>
        <v>3006</v>
      </c>
      <c r="G184" s="9" t="n">
        <f aca="false">D184/F184</f>
        <v>0.350632069194943</v>
      </c>
      <c r="H184" s="8" t="n">
        <v>1173</v>
      </c>
      <c r="I184" s="8" t="n">
        <v>1773</v>
      </c>
      <c r="J184" s="8" t="n">
        <f aca="false">IF(OR(H184="",H184=0),"",H184+I184)</f>
        <v>2946</v>
      </c>
      <c r="K184" s="9" t="n">
        <f aca="false">IF(J184="","",H184/J184)</f>
        <v>0.39816700610998</v>
      </c>
      <c r="L184" s="8" t="n">
        <f aca="false">IF(OR(A184=2020,A184=2024),1,0)</f>
        <v>0</v>
      </c>
    </row>
    <row r="185" customFormat="false" ht="15" hidden="false" customHeight="true" outlineLevel="0" collapsed="false">
      <c r="A185" s="8" t="n">
        <v>2024</v>
      </c>
      <c r="B185" s="8" t="s">
        <v>103</v>
      </c>
      <c r="C185" s="8" t="s">
        <v>81</v>
      </c>
      <c r="D185" s="8" t="n">
        <v>1266</v>
      </c>
      <c r="E185" s="8" t="n">
        <v>2669</v>
      </c>
      <c r="F185" s="8" t="n">
        <f aca="false">D185+E185</f>
        <v>3935</v>
      </c>
      <c r="G185" s="9" t="n">
        <f aca="false">D185/F185</f>
        <v>0.321728081321474</v>
      </c>
      <c r="H185" s="8"/>
      <c r="I185" s="8"/>
      <c r="J185" s="8" t="str">
        <f aca="false">IF(OR(H185="",H185=0),"",H185+I185)</f>
        <v/>
      </c>
      <c r="K185" s="9" t="str">
        <f aca="false">IF(J185="","",H185/J185)</f>
        <v/>
      </c>
      <c r="L185" s="8" t="n">
        <f aca="false">IF(OR(A185=2020,A185=2024),1,0)</f>
        <v>1</v>
      </c>
    </row>
    <row r="186" customFormat="false" ht="15" hidden="false" customHeight="true" outlineLevel="0" collapsed="false">
      <c r="A186" s="8" t="n">
        <v>2018</v>
      </c>
      <c r="B186" s="8" t="s">
        <v>104</v>
      </c>
      <c r="C186" s="8" t="s">
        <v>81</v>
      </c>
      <c r="D186" s="8" t="n">
        <v>822</v>
      </c>
      <c r="E186" s="8" t="n">
        <v>1519</v>
      </c>
      <c r="F186" s="8" t="n">
        <f aca="false">D186+E186</f>
        <v>2341</v>
      </c>
      <c r="G186" s="9" t="n">
        <f aca="false">D186/F186</f>
        <v>0.351131994873986</v>
      </c>
      <c r="H186" s="8" t="n">
        <v>1011</v>
      </c>
      <c r="I186" s="8" t="n">
        <v>1367</v>
      </c>
      <c r="J186" s="8" t="n">
        <f aca="false">IF(OR(H186="",H186=0),"",H186+I186)</f>
        <v>2378</v>
      </c>
      <c r="K186" s="9" t="n">
        <f aca="false">IF(J186="","",H186/J186)</f>
        <v>0.425147182506308</v>
      </c>
      <c r="L186" s="8" t="n">
        <f aca="false">IF(OR(A186=2020,A186=2024),1,0)</f>
        <v>0</v>
      </c>
    </row>
    <row r="187" customFormat="false" ht="15" hidden="false" customHeight="true" outlineLevel="0" collapsed="false">
      <c r="A187" s="8" t="n">
        <v>2020</v>
      </c>
      <c r="B187" s="8" t="s">
        <v>104</v>
      </c>
      <c r="C187" s="8" t="s">
        <v>81</v>
      </c>
      <c r="D187" s="8" t="n">
        <v>1073</v>
      </c>
      <c r="E187" s="8" t="n">
        <v>2156</v>
      </c>
      <c r="F187" s="8" t="n">
        <f aca="false">D187+E187</f>
        <v>3229</v>
      </c>
      <c r="G187" s="9" t="n">
        <f aca="false">D187/F187</f>
        <v>0.332301021988232</v>
      </c>
      <c r="H187" s="8"/>
      <c r="I187" s="8"/>
      <c r="J187" s="8" t="str">
        <f aca="false">IF(OR(H187="",H187=0),"",H187+I187)</f>
        <v/>
      </c>
      <c r="K187" s="9" t="str">
        <f aca="false">IF(J187="","",H187/J187)</f>
        <v/>
      </c>
      <c r="L187" s="8" t="n">
        <f aca="false">IF(OR(A187=2020,A187=2024),1,0)</f>
        <v>1</v>
      </c>
    </row>
    <row r="188" customFormat="false" ht="15" hidden="false" customHeight="true" outlineLevel="0" collapsed="false">
      <c r="A188" s="8" t="n">
        <v>2022</v>
      </c>
      <c r="B188" s="8" t="s">
        <v>104</v>
      </c>
      <c r="C188" s="8" t="s">
        <v>81</v>
      </c>
      <c r="D188" s="8" t="n">
        <v>981</v>
      </c>
      <c r="E188" s="8" t="n">
        <v>1711</v>
      </c>
      <c r="F188" s="8" t="n">
        <f aca="false">D188+E188</f>
        <v>2692</v>
      </c>
      <c r="G188" s="9" t="n">
        <f aca="false">D188/F188</f>
        <v>0.364413075780089</v>
      </c>
      <c r="H188" s="8" t="n">
        <v>1131</v>
      </c>
      <c r="I188" s="8" t="n">
        <v>1501</v>
      </c>
      <c r="J188" s="8" t="n">
        <f aca="false">IF(OR(H188="",H188=0),"",H188+I188)</f>
        <v>2632</v>
      </c>
      <c r="K188" s="9" t="n">
        <f aca="false">IF(J188="","",H188/J188)</f>
        <v>0.429711246200608</v>
      </c>
      <c r="L188" s="8" t="n">
        <f aca="false">IF(OR(A188=2020,A188=2024),1,0)</f>
        <v>0</v>
      </c>
    </row>
    <row r="189" customFormat="false" ht="15" hidden="false" customHeight="true" outlineLevel="0" collapsed="false">
      <c r="A189" s="8" t="n">
        <v>2024</v>
      </c>
      <c r="B189" s="8" t="s">
        <v>104</v>
      </c>
      <c r="C189" s="8" t="s">
        <v>81</v>
      </c>
      <c r="D189" s="8" t="n">
        <v>1172</v>
      </c>
      <c r="E189" s="8" t="n">
        <v>2201</v>
      </c>
      <c r="F189" s="8" t="n">
        <f aca="false">D189+E189</f>
        <v>3373</v>
      </c>
      <c r="G189" s="9" t="n">
        <f aca="false">D189/F189</f>
        <v>0.347465164541951</v>
      </c>
      <c r="H189" s="8"/>
      <c r="I189" s="8"/>
      <c r="J189" s="8" t="str">
        <f aca="false">IF(OR(H189="",H189=0),"",H189+I189)</f>
        <v/>
      </c>
      <c r="K189" s="9" t="str">
        <f aca="false">IF(J189="","",H189/J189)</f>
        <v/>
      </c>
      <c r="L189" s="8" t="n">
        <f aca="false">IF(OR(A189=2020,A189=2024),1,0)</f>
        <v>1</v>
      </c>
    </row>
    <row r="190" customFormat="false" ht="15" hidden="false" customHeight="true" outlineLevel="0" collapsed="false">
      <c r="A190" s="8" t="n">
        <v>2018</v>
      </c>
      <c r="B190" s="8" t="s">
        <v>105</v>
      </c>
      <c r="C190" s="8" t="s">
        <v>81</v>
      </c>
      <c r="D190" s="8" t="n">
        <v>5195</v>
      </c>
      <c r="E190" s="8" t="n">
        <v>4070</v>
      </c>
      <c r="F190" s="8" t="n">
        <f aca="false">D190+E190</f>
        <v>9265</v>
      </c>
      <c r="G190" s="9" t="n">
        <f aca="false">D190/F190</f>
        <v>0.560712358337831</v>
      </c>
      <c r="H190" s="8" t="n">
        <v>5849</v>
      </c>
      <c r="I190" s="8" t="n">
        <v>3637</v>
      </c>
      <c r="J190" s="8" t="n">
        <f aca="false">IF(OR(H190="",H190=0),"",H190+I190)</f>
        <v>9486</v>
      </c>
      <c r="K190" s="9" t="n">
        <f aca="false">IF(J190="","",H190/J190)</f>
        <v>0.616592873708623</v>
      </c>
      <c r="L190" s="8" t="n">
        <f aca="false">IF(OR(A190=2020,A190=2024),1,0)</f>
        <v>0</v>
      </c>
    </row>
    <row r="191" customFormat="false" ht="15" hidden="false" customHeight="true" outlineLevel="0" collapsed="false">
      <c r="A191" s="8" t="n">
        <v>2020</v>
      </c>
      <c r="B191" s="8" t="s">
        <v>105</v>
      </c>
      <c r="C191" s="8" t="s">
        <v>81</v>
      </c>
      <c r="D191" s="8" t="n">
        <v>7458</v>
      </c>
      <c r="E191" s="8" t="n">
        <v>6731</v>
      </c>
      <c r="F191" s="8" t="n">
        <f aca="false">D191+E191</f>
        <v>14189</v>
      </c>
      <c r="G191" s="9" t="n">
        <f aca="false">D191/F191</f>
        <v>0.525618436817253</v>
      </c>
      <c r="H191" s="8"/>
      <c r="I191" s="8"/>
      <c r="J191" s="8" t="str">
        <f aca="false">IF(OR(H191="",H191=0),"",H191+I191)</f>
        <v/>
      </c>
      <c r="K191" s="9" t="str">
        <f aca="false">IF(J191="","",H191/J191)</f>
        <v/>
      </c>
      <c r="L191" s="8" t="n">
        <f aca="false">IF(OR(A191=2020,A191=2024),1,0)</f>
        <v>1</v>
      </c>
    </row>
    <row r="192" customFormat="false" ht="15" hidden="false" customHeight="true" outlineLevel="0" collapsed="false">
      <c r="A192" s="8" t="n">
        <v>2022</v>
      </c>
      <c r="B192" s="8" t="s">
        <v>105</v>
      </c>
      <c r="C192" s="8" t="s">
        <v>81</v>
      </c>
      <c r="D192" s="8" t="n">
        <v>5508</v>
      </c>
      <c r="E192" s="8" t="n">
        <v>4784</v>
      </c>
      <c r="F192" s="8" t="n">
        <f aca="false">D192+E192</f>
        <v>10292</v>
      </c>
      <c r="G192" s="9" t="n">
        <f aca="false">D192/F192</f>
        <v>0.535172949863972</v>
      </c>
      <c r="H192" s="8" t="n">
        <v>5985</v>
      </c>
      <c r="I192" s="8" t="n">
        <v>4122</v>
      </c>
      <c r="J192" s="8" t="n">
        <f aca="false">IF(OR(H192="",H192=0),"",H192+I192)</f>
        <v>10107</v>
      </c>
      <c r="K192" s="9" t="n">
        <f aca="false">IF(J192="","",H192/J192)</f>
        <v>0.592163846838825</v>
      </c>
      <c r="L192" s="8" t="n">
        <f aca="false">IF(OR(A192=2020,A192=2024),1,0)</f>
        <v>0</v>
      </c>
    </row>
    <row r="193" customFormat="false" ht="15" hidden="false" customHeight="true" outlineLevel="0" collapsed="false">
      <c r="A193" s="8" t="n">
        <v>2024</v>
      </c>
      <c r="B193" s="8" t="s">
        <v>105</v>
      </c>
      <c r="C193" s="8" t="s">
        <v>81</v>
      </c>
      <c r="D193" s="8" t="n">
        <v>7383</v>
      </c>
      <c r="E193" s="8" t="n">
        <v>7036</v>
      </c>
      <c r="F193" s="8" t="n">
        <f aca="false">D193+E193</f>
        <v>14419</v>
      </c>
      <c r="G193" s="9" t="n">
        <f aca="false">D193/F193</f>
        <v>0.51203273458631</v>
      </c>
      <c r="H193" s="8"/>
      <c r="I193" s="8"/>
      <c r="J193" s="8" t="str">
        <f aca="false">IF(OR(H193="",H193=0),"",H193+I193)</f>
        <v/>
      </c>
      <c r="K193" s="9" t="str">
        <f aca="false">IF(J193="","",H193/J193)</f>
        <v/>
      </c>
      <c r="L193" s="8" t="n">
        <f aca="false">IF(OR(A193=2020,A193=2024),1,0)</f>
        <v>1</v>
      </c>
    </row>
    <row r="194" customFormat="false" ht="15" hidden="false" customHeight="true" outlineLevel="0" collapsed="false">
      <c r="A194" s="8" t="n">
        <v>2018</v>
      </c>
      <c r="B194" s="8" t="s">
        <v>106</v>
      </c>
      <c r="C194" s="8" t="s">
        <v>107</v>
      </c>
      <c r="D194" s="8" t="n">
        <v>330</v>
      </c>
      <c r="E194" s="8" t="n">
        <v>632</v>
      </c>
      <c r="F194" s="8" t="n">
        <f aca="false">D194+E194</f>
        <v>962</v>
      </c>
      <c r="G194" s="9" t="n">
        <f aca="false">D194/F194</f>
        <v>0.343035343035343</v>
      </c>
      <c r="H194" s="8" t="n">
        <v>391</v>
      </c>
      <c r="I194" s="8" t="n">
        <v>598</v>
      </c>
      <c r="J194" s="8" t="n">
        <f aca="false">IF(OR(H194="",H194=0),"",H194+I194)</f>
        <v>989</v>
      </c>
      <c r="K194" s="9" t="n">
        <f aca="false">IF(J194="","",H194/J194)</f>
        <v>0.395348837209302</v>
      </c>
      <c r="L194" s="8" t="n">
        <f aca="false">IF(OR(A194=2020,A194=2024),1,0)</f>
        <v>0</v>
      </c>
    </row>
    <row r="195" customFormat="false" ht="15" hidden="false" customHeight="true" outlineLevel="0" collapsed="false">
      <c r="A195" s="8" t="n">
        <v>2020</v>
      </c>
      <c r="B195" s="8" t="s">
        <v>106</v>
      </c>
      <c r="C195" s="8" t="s">
        <v>107</v>
      </c>
      <c r="D195" s="8" t="n">
        <v>482</v>
      </c>
      <c r="E195" s="8" t="n">
        <v>987</v>
      </c>
      <c r="F195" s="8" t="n">
        <f aca="false">D195+E195</f>
        <v>1469</v>
      </c>
      <c r="G195" s="9" t="n">
        <f aca="false">D195/F195</f>
        <v>0.328114363512594</v>
      </c>
      <c r="H195" s="8"/>
      <c r="I195" s="8"/>
      <c r="J195" s="8" t="str">
        <f aca="false">IF(OR(H195="",H195=0),"",H195+I195)</f>
        <v/>
      </c>
      <c r="K195" s="9" t="str">
        <f aca="false">IF(J195="","",H195/J195)</f>
        <v/>
      </c>
      <c r="L195" s="8" t="n">
        <f aca="false">IF(OR(A195=2020,A195=2024),1,0)</f>
        <v>1</v>
      </c>
    </row>
    <row r="196" customFormat="false" ht="15" hidden="false" customHeight="true" outlineLevel="0" collapsed="false">
      <c r="A196" s="8" t="n">
        <v>2022</v>
      </c>
      <c r="B196" s="8" t="s">
        <v>106</v>
      </c>
      <c r="C196" s="8" t="s">
        <v>107</v>
      </c>
      <c r="D196" s="8" t="n">
        <v>361</v>
      </c>
      <c r="E196" s="8" t="n">
        <v>824</v>
      </c>
      <c r="F196" s="8" t="n">
        <f aca="false">D196+E196</f>
        <v>1185</v>
      </c>
      <c r="G196" s="9" t="n">
        <f aca="false">D196/F196</f>
        <v>0.30464135021097</v>
      </c>
      <c r="H196" s="8" t="n">
        <v>420</v>
      </c>
      <c r="I196" s="8" t="n">
        <v>735</v>
      </c>
      <c r="J196" s="8" t="n">
        <f aca="false">IF(OR(H196="",H196=0),"",H196+I196)</f>
        <v>1155</v>
      </c>
      <c r="K196" s="9" t="n">
        <f aca="false">IF(J196="","",H196/J196)</f>
        <v>0.363636363636364</v>
      </c>
      <c r="L196" s="8" t="n">
        <f aca="false">IF(OR(A196=2020,A196=2024),1,0)</f>
        <v>0</v>
      </c>
    </row>
    <row r="197" customFormat="false" ht="15" hidden="false" customHeight="true" outlineLevel="0" collapsed="false">
      <c r="A197" s="8" t="n">
        <v>2024</v>
      </c>
      <c r="B197" s="8" t="s">
        <v>106</v>
      </c>
      <c r="C197" s="8" t="s">
        <v>107</v>
      </c>
      <c r="D197" s="8" t="n">
        <v>471</v>
      </c>
      <c r="E197" s="8" t="n">
        <v>1124</v>
      </c>
      <c r="F197" s="8" t="n">
        <f aca="false">D197+E197</f>
        <v>1595</v>
      </c>
      <c r="G197" s="9" t="n">
        <f aca="false">D197/F197</f>
        <v>0.295297805642633</v>
      </c>
      <c r="H197" s="8"/>
      <c r="I197" s="8"/>
      <c r="J197" s="8" t="str">
        <f aca="false">IF(OR(H197="",H197=0),"",H197+I197)</f>
        <v/>
      </c>
      <c r="K197" s="9" t="str">
        <f aca="false">IF(J197="","",H197/J197)</f>
        <v/>
      </c>
      <c r="L197" s="8" t="n">
        <f aca="false">IF(OR(A197=2020,A197=2024),1,0)</f>
        <v>1</v>
      </c>
    </row>
    <row r="198" customFormat="false" ht="15" hidden="false" customHeight="true" outlineLevel="0" collapsed="false">
      <c r="A198" s="8" t="n">
        <v>2018</v>
      </c>
      <c r="B198" s="8" t="s">
        <v>108</v>
      </c>
      <c r="C198" s="8" t="s">
        <v>107</v>
      </c>
      <c r="D198" s="8" t="n">
        <v>1009</v>
      </c>
      <c r="E198" s="8" t="n">
        <v>1471</v>
      </c>
      <c r="F198" s="8" t="n">
        <f aca="false">D198+E198</f>
        <v>2480</v>
      </c>
      <c r="G198" s="9" t="n">
        <f aca="false">D198/F198</f>
        <v>0.406854838709677</v>
      </c>
      <c r="H198" s="8" t="n">
        <v>1071</v>
      </c>
      <c r="I198" s="8" t="n">
        <v>1394</v>
      </c>
      <c r="J198" s="8" t="n">
        <f aca="false">IF(OR(H198="",H198=0),"",H198+I198)</f>
        <v>2465</v>
      </c>
      <c r="K198" s="9" t="n">
        <f aca="false">IF(J198="","",H198/J198)</f>
        <v>0.43448275862069</v>
      </c>
      <c r="L198" s="8" t="n">
        <f aca="false">IF(OR(A198=2020,A198=2024),1,0)</f>
        <v>0</v>
      </c>
    </row>
    <row r="199" customFormat="false" ht="15" hidden="false" customHeight="true" outlineLevel="0" collapsed="false">
      <c r="A199" s="8" t="n">
        <v>2020</v>
      </c>
      <c r="B199" s="8" t="s">
        <v>108</v>
      </c>
      <c r="C199" s="8" t="s">
        <v>107</v>
      </c>
      <c r="D199" s="8" t="n">
        <v>1425</v>
      </c>
      <c r="E199" s="8" t="n">
        <v>2491</v>
      </c>
      <c r="F199" s="8" t="n">
        <f aca="false">D199+E199</f>
        <v>3916</v>
      </c>
      <c r="G199" s="9" t="n">
        <f aca="false">D199/F199</f>
        <v>0.363891726251277</v>
      </c>
      <c r="H199" s="8"/>
      <c r="I199" s="8"/>
      <c r="J199" s="8" t="str">
        <f aca="false">IF(OR(H199="",H199=0),"",H199+I199)</f>
        <v/>
      </c>
      <c r="K199" s="9" t="str">
        <f aca="false">IF(J199="","",H199/J199)</f>
        <v/>
      </c>
      <c r="L199" s="8" t="n">
        <f aca="false">IF(OR(A199=2020,A199=2024),1,0)</f>
        <v>1</v>
      </c>
    </row>
    <row r="200" customFormat="false" ht="15" hidden="false" customHeight="true" outlineLevel="0" collapsed="false">
      <c r="A200" s="8" t="n">
        <v>2022</v>
      </c>
      <c r="B200" s="8" t="s">
        <v>108</v>
      </c>
      <c r="C200" s="8" t="s">
        <v>107</v>
      </c>
      <c r="D200" s="8" t="n">
        <v>1021</v>
      </c>
      <c r="E200" s="8" t="n">
        <v>1984</v>
      </c>
      <c r="F200" s="8" t="n">
        <f aca="false">D200+E200</f>
        <v>3005</v>
      </c>
      <c r="G200" s="9" t="n">
        <f aca="false">D200/F200</f>
        <v>0.339767054908486</v>
      </c>
      <c r="H200" s="8" t="n">
        <v>1142</v>
      </c>
      <c r="I200" s="8" t="n">
        <v>1820</v>
      </c>
      <c r="J200" s="8" t="n">
        <f aca="false">IF(OR(H200="",H200=0),"",H200+I200)</f>
        <v>2962</v>
      </c>
      <c r="K200" s="9" t="n">
        <f aca="false">IF(J200="","",H200/J200)</f>
        <v>0.385550303848751</v>
      </c>
      <c r="L200" s="8" t="n">
        <f aca="false">IF(OR(A200=2020,A200=2024),1,0)</f>
        <v>0</v>
      </c>
    </row>
    <row r="201" customFormat="false" ht="15" hidden="false" customHeight="true" outlineLevel="0" collapsed="false">
      <c r="A201" s="8" t="n">
        <v>2024</v>
      </c>
      <c r="B201" s="8" t="s">
        <v>108</v>
      </c>
      <c r="C201" s="8" t="s">
        <v>107</v>
      </c>
      <c r="D201" s="8" t="n">
        <v>1414</v>
      </c>
      <c r="E201" s="8" t="n">
        <v>2894</v>
      </c>
      <c r="F201" s="8" t="n">
        <f aca="false">D201+E201</f>
        <v>4308</v>
      </c>
      <c r="G201" s="9" t="n">
        <f aca="false">D201/F201</f>
        <v>0.328226555246054</v>
      </c>
      <c r="H201" s="8"/>
      <c r="I201" s="8"/>
      <c r="J201" s="8" t="str">
        <f aca="false">IF(OR(H201="",H201=0),"",H201+I201)</f>
        <v/>
      </c>
      <c r="K201" s="9" t="str">
        <f aca="false">IF(J201="","",H201/J201)</f>
        <v/>
      </c>
      <c r="L201" s="8" t="n">
        <f aca="false">IF(OR(A201=2020,A201=2024),1,0)</f>
        <v>1</v>
      </c>
    </row>
    <row r="202" customFormat="false" ht="15" hidden="false" customHeight="true" outlineLevel="0" collapsed="false">
      <c r="A202" s="8" t="n">
        <v>2018</v>
      </c>
      <c r="B202" s="8" t="s">
        <v>109</v>
      </c>
      <c r="C202" s="8" t="s">
        <v>107</v>
      </c>
      <c r="D202" s="8" t="n">
        <v>785</v>
      </c>
      <c r="E202" s="8" t="n">
        <v>1102</v>
      </c>
      <c r="F202" s="8" t="n">
        <f aca="false">D202+E202</f>
        <v>1887</v>
      </c>
      <c r="G202" s="9" t="n">
        <f aca="false">D202/F202</f>
        <v>0.416004239533651</v>
      </c>
      <c r="H202" s="8" t="n">
        <v>872</v>
      </c>
      <c r="I202" s="8" t="n">
        <v>1047</v>
      </c>
      <c r="J202" s="8" t="n">
        <f aca="false">IF(OR(H202="",H202=0),"",H202+I202)</f>
        <v>1919</v>
      </c>
      <c r="K202" s="9" t="n">
        <f aca="false">IF(J202="","",H202/J202)</f>
        <v>0.454403335070349</v>
      </c>
      <c r="L202" s="8" t="n">
        <f aca="false">IF(OR(A202=2020,A202=2024),1,0)</f>
        <v>0</v>
      </c>
    </row>
    <row r="203" customFormat="false" ht="15" hidden="false" customHeight="true" outlineLevel="0" collapsed="false">
      <c r="A203" s="8" t="n">
        <v>2020</v>
      </c>
      <c r="B203" s="8" t="s">
        <v>109</v>
      </c>
      <c r="C203" s="8" t="s">
        <v>107</v>
      </c>
      <c r="D203" s="8" t="n">
        <v>1096</v>
      </c>
      <c r="E203" s="8" t="n">
        <v>1735</v>
      </c>
      <c r="F203" s="8" t="n">
        <f aca="false">D203+E203</f>
        <v>2831</v>
      </c>
      <c r="G203" s="9" t="n">
        <f aca="false">D203/F203</f>
        <v>0.387142352525609</v>
      </c>
      <c r="H203" s="8"/>
      <c r="I203" s="8"/>
      <c r="J203" s="8" t="str">
        <f aca="false">IF(OR(H203="",H203=0),"",H203+I203)</f>
        <v/>
      </c>
      <c r="K203" s="9" t="str">
        <f aca="false">IF(J203="","",H203/J203)</f>
        <v/>
      </c>
      <c r="L203" s="8" t="n">
        <f aca="false">IF(OR(A203=2020,A203=2024),1,0)</f>
        <v>1</v>
      </c>
    </row>
    <row r="204" customFormat="false" ht="15" hidden="false" customHeight="true" outlineLevel="0" collapsed="false">
      <c r="A204" s="8" t="n">
        <v>2022</v>
      </c>
      <c r="B204" s="8" t="s">
        <v>109</v>
      </c>
      <c r="C204" s="8" t="s">
        <v>107</v>
      </c>
      <c r="D204" s="8" t="n">
        <v>380</v>
      </c>
      <c r="E204" s="8" t="n">
        <v>732</v>
      </c>
      <c r="F204" s="8" t="n">
        <f aca="false">D204+E204</f>
        <v>1112</v>
      </c>
      <c r="G204" s="9" t="n">
        <f aca="false">D204/F204</f>
        <v>0.341726618705036</v>
      </c>
      <c r="H204" s="8" t="n">
        <v>962</v>
      </c>
      <c r="I204" s="8" t="n">
        <v>1351</v>
      </c>
      <c r="J204" s="8" t="n">
        <f aca="false">IF(OR(H204="",H204=0),"",H204+I204)</f>
        <v>2313</v>
      </c>
      <c r="K204" s="9" t="n">
        <f aca="false">IF(J204="","",H204/J204)</f>
        <v>0.415910073497622</v>
      </c>
      <c r="L204" s="8" t="n">
        <f aca="false">IF(OR(A204=2020,A204=2024),1,0)</f>
        <v>0</v>
      </c>
    </row>
    <row r="205" customFormat="false" ht="15" hidden="false" customHeight="true" outlineLevel="0" collapsed="false">
      <c r="A205" s="8" t="n">
        <v>2024</v>
      </c>
      <c r="B205" s="8" t="s">
        <v>109</v>
      </c>
      <c r="C205" s="8" t="s">
        <v>107</v>
      </c>
      <c r="D205" s="8" t="n">
        <v>521</v>
      </c>
      <c r="E205" s="8" t="n">
        <v>997</v>
      </c>
      <c r="F205" s="8" t="n">
        <f aca="false">D205+E205</f>
        <v>1518</v>
      </c>
      <c r="G205" s="9" t="n">
        <f aca="false">D205/F205</f>
        <v>0.343214756258235</v>
      </c>
      <c r="H205" s="8"/>
      <c r="I205" s="8"/>
      <c r="J205" s="8" t="str">
        <f aca="false">IF(OR(H205="",H205=0),"",H205+I205)</f>
        <v/>
      </c>
      <c r="K205" s="9" t="str">
        <f aca="false">IF(J205="","",H205/J205)</f>
        <v/>
      </c>
      <c r="L205" s="8" t="n">
        <f aca="false">IF(OR(A205=2020,A205=2024),1,0)</f>
        <v>1</v>
      </c>
    </row>
    <row r="206" customFormat="false" ht="15" hidden="false" customHeight="true" outlineLevel="0" collapsed="false">
      <c r="A206" s="8" t="n">
        <v>2018</v>
      </c>
      <c r="B206" s="8" t="s">
        <v>110</v>
      </c>
      <c r="C206" s="8" t="s">
        <v>111</v>
      </c>
      <c r="D206" s="8" t="n">
        <v>908</v>
      </c>
      <c r="E206" s="8" t="n">
        <v>1196</v>
      </c>
      <c r="F206" s="8" t="n">
        <f aca="false">D206+E206</f>
        <v>2104</v>
      </c>
      <c r="G206" s="9" t="n">
        <f aca="false">D206/F206</f>
        <v>0.431558935361217</v>
      </c>
      <c r="H206" s="8" t="n">
        <v>1065</v>
      </c>
      <c r="I206" s="8" t="n">
        <v>1079</v>
      </c>
      <c r="J206" s="8" t="n">
        <f aca="false">IF(OR(H206="",H206=0),"",H206+I206)</f>
        <v>2144</v>
      </c>
      <c r="K206" s="9" t="n">
        <f aca="false">IF(J206="","",H206/J206)</f>
        <v>0.496735074626866</v>
      </c>
      <c r="L206" s="8" t="n">
        <f aca="false">IF(OR(A206=2020,A206=2024),1,0)</f>
        <v>0</v>
      </c>
    </row>
    <row r="207" customFormat="false" ht="15" hidden="false" customHeight="true" outlineLevel="0" collapsed="false">
      <c r="A207" s="8" t="n">
        <v>2020</v>
      </c>
      <c r="B207" s="8" t="s">
        <v>110</v>
      </c>
      <c r="C207" s="8" t="s">
        <v>111</v>
      </c>
      <c r="D207" s="8" t="n">
        <v>1432</v>
      </c>
      <c r="E207" s="8" t="n">
        <v>1882</v>
      </c>
      <c r="F207" s="8" t="n">
        <f aca="false">D207+E207</f>
        <v>3314</v>
      </c>
      <c r="G207" s="9" t="n">
        <f aca="false">D207/F207</f>
        <v>0.432106216053108</v>
      </c>
      <c r="H207" s="8"/>
      <c r="I207" s="8"/>
      <c r="J207" s="8" t="str">
        <f aca="false">IF(OR(H207="",H207=0),"",H207+I207)</f>
        <v/>
      </c>
      <c r="K207" s="9" t="str">
        <f aca="false">IF(J207="","",H207/J207)</f>
        <v/>
      </c>
      <c r="L207" s="8" t="n">
        <f aca="false">IF(OR(A207=2020,A207=2024),1,0)</f>
        <v>1</v>
      </c>
    </row>
    <row r="208" customFormat="false" ht="15" hidden="false" customHeight="true" outlineLevel="0" collapsed="false">
      <c r="A208" s="8" t="n">
        <v>2022</v>
      </c>
      <c r="B208" s="8" t="s">
        <v>110</v>
      </c>
      <c r="C208" s="8" t="s">
        <v>111</v>
      </c>
      <c r="D208" s="8" t="n">
        <v>1174</v>
      </c>
      <c r="E208" s="8" t="n">
        <v>1426</v>
      </c>
      <c r="F208" s="8" t="n">
        <f aca="false">D208+E208</f>
        <v>2600</v>
      </c>
      <c r="G208" s="9" t="n">
        <f aca="false">D208/F208</f>
        <v>0.451538461538462</v>
      </c>
      <c r="H208" s="8" t="n">
        <v>1307</v>
      </c>
      <c r="I208" s="8" t="n">
        <v>1253</v>
      </c>
      <c r="J208" s="8" t="n">
        <f aca="false">IF(OR(H208="",H208=0),"",H208+I208)</f>
        <v>2560</v>
      </c>
      <c r="K208" s="9" t="n">
        <f aca="false">IF(J208="","",H208/J208)</f>
        <v>0.510546875</v>
      </c>
      <c r="L208" s="8" t="n">
        <f aca="false">IF(OR(A208=2020,A208=2024),1,0)</f>
        <v>0</v>
      </c>
    </row>
    <row r="209" customFormat="false" ht="15" hidden="false" customHeight="true" outlineLevel="0" collapsed="false">
      <c r="A209" s="8" t="n">
        <v>2024</v>
      </c>
      <c r="B209" s="8" t="s">
        <v>110</v>
      </c>
      <c r="C209" s="8" t="s">
        <v>111</v>
      </c>
      <c r="D209" s="8" t="n">
        <v>1511</v>
      </c>
      <c r="E209" s="8" t="n">
        <v>2018</v>
      </c>
      <c r="F209" s="8" t="n">
        <f aca="false">D209+E209</f>
        <v>3529</v>
      </c>
      <c r="G209" s="9" t="n">
        <f aca="false">D209/F209</f>
        <v>0.428166619438935</v>
      </c>
      <c r="H209" s="8"/>
      <c r="I209" s="8"/>
      <c r="J209" s="8" t="str">
        <f aca="false">IF(OR(H209="",H209=0),"",H209+I209)</f>
        <v/>
      </c>
      <c r="K209" s="9" t="str">
        <f aca="false">IF(J209="","",H209/J209)</f>
        <v/>
      </c>
      <c r="L209" s="8" t="n">
        <f aca="false">IF(OR(A209=2020,A209=2024),1,0)</f>
        <v>1</v>
      </c>
    </row>
    <row r="210" customFormat="false" ht="15" hidden="false" customHeight="true" outlineLevel="0" collapsed="false">
      <c r="A210" s="8" t="n">
        <v>2018</v>
      </c>
      <c r="B210" s="8" t="s">
        <v>112</v>
      </c>
      <c r="C210" s="8" t="s">
        <v>111</v>
      </c>
      <c r="D210" s="8" t="n">
        <v>701</v>
      </c>
      <c r="E210" s="8" t="n">
        <v>780</v>
      </c>
      <c r="F210" s="8" t="n">
        <f aca="false">D210+E210</f>
        <v>1481</v>
      </c>
      <c r="G210" s="9" t="n">
        <f aca="false">D210/F210</f>
        <v>0.473328831870358</v>
      </c>
      <c r="H210" s="8" t="n">
        <v>817</v>
      </c>
      <c r="I210" s="8" t="n">
        <v>694</v>
      </c>
      <c r="J210" s="8" t="n">
        <f aca="false">IF(OR(H210="",H210=0),"",H210+I210)</f>
        <v>1511</v>
      </c>
      <c r="K210" s="9" t="n">
        <f aca="false">IF(J210="","",H210/J210)</f>
        <v>0.540701522170748</v>
      </c>
      <c r="L210" s="8" t="n">
        <f aca="false">IF(OR(A210=2020,A210=2024),1,0)</f>
        <v>0</v>
      </c>
    </row>
    <row r="211" customFormat="false" ht="15" hidden="false" customHeight="true" outlineLevel="0" collapsed="false">
      <c r="A211" s="8" t="n">
        <v>2020</v>
      </c>
      <c r="B211" s="8" t="s">
        <v>112</v>
      </c>
      <c r="C211" s="8" t="s">
        <v>111</v>
      </c>
      <c r="D211" s="8" t="n">
        <v>965</v>
      </c>
      <c r="E211" s="8" t="n">
        <v>1342</v>
      </c>
      <c r="F211" s="8" t="n">
        <f aca="false">D211+E211</f>
        <v>2307</v>
      </c>
      <c r="G211" s="9" t="n">
        <f aca="false">D211/F211</f>
        <v>0.418292154312961</v>
      </c>
      <c r="H211" s="8"/>
      <c r="I211" s="8"/>
      <c r="J211" s="8" t="str">
        <f aca="false">IF(OR(H211="",H211=0),"",H211+I211)</f>
        <v/>
      </c>
      <c r="K211" s="9" t="str">
        <f aca="false">IF(J211="","",H211/J211)</f>
        <v/>
      </c>
      <c r="L211" s="8" t="n">
        <f aca="false">IF(OR(A211=2020,A211=2024),1,0)</f>
        <v>1</v>
      </c>
    </row>
    <row r="212" customFormat="false" ht="15" hidden="false" customHeight="true" outlineLevel="0" collapsed="false">
      <c r="A212" s="8" t="n">
        <v>2022</v>
      </c>
      <c r="B212" s="8" t="s">
        <v>112</v>
      </c>
      <c r="C212" s="8" t="s">
        <v>111</v>
      </c>
      <c r="D212" s="8" t="n">
        <v>729</v>
      </c>
      <c r="E212" s="8" t="n">
        <v>928</v>
      </c>
      <c r="F212" s="8" t="n">
        <f aca="false">D212+E212</f>
        <v>1657</v>
      </c>
      <c r="G212" s="9" t="n">
        <f aca="false">D212/F212</f>
        <v>0.43995171997586</v>
      </c>
      <c r="H212" s="8" t="n">
        <v>803</v>
      </c>
      <c r="I212" s="8" t="n">
        <v>833</v>
      </c>
      <c r="J212" s="8" t="n">
        <f aca="false">IF(OR(H212="",H212=0),"",H212+I212)</f>
        <v>1636</v>
      </c>
      <c r="K212" s="9" t="n">
        <f aca="false">IF(J212="","",H212/J212)</f>
        <v>0.490831295843521</v>
      </c>
      <c r="L212" s="8" t="n">
        <f aca="false">IF(OR(A212=2020,A212=2024),1,0)</f>
        <v>0</v>
      </c>
    </row>
    <row r="213" customFormat="false" ht="15" hidden="false" customHeight="true" outlineLevel="0" collapsed="false">
      <c r="A213" s="8" t="n">
        <v>2024</v>
      </c>
      <c r="B213" s="8" t="s">
        <v>112</v>
      </c>
      <c r="C213" s="8" t="s">
        <v>111</v>
      </c>
      <c r="D213" s="8" t="n">
        <v>959</v>
      </c>
      <c r="E213" s="8" t="n">
        <v>1364</v>
      </c>
      <c r="F213" s="8" t="n">
        <f aca="false">D213+E213</f>
        <v>2323</v>
      </c>
      <c r="G213" s="9" t="n">
        <f aca="false">D213/F213</f>
        <v>0.412828239345674</v>
      </c>
      <c r="H213" s="8"/>
      <c r="I213" s="8"/>
      <c r="J213" s="8" t="str">
        <f aca="false">IF(OR(H213="",H213=0),"",H213+I213)</f>
        <v/>
      </c>
      <c r="K213" s="9" t="str">
        <f aca="false">IF(J213="","",H213/J213)</f>
        <v/>
      </c>
      <c r="L213" s="8" t="n">
        <f aca="false">IF(OR(A213=2020,A213=2024),1,0)</f>
        <v>1</v>
      </c>
    </row>
    <row r="214" customFormat="false" ht="15" hidden="false" customHeight="true" outlineLevel="0" collapsed="false">
      <c r="A214" s="8" t="n">
        <v>2018</v>
      </c>
      <c r="B214" s="8" t="s">
        <v>113</v>
      </c>
      <c r="C214" s="8" t="s">
        <v>111</v>
      </c>
      <c r="D214" s="8" t="n">
        <v>368</v>
      </c>
      <c r="E214" s="8" t="n">
        <v>408</v>
      </c>
      <c r="F214" s="8" t="n">
        <f aca="false">D214+E214</f>
        <v>776</v>
      </c>
      <c r="G214" s="9" t="n">
        <f aca="false">D214/F214</f>
        <v>0.474226804123711</v>
      </c>
      <c r="H214" s="8" t="n">
        <v>432</v>
      </c>
      <c r="I214" s="8" t="n">
        <v>361</v>
      </c>
      <c r="J214" s="8" t="n">
        <f aca="false">IF(OR(H214="",H214=0),"",H214+I214)</f>
        <v>793</v>
      </c>
      <c r="K214" s="9" t="n">
        <f aca="false">IF(J214="","",H214/J214)</f>
        <v>0.544766708701135</v>
      </c>
      <c r="L214" s="8" t="n">
        <f aca="false">IF(OR(A214=2020,A214=2024),1,0)</f>
        <v>0</v>
      </c>
    </row>
    <row r="215" customFormat="false" ht="15" hidden="false" customHeight="true" outlineLevel="0" collapsed="false">
      <c r="A215" s="8" t="n">
        <v>2020</v>
      </c>
      <c r="B215" s="8" t="s">
        <v>113</v>
      </c>
      <c r="C215" s="8" t="s">
        <v>111</v>
      </c>
      <c r="D215" s="8" t="n">
        <v>579</v>
      </c>
      <c r="E215" s="8" t="n">
        <v>695</v>
      </c>
      <c r="F215" s="8" t="n">
        <f aca="false">D215+E215</f>
        <v>1274</v>
      </c>
      <c r="G215" s="9" t="n">
        <f aca="false">D215/F215</f>
        <v>0.45447409733124</v>
      </c>
      <c r="H215" s="8"/>
      <c r="I215" s="8"/>
      <c r="J215" s="8" t="str">
        <f aca="false">IF(OR(H215="",H215=0),"",H215+I215)</f>
        <v/>
      </c>
      <c r="K215" s="9" t="str">
        <f aca="false">IF(J215="","",H215/J215)</f>
        <v/>
      </c>
      <c r="L215" s="8" t="n">
        <f aca="false">IF(OR(A215=2020,A215=2024),1,0)</f>
        <v>1</v>
      </c>
    </row>
    <row r="216" customFormat="false" ht="15" hidden="false" customHeight="true" outlineLevel="0" collapsed="false">
      <c r="A216" s="8" t="n">
        <v>2022</v>
      </c>
      <c r="B216" s="8" t="s">
        <v>113</v>
      </c>
      <c r="C216" s="8" t="s">
        <v>111</v>
      </c>
      <c r="D216" s="8" t="n">
        <v>441</v>
      </c>
      <c r="E216" s="8" t="n">
        <v>513</v>
      </c>
      <c r="F216" s="8" t="n">
        <f aca="false">D216+E216</f>
        <v>954</v>
      </c>
      <c r="G216" s="9" t="n">
        <f aca="false">D216/F216</f>
        <v>0.462264150943396</v>
      </c>
      <c r="H216" s="8" t="n">
        <v>492</v>
      </c>
      <c r="I216" s="8" t="n">
        <v>438</v>
      </c>
      <c r="J216" s="8" t="n">
        <f aca="false">IF(OR(H216="",H216=0),"",H216+I216)</f>
        <v>930</v>
      </c>
      <c r="K216" s="9" t="n">
        <f aca="false">IF(J216="","",H216/J216)</f>
        <v>0.529032258064516</v>
      </c>
      <c r="L216" s="8" t="n">
        <f aca="false">IF(OR(A216=2020,A216=2024),1,0)</f>
        <v>0</v>
      </c>
    </row>
    <row r="217" customFormat="false" ht="15" hidden="false" customHeight="true" outlineLevel="0" collapsed="false">
      <c r="A217" s="8" t="n">
        <v>2024</v>
      </c>
      <c r="B217" s="8" t="s">
        <v>113</v>
      </c>
      <c r="C217" s="8" t="s">
        <v>111</v>
      </c>
      <c r="D217" s="8" t="n">
        <v>623</v>
      </c>
      <c r="E217" s="8" t="n">
        <v>726</v>
      </c>
      <c r="F217" s="8" t="n">
        <f aca="false">D217+E217</f>
        <v>1349</v>
      </c>
      <c r="G217" s="9" t="n">
        <f aca="false">D217/F217</f>
        <v>0.46182357301705</v>
      </c>
      <c r="H217" s="8"/>
      <c r="I217" s="8"/>
      <c r="J217" s="8" t="str">
        <f aca="false">IF(OR(H217="",H217=0),"",H217+I217)</f>
        <v/>
      </c>
      <c r="K217" s="9" t="str">
        <f aca="false">IF(J217="","",H217/J217)</f>
        <v/>
      </c>
      <c r="L217" s="8" t="n">
        <f aca="false">IF(OR(A217=2020,A217=2024),1,0)</f>
        <v>1</v>
      </c>
    </row>
    <row r="218" customFormat="false" ht="15" hidden="false" customHeight="true" outlineLevel="0" collapsed="false">
      <c r="A218" s="8" t="n">
        <v>2018</v>
      </c>
      <c r="B218" s="8" t="s">
        <v>83</v>
      </c>
      <c r="C218" s="8" t="s">
        <v>111</v>
      </c>
      <c r="D218" s="8" t="n">
        <v>12121</v>
      </c>
      <c r="E218" s="8" t="n">
        <v>4931</v>
      </c>
      <c r="F218" s="8" t="n">
        <f aca="false">D218+E218</f>
        <v>17052</v>
      </c>
      <c r="G218" s="9" t="n">
        <f aca="false">D218/F218</f>
        <v>0.710825709594183</v>
      </c>
      <c r="H218" s="8" t="n">
        <v>12842</v>
      </c>
      <c r="I218" s="8" t="n">
        <v>4513</v>
      </c>
      <c r="J218" s="8" t="n">
        <f aca="false">IF(OR(H218="",H218=0),"",H218+I218)</f>
        <v>17355</v>
      </c>
      <c r="K218" s="9" t="n">
        <f aca="false">IF(J218="","",H218/J218)</f>
        <v>0.739959665802362</v>
      </c>
      <c r="L218" s="8" t="n">
        <f aca="false">IF(OR(A218=2020,A218=2024),1,0)</f>
        <v>0</v>
      </c>
    </row>
    <row r="219" customFormat="false" ht="15" hidden="false" customHeight="true" outlineLevel="0" collapsed="false">
      <c r="A219" s="8" t="n">
        <v>2020</v>
      </c>
      <c r="B219" s="8" t="s">
        <v>83</v>
      </c>
      <c r="C219" s="8" t="s">
        <v>111</v>
      </c>
      <c r="D219" s="8" t="n">
        <v>16692</v>
      </c>
      <c r="E219" s="8" t="n">
        <v>8176</v>
      </c>
      <c r="F219" s="8" t="n">
        <f aca="false">D219+E219</f>
        <v>24868</v>
      </c>
      <c r="G219" s="9" t="n">
        <f aca="false">D219/F219</f>
        <v>0.671224063052919</v>
      </c>
      <c r="H219" s="8"/>
      <c r="I219" s="8"/>
      <c r="J219" s="8" t="str">
        <f aca="false">IF(OR(H219="",H219=0),"",H219+I219)</f>
        <v/>
      </c>
      <c r="K219" s="9" t="str">
        <f aca="false">IF(J219="","",H219/J219)</f>
        <v/>
      </c>
      <c r="L219" s="8" t="n">
        <f aca="false">IF(OR(A219=2020,A219=2024),1,0)</f>
        <v>1</v>
      </c>
    </row>
    <row r="220" customFormat="false" ht="15" hidden="false" customHeight="true" outlineLevel="0" collapsed="false">
      <c r="A220" s="8" t="n">
        <v>2022</v>
      </c>
      <c r="B220" s="8" t="s">
        <v>83</v>
      </c>
      <c r="C220" s="8" t="s">
        <v>111</v>
      </c>
      <c r="D220" s="8" t="n">
        <v>12402</v>
      </c>
      <c r="E220" s="8" t="n">
        <v>5692</v>
      </c>
      <c r="F220" s="8" t="n">
        <f aca="false">D220+E220</f>
        <v>18094</v>
      </c>
      <c r="G220" s="9" t="n">
        <f aca="false">D220/F220</f>
        <v>0.685420581408202</v>
      </c>
      <c r="H220" s="8" t="n">
        <v>12911</v>
      </c>
      <c r="I220" s="8" t="n">
        <v>4818</v>
      </c>
      <c r="J220" s="8" t="n">
        <f aca="false">IF(OR(H220="",H220=0),"",H220+I220)</f>
        <v>17729</v>
      </c>
      <c r="K220" s="9" t="n">
        <f aca="false">IF(J220="","",H220/J220)</f>
        <v>0.728241863613289</v>
      </c>
      <c r="L220" s="8" t="n">
        <f aca="false">IF(OR(A220=2020,A220=2024),1,0)</f>
        <v>0</v>
      </c>
    </row>
    <row r="221" customFormat="false" ht="15" hidden="false" customHeight="true" outlineLevel="0" collapsed="false">
      <c r="A221" s="8" t="n">
        <v>2024</v>
      </c>
      <c r="B221" s="8" t="s">
        <v>83</v>
      </c>
      <c r="C221" s="8" t="s">
        <v>111</v>
      </c>
      <c r="D221" s="8" t="n">
        <v>17416</v>
      </c>
      <c r="E221" s="8" t="n">
        <v>8640</v>
      </c>
      <c r="F221" s="8" t="n">
        <f aca="false">D221+E221</f>
        <v>26056</v>
      </c>
      <c r="G221" s="9" t="n">
        <f aca="false">D221/F221</f>
        <v>0.668406509057415</v>
      </c>
      <c r="H221" s="8"/>
      <c r="I221" s="8"/>
      <c r="J221" s="8" t="str">
        <f aca="false">IF(OR(H221="",H221=0),"",H221+I221)</f>
        <v/>
      </c>
      <c r="K221" s="9" t="str">
        <f aca="false">IF(J221="","",H221/J221)</f>
        <v/>
      </c>
      <c r="L221" s="8" t="n">
        <f aca="false">IF(OR(A221=2020,A221=2024),1,0)</f>
        <v>1</v>
      </c>
    </row>
    <row r="222" customFormat="false" ht="15" hidden="false" customHeight="true" outlineLevel="0" collapsed="false">
      <c r="A222" s="8" t="n">
        <v>2018</v>
      </c>
      <c r="B222" s="8" t="s">
        <v>114</v>
      </c>
      <c r="C222" s="8" t="s">
        <v>111</v>
      </c>
      <c r="D222" s="8" t="n">
        <v>5576</v>
      </c>
      <c r="E222" s="8" t="n">
        <v>4673</v>
      </c>
      <c r="F222" s="8" t="n">
        <f aca="false">D222+E222</f>
        <v>10249</v>
      </c>
      <c r="G222" s="9" t="n">
        <f aca="false">D222/F222</f>
        <v>0.544053078349107</v>
      </c>
      <c r="H222" s="8" t="n">
        <v>6152</v>
      </c>
      <c r="I222" s="8" t="n">
        <v>4242</v>
      </c>
      <c r="J222" s="8" t="n">
        <f aca="false">IF(OR(H222="",H222=0),"",H222+I222)</f>
        <v>10394</v>
      </c>
      <c r="K222" s="9" t="n">
        <f aca="false">IF(J222="","",H222/J222)</f>
        <v>0.591879930729267</v>
      </c>
      <c r="L222" s="8" t="n">
        <f aca="false">IF(OR(A222=2020,A222=2024),1,0)</f>
        <v>0</v>
      </c>
    </row>
    <row r="223" customFormat="false" ht="15" hidden="false" customHeight="true" outlineLevel="0" collapsed="false">
      <c r="A223" s="8" t="n">
        <v>2020</v>
      </c>
      <c r="B223" s="8" t="s">
        <v>114</v>
      </c>
      <c r="C223" s="8" t="s">
        <v>111</v>
      </c>
      <c r="D223" s="8" t="n">
        <v>8164</v>
      </c>
      <c r="E223" s="8" t="n">
        <v>7277</v>
      </c>
      <c r="F223" s="8" t="n">
        <f aca="false">D223+E223</f>
        <v>15441</v>
      </c>
      <c r="G223" s="9" t="n">
        <f aca="false">D223/F223</f>
        <v>0.528722233015996</v>
      </c>
      <c r="H223" s="8"/>
      <c r="I223" s="8"/>
      <c r="J223" s="8" t="str">
        <f aca="false">IF(OR(H223="",H223=0),"",H223+I223)</f>
        <v/>
      </c>
      <c r="K223" s="9" t="str">
        <f aca="false">IF(J223="","",H223/J223)</f>
        <v/>
      </c>
      <c r="L223" s="8" t="n">
        <f aca="false">IF(OR(A223=2020,A223=2024),1,0)</f>
        <v>1</v>
      </c>
    </row>
    <row r="224" customFormat="false" ht="15" hidden="false" customHeight="true" outlineLevel="0" collapsed="false">
      <c r="A224" s="8" t="n">
        <v>2022</v>
      </c>
      <c r="B224" s="8" t="s">
        <v>114</v>
      </c>
      <c r="C224" s="8" t="s">
        <v>111</v>
      </c>
      <c r="D224" s="8" t="n">
        <v>6681</v>
      </c>
      <c r="E224" s="8" t="n">
        <v>5562</v>
      </c>
      <c r="F224" s="8" t="n">
        <f aca="false">D224+E224</f>
        <v>12243</v>
      </c>
      <c r="G224" s="9" t="n">
        <f aca="false">D224/F224</f>
        <v>0.545699583435433</v>
      </c>
      <c r="H224" s="8" t="n">
        <v>7205</v>
      </c>
      <c r="I224" s="8" t="n">
        <v>4790</v>
      </c>
      <c r="J224" s="8" t="n">
        <f aca="false">IF(OR(H224="",H224=0),"",H224+I224)</f>
        <v>11995</v>
      </c>
      <c r="K224" s="9" t="n">
        <f aca="false">IF(J224="","",H224/J224)</f>
        <v>0.600666944560233</v>
      </c>
      <c r="L224" s="8" t="n">
        <f aca="false">IF(OR(A224=2020,A224=2024),1,0)</f>
        <v>0</v>
      </c>
    </row>
    <row r="225" customFormat="false" ht="15" hidden="false" customHeight="true" outlineLevel="0" collapsed="false">
      <c r="A225" s="8" t="n">
        <v>2024</v>
      </c>
      <c r="B225" s="8" t="s">
        <v>114</v>
      </c>
      <c r="C225" s="8" t="s">
        <v>111</v>
      </c>
      <c r="D225" s="8" t="n">
        <v>8595</v>
      </c>
      <c r="E225" s="8" t="n">
        <v>7440</v>
      </c>
      <c r="F225" s="8" t="n">
        <f aca="false">D225+E225</f>
        <v>16035</v>
      </c>
      <c r="G225" s="9" t="n">
        <f aca="false">D225/F225</f>
        <v>0.536014967259121</v>
      </c>
      <c r="H225" s="8"/>
      <c r="I225" s="8"/>
      <c r="J225" s="8" t="str">
        <f aca="false">IF(OR(H225="",H225=0),"",H225+I225)</f>
        <v/>
      </c>
      <c r="K225" s="9" t="str">
        <f aca="false">IF(J225="","",H225/J225)</f>
        <v/>
      </c>
      <c r="L225" s="8" t="n">
        <f aca="false">IF(OR(A225=2020,A225=2024),1,0)</f>
        <v>1</v>
      </c>
    </row>
    <row r="226" customFormat="false" ht="15" hidden="false" customHeight="true" outlineLevel="0" collapsed="false">
      <c r="A226" s="8" t="n">
        <v>2018</v>
      </c>
      <c r="B226" s="8" t="s">
        <v>115</v>
      </c>
      <c r="C226" s="8" t="s">
        <v>111</v>
      </c>
      <c r="D226" s="8" t="n">
        <v>1370</v>
      </c>
      <c r="E226" s="8" t="n">
        <v>2143</v>
      </c>
      <c r="F226" s="8" t="n">
        <f aca="false">D226+E226</f>
        <v>3513</v>
      </c>
      <c r="G226" s="9" t="n">
        <f aca="false">D226/F226</f>
        <v>0.389980074010817</v>
      </c>
      <c r="H226" s="8" t="n">
        <v>1646</v>
      </c>
      <c r="I226" s="8" t="n">
        <v>1889</v>
      </c>
      <c r="J226" s="8" t="n">
        <f aca="false">IF(OR(H226="",H226=0),"",H226+I226)</f>
        <v>3535</v>
      </c>
      <c r="K226" s="9" t="n">
        <f aca="false">IF(J226="","",H226/J226)</f>
        <v>0.465629420084866</v>
      </c>
      <c r="L226" s="8" t="n">
        <f aca="false">IF(OR(A226=2020,A226=2024),1,0)</f>
        <v>0</v>
      </c>
    </row>
    <row r="227" customFormat="false" ht="15" hidden="false" customHeight="true" outlineLevel="0" collapsed="false">
      <c r="A227" s="8" t="n">
        <v>2020</v>
      </c>
      <c r="B227" s="8" t="s">
        <v>115</v>
      </c>
      <c r="C227" s="8" t="s">
        <v>111</v>
      </c>
      <c r="D227" s="8" t="n">
        <v>1988</v>
      </c>
      <c r="E227" s="8" t="n">
        <v>3385</v>
      </c>
      <c r="F227" s="8" t="n">
        <f aca="false">D227+E227</f>
        <v>5373</v>
      </c>
      <c r="G227" s="9" t="n">
        <f aca="false">D227/F227</f>
        <v>0.36999813884236</v>
      </c>
      <c r="H227" s="8"/>
      <c r="I227" s="8"/>
      <c r="J227" s="8" t="str">
        <f aca="false">IF(OR(H227="",H227=0),"",H227+I227)</f>
        <v/>
      </c>
      <c r="K227" s="9" t="str">
        <f aca="false">IF(J227="","",H227/J227)</f>
        <v/>
      </c>
      <c r="L227" s="8" t="n">
        <f aca="false">IF(OR(A227=2020,A227=2024),1,0)</f>
        <v>1</v>
      </c>
    </row>
    <row r="228" customFormat="false" ht="15" hidden="false" customHeight="true" outlineLevel="0" collapsed="false">
      <c r="A228" s="8" t="n">
        <v>2022</v>
      </c>
      <c r="B228" s="8" t="s">
        <v>115</v>
      </c>
      <c r="C228" s="8" t="s">
        <v>111</v>
      </c>
      <c r="D228" s="8" t="n">
        <v>1737</v>
      </c>
      <c r="E228" s="8" t="n">
        <v>2662</v>
      </c>
      <c r="F228" s="8" t="n">
        <f aca="false">D228+E228</f>
        <v>4399</v>
      </c>
      <c r="G228" s="9" t="n">
        <f aca="false">D228/F228</f>
        <v>0.394862468742896</v>
      </c>
      <c r="H228" s="8" t="n">
        <v>1976</v>
      </c>
      <c r="I228" s="8" t="n">
        <v>2342</v>
      </c>
      <c r="J228" s="8" t="n">
        <f aca="false">IF(OR(H228="",H228=0),"",H228+I228)</f>
        <v>4318</v>
      </c>
      <c r="K228" s="9" t="n">
        <f aca="false">IF(J228="","",H228/J228)</f>
        <v>0.457619268179713</v>
      </c>
      <c r="L228" s="8" t="n">
        <f aca="false">IF(OR(A228=2020,A228=2024),1,0)</f>
        <v>0</v>
      </c>
    </row>
    <row r="229" customFormat="false" ht="15" hidden="false" customHeight="true" outlineLevel="0" collapsed="false">
      <c r="A229" s="8" t="n">
        <v>2024</v>
      </c>
      <c r="B229" s="8" t="s">
        <v>115</v>
      </c>
      <c r="C229" s="8" t="s">
        <v>111</v>
      </c>
      <c r="D229" s="8" t="n">
        <v>2169</v>
      </c>
      <c r="E229" s="8" t="n">
        <v>3459</v>
      </c>
      <c r="F229" s="8" t="n">
        <f aca="false">D229+E229</f>
        <v>5628</v>
      </c>
      <c r="G229" s="9" t="n">
        <f aca="false">D229/F229</f>
        <v>0.385394456289979</v>
      </c>
      <c r="H229" s="8"/>
      <c r="I229" s="8"/>
      <c r="J229" s="8" t="str">
        <f aca="false">IF(OR(H229="",H229=0),"",H229+I229)</f>
        <v/>
      </c>
      <c r="K229" s="9" t="str">
        <f aca="false">IF(J229="","",H229/J229)</f>
        <v/>
      </c>
      <c r="L229" s="8" t="n">
        <f aca="false">IF(OR(A229=2020,A229=2024),1,0)</f>
        <v>1</v>
      </c>
    </row>
    <row r="230" customFormat="false" ht="15" hidden="false" customHeight="true" outlineLevel="0" collapsed="false">
      <c r="A230" s="8" t="n">
        <v>2018</v>
      </c>
      <c r="B230" s="8" t="s">
        <v>116</v>
      </c>
      <c r="C230" s="8" t="s">
        <v>111</v>
      </c>
      <c r="D230" s="8" t="n">
        <v>30</v>
      </c>
      <c r="E230" s="8" t="n">
        <v>36</v>
      </c>
      <c r="F230" s="8" t="n">
        <f aca="false">D230+E230</f>
        <v>66</v>
      </c>
      <c r="G230" s="9" t="n">
        <f aca="false">D230/F230</f>
        <v>0.454545454545455</v>
      </c>
      <c r="H230" s="8" t="n">
        <v>28</v>
      </c>
      <c r="I230" s="8" t="n">
        <v>34</v>
      </c>
      <c r="J230" s="8" t="n">
        <f aca="false">IF(OR(H230="",H230=0),"",H230+I230)</f>
        <v>62</v>
      </c>
      <c r="K230" s="9" t="n">
        <f aca="false">IF(J230="","",H230/J230)</f>
        <v>0.451612903225806</v>
      </c>
      <c r="L230" s="8" t="n">
        <f aca="false">IF(OR(A230=2020,A230=2024),1,0)</f>
        <v>0</v>
      </c>
    </row>
    <row r="231" customFormat="false" ht="15" hidden="false" customHeight="true" outlineLevel="0" collapsed="false">
      <c r="A231" s="8" t="n">
        <v>2020</v>
      </c>
      <c r="B231" s="8" t="s">
        <v>116</v>
      </c>
      <c r="C231" s="8" t="s">
        <v>111</v>
      </c>
      <c r="D231" s="8" t="n">
        <v>39</v>
      </c>
      <c r="E231" s="8" t="n">
        <v>79</v>
      </c>
      <c r="F231" s="8" t="n">
        <f aca="false">D231+E231</f>
        <v>118</v>
      </c>
      <c r="G231" s="9" t="n">
        <f aca="false">D231/F231</f>
        <v>0.330508474576271</v>
      </c>
      <c r="H231" s="8"/>
      <c r="I231" s="8"/>
      <c r="J231" s="8" t="str">
        <f aca="false">IF(OR(H231="",H231=0),"",H231+I231)</f>
        <v/>
      </c>
      <c r="K231" s="9" t="str">
        <f aca="false">IF(J231="","",H231/J231)</f>
        <v/>
      </c>
      <c r="L231" s="8" t="n">
        <f aca="false">IF(OR(A231=2020,A231=2024),1,0)</f>
        <v>1</v>
      </c>
    </row>
    <row r="232" customFormat="false" ht="15" hidden="false" customHeight="true" outlineLevel="0" collapsed="false">
      <c r="A232" s="8" t="n">
        <v>2022</v>
      </c>
      <c r="B232" s="8" t="s">
        <v>116</v>
      </c>
      <c r="C232" s="8" t="s">
        <v>111</v>
      </c>
      <c r="D232" s="8" t="n">
        <v>31</v>
      </c>
      <c r="E232" s="8" t="n">
        <v>55</v>
      </c>
      <c r="F232" s="8" t="n">
        <f aca="false">D232+E232</f>
        <v>86</v>
      </c>
      <c r="G232" s="9" t="n">
        <f aca="false">D232/F232</f>
        <v>0.36046511627907</v>
      </c>
      <c r="H232" s="8" t="n">
        <v>34</v>
      </c>
      <c r="I232" s="8" t="n">
        <v>45</v>
      </c>
      <c r="J232" s="8" t="n">
        <f aca="false">IF(OR(H232="",H232=0),"",H232+I232)</f>
        <v>79</v>
      </c>
      <c r="K232" s="9" t="n">
        <f aca="false">IF(J232="","",H232/J232)</f>
        <v>0.430379746835443</v>
      </c>
      <c r="L232" s="8" t="n">
        <f aca="false">IF(OR(A232=2020,A232=2024),1,0)</f>
        <v>0</v>
      </c>
    </row>
    <row r="233" customFormat="false" ht="15" hidden="false" customHeight="true" outlineLevel="0" collapsed="false">
      <c r="A233" s="8" t="n">
        <v>2024</v>
      </c>
      <c r="B233" s="8" t="s">
        <v>116</v>
      </c>
      <c r="C233" s="8" t="s">
        <v>111</v>
      </c>
      <c r="D233" s="8" t="n">
        <v>40</v>
      </c>
      <c r="E233" s="8" t="n">
        <v>83</v>
      </c>
      <c r="F233" s="8" t="n">
        <f aca="false">D233+E233</f>
        <v>123</v>
      </c>
      <c r="G233" s="9" t="n">
        <f aca="false">D233/F233</f>
        <v>0.32520325203252</v>
      </c>
      <c r="H233" s="8"/>
      <c r="I233" s="8"/>
      <c r="J233" s="8" t="str">
        <f aca="false">IF(OR(H233="",H233=0),"",H233+I233)</f>
        <v/>
      </c>
      <c r="K233" s="9" t="str">
        <f aca="false">IF(J233="","",H233/J233)</f>
        <v/>
      </c>
      <c r="L233" s="8" t="n">
        <f aca="false">IF(OR(A233=2020,A233=2024),1,0)</f>
        <v>1</v>
      </c>
    </row>
    <row r="234" customFormat="false" ht="15" hidden="false" customHeight="true" outlineLevel="0" collapsed="false">
      <c r="A234" s="8" t="n">
        <v>2018</v>
      </c>
      <c r="B234" s="8" t="s">
        <v>117</v>
      </c>
      <c r="C234" s="8" t="s">
        <v>111</v>
      </c>
      <c r="D234" s="8" t="n">
        <v>840</v>
      </c>
      <c r="E234" s="8" t="n">
        <v>1151</v>
      </c>
      <c r="F234" s="8" t="n">
        <f aca="false">D234+E234</f>
        <v>1991</v>
      </c>
      <c r="G234" s="9" t="n">
        <f aca="false">D234/F234</f>
        <v>0.421898543445505</v>
      </c>
      <c r="H234" s="8" t="n">
        <v>986</v>
      </c>
      <c r="I234" s="8" t="n">
        <v>1059</v>
      </c>
      <c r="J234" s="8" t="n">
        <f aca="false">IF(OR(H234="",H234=0),"",H234+I234)</f>
        <v>2045</v>
      </c>
      <c r="K234" s="9" t="n">
        <f aca="false">IF(J234="","",H234/J234)</f>
        <v>0.482151589242054</v>
      </c>
      <c r="L234" s="8" t="n">
        <f aca="false">IF(OR(A234=2020,A234=2024),1,0)</f>
        <v>0</v>
      </c>
    </row>
    <row r="235" customFormat="false" ht="15" hidden="false" customHeight="true" outlineLevel="0" collapsed="false">
      <c r="A235" s="8" t="n">
        <v>2020</v>
      </c>
      <c r="B235" s="8" t="s">
        <v>117</v>
      </c>
      <c r="C235" s="8" t="s">
        <v>111</v>
      </c>
      <c r="D235" s="8" t="n">
        <v>1215</v>
      </c>
      <c r="E235" s="8" t="n">
        <v>1784</v>
      </c>
      <c r="F235" s="8" t="n">
        <f aca="false">D235+E235</f>
        <v>2999</v>
      </c>
      <c r="G235" s="9" t="n">
        <f aca="false">D235/F235</f>
        <v>0.405135045015005</v>
      </c>
      <c r="H235" s="8"/>
      <c r="I235" s="8"/>
      <c r="J235" s="8" t="str">
        <f aca="false">IF(OR(H235="",H235=0),"",H235+I235)</f>
        <v/>
      </c>
      <c r="K235" s="9" t="str">
        <f aca="false">IF(J235="","",H235/J235)</f>
        <v/>
      </c>
      <c r="L235" s="8" t="n">
        <f aca="false">IF(OR(A235=2020,A235=2024),1,0)</f>
        <v>1</v>
      </c>
    </row>
    <row r="236" customFormat="false" ht="15" hidden="false" customHeight="true" outlineLevel="0" collapsed="false">
      <c r="A236" s="8" t="n">
        <v>2022</v>
      </c>
      <c r="B236" s="8" t="s">
        <v>117</v>
      </c>
      <c r="C236" s="8" t="s">
        <v>111</v>
      </c>
      <c r="D236" s="8" t="n">
        <v>1109</v>
      </c>
      <c r="E236" s="8" t="n">
        <v>1408</v>
      </c>
      <c r="F236" s="8" t="n">
        <f aca="false">D236+E236</f>
        <v>2517</v>
      </c>
      <c r="G236" s="9" t="n">
        <f aca="false">D236/F236</f>
        <v>0.440603893524037</v>
      </c>
      <c r="H236" s="8" t="n">
        <v>1232</v>
      </c>
      <c r="I236" s="8" t="n">
        <v>1248</v>
      </c>
      <c r="J236" s="8" t="n">
        <f aca="false">IF(OR(H236="",H236=0),"",H236+I236)</f>
        <v>2480</v>
      </c>
      <c r="K236" s="9" t="n">
        <f aca="false">IF(J236="","",H236/J236)</f>
        <v>0.496774193548387</v>
      </c>
      <c r="L236" s="8" t="n">
        <f aca="false">IF(OR(A236=2020,A236=2024),1,0)</f>
        <v>0</v>
      </c>
    </row>
    <row r="237" customFormat="false" ht="15" hidden="false" customHeight="true" outlineLevel="0" collapsed="false">
      <c r="A237" s="8" t="n">
        <v>2024</v>
      </c>
      <c r="B237" s="8" t="s">
        <v>117</v>
      </c>
      <c r="C237" s="8" t="s">
        <v>111</v>
      </c>
      <c r="D237" s="8" t="n">
        <v>1484</v>
      </c>
      <c r="E237" s="8" t="n">
        <v>1959</v>
      </c>
      <c r="F237" s="8" t="n">
        <f aca="false">D237+E237</f>
        <v>3443</v>
      </c>
      <c r="G237" s="9" t="n">
        <f aca="false">D237/F237</f>
        <v>0.431019459773453</v>
      </c>
      <c r="H237" s="8"/>
      <c r="I237" s="8"/>
      <c r="J237" s="8" t="str">
        <f aca="false">IF(OR(H237="",H237=0),"",H237+I237)</f>
        <v/>
      </c>
      <c r="K237" s="9" t="str">
        <f aca="false">IF(J237="","",H237/J237)</f>
        <v/>
      </c>
      <c r="L237" s="8" t="n">
        <f aca="false">IF(OR(A237=2020,A237=2024),1,0)</f>
        <v>1</v>
      </c>
    </row>
    <row r="238" customFormat="false" ht="15" hidden="false" customHeight="true" outlineLevel="0" collapsed="false">
      <c r="A238" s="8" t="n">
        <v>2018</v>
      </c>
      <c r="B238" s="8" t="s">
        <v>118</v>
      </c>
      <c r="C238" s="8" t="s">
        <v>111</v>
      </c>
      <c r="D238" s="8" t="n">
        <v>130</v>
      </c>
      <c r="E238" s="8" t="n">
        <v>203</v>
      </c>
      <c r="F238" s="8" t="n">
        <f aca="false">D238+E238</f>
        <v>333</v>
      </c>
      <c r="G238" s="9" t="n">
        <f aca="false">D238/F238</f>
        <v>0.39039039039039</v>
      </c>
      <c r="H238" s="8" t="n">
        <v>162</v>
      </c>
      <c r="I238" s="8" t="n">
        <v>181</v>
      </c>
      <c r="J238" s="8" t="n">
        <f aca="false">IF(OR(H238="",H238=0),"",H238+I238)</f>
        <v>343</v>
      </c>
      <c r="K238" s="9" t="n">
        <f aca="false">IF(J238="","",H238/J238)</f>
        <v>0.472303206997085</v>
      </c>
      <c r="L238" s="8" t="n">
        <f aca="false">IF(OR(A238=2020,A238=2024),1,0)</f>
        <v>0</v>
      </c>
    </row>
    <row r="239" customFormat="false" ht="15" hidden="false" customHeight="true" outlineLevel="0" collapsed="false">
      <c r="A239" s="8" t="n">
        <v>2020</v>
      </c>
      <c r="B239" s="8" t="s">
        <v>118</v>
      </c>
      <c r="C239" s="8" t="s">
        <v>111</v>
      </c>
      <c r="D239" s="8" t="n">
        <v>166</v>
      </c>
      <c r="E239" s="8" t="n">
        <v>332</v>
      </c>
      <c r="F239" s="8" t="n">
        <f aca="false">D239+E239</f>
        <v>498</v>
      </c>
      <c r="G239" s="9" t="n">
        <f aca="false">D239/F239</f>
        <v>0.333333333333333</v>
      </c>
      <c r="H239" s="8"/>
      <c r="I239" s="8"/>
      <c r="J239" s="8" t="str">
        <f aca="false">IF(OR(H239="",H239=0),"",H239+I239)</f>
        <v/>
      </c>
      <c r="K239" s="9" t="str">
        <f aca="false">IF(J239="","",H239/J239)</f>
        <v/>
      </c>
      <c r="L239" s="8" t="n">
        <f aca="false">IF(OR(A239=2020,A239=2024),1,0)</f>
        <v>1</v>
      </c>
    </row>
    <row r="240" customFormat="false" ht="15" hidden="false" customHeight="true" outlineLevel="0" collapsed="false">
      <c r="A240" s="8" t="n">
        <v>2022</v>
      </c>
      <c r="B240" s="8" t="s">
        <v>118</v>
      </c>
      <c r="C240" s="8" t="s">
        <v>111</v>
      </c>
      <c r="D240" s="8" t="n">
        <v>137</v>
      </c>
      <c r="E240" s="8" t="n">
        <v>214</v>
      </c>
      <c r="F240" s="8" t="n">
        <f aca="false">D240+E240</f>
        <v>351</v>
      </c>
      <c r="G240" s="9" t="n">
        <f aca="false">D240/F240</f>
        <v>0.39031339031339</v>
      </c>
      <c r="H240" s="8" t="n">
        <v>155</v>
      </c>
      <c r="I240" s="8" t="n">
        <v>186</v>
      </c>
      <c r="J240" s="8" t="n">
        <f aca="false">IF(OR(H240="",H240=0),"",H240+I240)</f>
        <v>341</v>
      </c>
      <c r="K240" s="9" t="n">
        <f aca="false">IF(J240="","",H240/J240)</f>
        <v>0.454545454545455</v>
      </c>
      <c r="L240" s="8" t="n">
        <f aca="false">IF(OR(A240=2020,A240=2024),1,0)</f>
        <v>0</v>
      </c>
    </row>
    <row r="241" customFormat="false" ht="15" hidden="false" customHeight="true" outlineLevel="0" collapsed="false">
      <c r="A241" s="8" t="n">
        <v>2024</v>
      </c>
      <c r="B241" s="8" t="s">
        <v>118</v>
      </c>
      <c r="C241" s="8" t="s">
        <v>111</v>
      </c>
      <c r="D241" s="8" t="n">
        <v>217</v>
      </c>
      <c r="E241" s="8" t="n">
        <v>309</v>
      </c>
      <c r="F241" s="8" t="n">
        <f aca="false">D241+E241</f>
        <v>526</v>
      </c>
      <c r="G241" s="9" t="n">
        <f aca="false">D241/F241</f>
        <v>0.41254752851711</v>
      </c>
      <c r="H241" s="8"/>
      <c r="I241" s="8"/>
      <c r="J241" s="8" t="str">
        <f aca="false">IF(OR(H241="",H241=0),"",H241+I241)</f>
        <v/>
      </c>
      <c r="K241" s="9" t="str">
        <f aca="false">IF(J241="","",H241/J241)</f>
        <v/>
      </c>
      <c r="L241" s="8" t="n">
        <f aca="false">IF(OR(A241=2020,A241=2024),1,0)</f>
        <v>1</v>
      </c>
    </row>
    <row r="242" customFormat="false" ht="15" hidden="false" customHeight="true" outlineLevel="0" collapsed="false">
      <c r="A242" s="8" t="n">
        <v>2018</v>
      </c>
      <c r="B242" s="8" t="s">
        <v>119</v>
      </c>
      <c r="C242" s="8" t="s">
        <v>111</v>
      </c>
      <c r="D242" s="8" t="n">
        <v>5059</v>
      </c>
      <c r="E242" s="8" t="n">
        <v>1583</v>
      </c>
      <c r="F242" s="8" t="n">
        <f aca="false">D242+E242</f>
        <v>6642</v>
      </c>
      <c r="G242" s="9" t="n">
        <f aca="false">D242/F242</f>
        <v>0.761668172237278</v>
      </c>
      <c r="H242" s="8" t="n">
        <v>5250</v>
      </c>
      <c r="I242" s="8" t="n">
        <v>1462</v>
      </c>
      <c r="J242" s="8" t="n">
        <f aca="false">IF(OR(H242="",H242=0),"",H242+I242)</f>
        <v>6712</v>
      </c>
      <c r="K242" s="9" t="n">
        <f aca="false">IF(J242="","",H242/J242)</f>
        <v>0.782181168057211</v>
      </c>
      <c r="L242" s="8" t="n">
        <f aca="false">IF(OR(A242=2020,A242=2024),1,0)</f>
        <v>0</v>
      </c>
    </row>
    <row r="243" customFormat="false" ht="15" hidden="false" customHeight="true" outlineLevel="0" collapsed="false">
      <c r="A243" s="8" t="n">
        <v>2020</v>
      </c>
      <c r="B243" s="8" t="s">
        <v>119</v>
      </c>
      <c r="C243" s="8" t="s">
        <v>111</v>
      </c>
      <c r="D243" s="8" t="n">
        <v>7095</v>
      </c>
      <c r="E243" s="8" t="n">
        <v>2953</v>
      </c>
      <c r="F243" s="8" t="n">
        <f aca="false">D243+E243</f>
        <v>10048</v>
      </c>
      <c r="G243" s="9" t="n">
        <f aca="false">D243/F243</f>
        <v>0.706110668789809</v>
      </c>
      <c r="H243" s="8"/>
      <c r="I243" s="8"/>
      <c r="J243" s="8" t="str">
        <f aca="false">IF(OR(H243="",H243=0),"",H243+I243)</f>
        <v/>
      </c>
      <c r="K243" s="9" t="str">
        <f aca="false">IF(J243="","",H243/J243)</f>
        <v/>
      </c>
      <c r="L243" s="8" t="n">
        <f aca="false">IF(OR(A243=2020,A243=2024),1,0)</f>
        <v>1</v>
      </c>
    </row>
    <row r="244" customFormat="false" ht="15" hidden="false" customHeight="true" outlineLevel="0" collapsed="false">
      <c r="A244" s="8" t="n">
        <v>2022</v>
      </c>
      <c r="B244" s="8" t="s">
        <v>119</v>
      </c>
      <c r="C244" s="8" t="s">
        <v>111</v>
      </c>
      <c r="D244" s="8" t="n">
        <v>5210</v>
      </c>
      <c r="E244" s="8" t="n">
        <v>1883</v>
      </c>
      <c r="F244" s="8" t="n">
        <f aca="false">D244+E244</f>
        <v>7093</v>
      </c>
      <c r="G244" s="9" t="n">
        <f aca="false">D244/F244</f>
        <v>0.734526998449175</v>
      </c>
      <c r="H244" s="8" t="n">
        <v>5337</v>
      </c>
      <c r="I244" s="8" t="n">
        <v>1636</v>
      </c>
      <c r="J244" s="8" t="n">
        <f aca="false">IF(OR(H244="",H244=0),"",H244+I244)</f>
        <v>6973</v>
      </c>
      <c r="K244" s="9" t="n">
        <f aca="false">IF(J244="","",H244/J244)</f>
        <v>0.765380754338161</v>
      </c>
      <c r="L244" s="8" t="n">
        <f aca="false">IF(OR(A244=2020,A244=2024),1,0)</f>
        <v>0</v>
      </c>
    </row>
    <row r="245" customFormat="false" ht="15" hidden="false" customHeight="true" outlineLevel="0" collapsed="false">
      <c r="A245" s="8" t="n">
        <v>2024</v>
      </c>
      <c r="B245" s="8" t="s">
        <v>119</v>
      </c>
      <c r="C245" s="8" t="s">
        <v>111</v>
      </c>
      <c r="D245" s="8" t="n">
        <v>7604</v>
      </c>
      <c r="E245" s="8" t="n">
        <v>3303</v>
      </c>
      <c r="F245" s="8" t="n">
        <f aca="false">D245+E245</f>
        <v>10907</v>
      </c>
      <c r="G245" s="9" t="n">
        <f aca="false">D245/F245</f>
        <v>0.697166957000092</v>
      </c>
      <c r="H245" s="8"/>
      <c r="I245" s="8"/>
      <c r="J245" s="8" t="str">
        <f aca="false">IF(OR(H245="",H245=0),"",H245+I245)</f>
        <v/>
      </c>
      <c r="K245" s="9" t="str">
        <f aca="false">IF(J245="","",H245/J245)</f>
        <v/>
      </c>
      <c r="L245" s="8" t="n">
        <f aca="false">IF(OR(A245=2020,A245=2024),1,0)</f>
        <v>1</v>
      </c>
    </row>
    <row r="246" customFormat="false" ht="15" hidden="false" customHeight="true" outlineLevel="0" collapsed="false">
      <c r="A246" s="8" t="n">
        <v>2018</v>
      </c>
      <c r="B246" s="8" t="s">
        <v>120</v>
      </c>
      <c r="C246" s="8" t="s">
        <v>111</v>
      </c>
      <c r="D246" s="8" t="n">
        <v>3565</v>
      </c>
      <c r="E246" s="8" t="n">
        <v>3017</v>
      </c>
      <c r="F246" s="8" t="n">
        <f aca="false">D246+E246</f>
        <v>6582</v>
      </c>
      <c r="G246" s="9" t="n">
        <f aca="false">D246/F246</f>
        <v>0.541628684290489</v>
      </c>
      <c r="H246" s="8" t="n">
        <v>3886</v>
      </c>
      <c r="I246" s="8" t="n">
        <v>2779</v>
      </c>
      <c r="J246" s="8" t="n">
        <f aca="false">IF(OR(H246="",H246=0),"",H246+I246)</f>
        <v>6665</v>
      </c>
      <c r="K246" s="9" t="n">
        <f aca="false">IF(J246="","",H246/J246)</f>
        <v>0.58304576144036</v>
      </c>
      <c r="L246" s="8" t="n">
        <f aca="false">IF(OR(A246=2020,A246=2024),1,0)</f>
        <v>0</v>
      </c>
    </row>
    <row r="247" customFormat="false" ht="15" hidden="false" customHeight="true" outlineLevel="0" collapsed="false">
      <c r="A247" s="8" t="n">
        <v>2020</v>
      </c>
      <c r="B247" s="8" t="s">
        <v>120</v>
      </c>
      <c r="C247" s="8" t="s">
        <v>111</v>
      </c>
      <c r="D247" s="8" t="n">
        <v>5038</v>
      </c>
      <c r="E247" s="8" t="n">
        <v>4815</v>
      </c>
      <c r="F247" s="8" t="n">
        <f aca="false">D247+E247</f>
        <v>9853</v>
      </c>
      <c r="G247" s="9" t="n">
        <f aca="false">D247/F247</f>
        <v>0.511316350350147</v>
      </c>
      <c r="H247" s="8"/>
      <c r="I247" s="8"/>
      <c r="J247" s="8" t="str">
        <f aca="false">IF(OR(H247="",H247=0),"",H247+I247)</f>
        <v/>
      </c>
      <c r="K247" s="9" t="str">
        <f aca="false">IF(J247="","",H247/J247)</f>
        <v/>
      </c>
      <c r="L247" s="8" t="n">
        <f aca="false">IF(OR(A247=2020,A247=2024),1,0)</f>
        <v>1</v>
      </c>
    </row>
    <row r="248" customFormat="false" ht="15" hidden="false" customHeight="true" outlineLevel="0" collapsed="false">
      <c r="A248" s="8" t="n">
        <v>2022</v>
      </c>
      <c r="B248" s="8" t="s">
        <v>120</v>
      </c>
      <c r="C248" s="8" t="s">
        <v>111</v>
      </c>
      <c r="D248" s="8" t="n">
        <v>4158</v>
      </c>
      <c r="E248" s="8" t="n">
        <v>3782</v>
      </c>
      <c r="F248" s="8" t="n">
        <f aca="false">D248+E248</f>
        <v>7940</v>
      </c>
      <c r="G248" s="9" t="n">
        <f aca="false">D248/F248</f>
        <v>0.52367758186398</v>
      </c>
      <c r="H248" s="8" t="n">
        <v>4530</v>
      </c>
      <c r="I248" s="8" t="n">
        <v>3300</v>
      </c>
      <c r="J248" s="8" t="n">
        <f aca="false">IF(OR(H248="",H248=0),"",H248+I248)</f>
        <v>7830</v>
      </c>
      <c r="K248" s="9" t="n">
        <f aca="false">IF(J248="","",H248/J248)</f>
        <v>0.578544061302682</v>
      </c>
      <c r="L248" s="8" t="n">
        <f aca="false">IF(OR(A248=2020,A248=2024),1,0)</f>
        <v>0</v>
      </c>
    </row>
    <row r="249" customFormat="false" ht="15" hidden="false" customHeight="true" outlineLevel="0" collapsed="false">
      <c r="A249" s="8" t="n">
        <v>2024</v>
      </c>
      <c r="B249" s="8" t="s">
        <v>120</v>
      </c>
      <c r="C249" s="8" t="s">
        <v>111</v>
      </c>
      <c r="D249" s="8" t="n">
        <v>5358</v>
      </c>
      <c r="E249" s="8" t="n">
        <v>5027</v>
      </c>
      <c r="F249" s="8" t="n">
        <f aca="false">D249+E249</f>
        <v>10385</v>
      </c>
      <c r="G249" s="9" t="n">
        <f aca="false">D249/F249</f>
        <v>0.515936446798267</v>
      </c>
      <c r="H249" s="8"/>
      <c r="I249" s="8"/>
      <c r="J249" s="8" t="str">
        <f aca="false">IF(OR(H249="",H249=0),"",H249+I249)</f>
        <v/>
      </c>
      <c r="K249" s="9" t="str">
        <f aca="false">IF(J249="","",H249/J249)</f>
        <v/>
      </c>
      <c r="L249" s="8" t="n">
        <f aca="false">IF(OR(A249=2020,A249=2024),1,0)</f>
        <v>1</v>
      </c>
    </row>
    <row r="250" customFormat="false" ht="15" hidden="false" customHeight="true" outlineLevel="0" collapsed="false">
      <c r="A250" s="8" t="n">
        <v>2018</v>
      </c>
      <c r="B250" s="8" t="s">
        <v>121</v>
      </c>
      <c r="C250" s="8" t="s">
        <v>111</v>
      </c>
      <c r="D250" s="8" t="n">
        <v>497</v>
      </c>
      <c r="E250" s="8" t="n">
        <v>253</v>
      </c>
      <c r="F250" s="8" t="n">
        <f aca="false">D250+E250</f>
        <v>750</v>
      </c>
      <c r="G250" s="9" t="n">
        <f aca="false">D250/F250</f>
        <v>0.662666666666667</v>
      </c>
      <c r="H250" s="8" t="n">
        <v>528</v>
      </c>
      <c r="I250" s="8" t="n">
        <v>231</v>
      </c>
      <c r="J250" s="8" t="n">
        <f aca="false">IF(OR(H250="",H250=0),"",H250+I250)</f>
        <v>759</v>
      </c>
      <c r="K250" s="9" t="n">
        <f aca="false">IF(J250="","",H250/J250)</f>
        <v>0.695652173913044</v>
      </c>
      <c r="L250" s="8" t="n">
        <f aca="false">IF(OR(A250=2020,A250=2024),1,0)</f>
        <v>0</v>
      </c>
    </row>
    <row r="251" customFormat="false" ht="15" hidden="false" customHeight="true" outlineLevel="0" collapsed="false">
      <c r="A251" s="8" t="n">
        <v>2020</v>
      </c>
      <c r="B251" s="8" t="s">
        <v>121</v>
      </c>
      <c r="C251" s="8" t="s">
        <v>111</v>
      </c>
      <c r="D251" s="8" t="n">
        <v>768</v>
      </c>
      <c r="E251" s="8" t="n">
        <v>460</v>
      </c>
      <c r="F251" s="8" t="n">
        <f aca="false">D251+E251</f>
        <v>1228</v>
      </c>
      <c r="G251" s="9" t="n">
        <f aca="false">D251/F251</f>
        <v>0.625407166123778</v>
      </c>
      <c r="H251" s="8"/>
      <c r="I251" s="8"/>
      <c r="J251" s="8" t="str">
        <f aca="false">IF(OR(H251="",H251=0),"",H251+I251)</f>
        <v/>
      </c>
      <c r="K251" s="9" t="str">
        <f aca="false">IF(J251="","",H251/J251)</f>
        <v/>
      </c>
      <c r="L251" s="8" t="n">
        <f aca="false">IF(OR(A251=2020,A251=2024),1,0)</f>
        <v>1</v>
      </c>
    </row>
    <row r="252" customFormat="false" ht="15" hidden="false" customHeight="true" outlineLevel="0" collapsed="false">
      <c r="A252" s="8" t="n">
        <v>2022</v>
      </c>
      <c r="B252" s="8" t="s">
        <v>121</v>
      </c>
      <c r="C252" s="8" t="s">
        <v>111</v>
      </c>
      <c r="D252" s="8" t="n">
        <v>480</v>
      </c>
      <c r="E252" s="8" t="n">
        <v>330</v>
      </c>
      <c r="F252" s="8" t="n">
        <f aca="false">D252+E252</f>
        <v>810</v>
      </c>
      <c r="G252" s="9" t="n">
        <f aca="false">D252/F252</f>
        <v>0.592592592592593</v>
      </c>
      <c r="H252" s="8" t="n">
        <v>512</v>
      </c>
      <c r="I252" s="8" t="n">
        <v>285</v>
      </c>
      <c r="J252" s="8" t="n">
        <f aca="false">IF(OR(H252="",H252=0),"",H252+I252)</f>
        <v>797</v>
      </c>
      <c r="K252" s="9" t="n">
        <f aca="false">IF(J252="","",H252/J252)</f>
        <v>0.642409033877039</v>
      </c>
      <c r="L252" s="8" t="n">
        <f aca="false">IF(OR(A252=2020,A252=2024),1,0)</f>
        <v>0</v>
      </c>
    </row>
    <row r="253" customFormat="false" ht="15" hidden="false" customHeight="true" outlineLevel="0" collapsed="false">
      <c r="A253" s="8" t="n">
        <v>2024</v>
      </c>
      <c r="B253" s="8" t="s">
        <v>121</v>
      </c>
      <c r="C253" s="8" t="s">
        <v>111</v>
      </c>
      <c r="D253" s="8" t="n">
        <v>714</v>
      </c>
      <c r="E253" s="8" t="n">
        <v>484</v>
      </c>
      <c r="F253" s="8" t="n">
        <f aca="false">D253+E253</f>
        <v>1198</v>
      </c>
      <c r="G253" s="9" t="n">
        <f aca="false">D253/F253</f>
        <v>0.595993322203673</v>
      </c>
      <c r="H253" s="8"/>
      <c r="I253" s="8"/>
      <c r="J253" s="8" t="str">
        <f aca="false">IF(OR(H253="",H253=0),"",H253+I253)</f>
        <v/>
      </c>
      <c r="K253" s="9" t="str">
        <f aca="false">IF(J253="","",H253/J253)</f>
        <v/>
      </c>
      <c r="L253" s="8" t="n">
        <f aca="false">IF(OR(A253=2020,A253=2024),1,0)</f>
        <v>1</v>
      </c>
    </row>
    <row r="254" customFormat="false" ht="15" hidden="false" customHeight="true" outlineLevel="0" collapsed="false">
      <c r="A254" s="8" t="n">
        <v>2018</v>
      </c>
      <c r="B254" s="8" t="s">
        <v>122</v>
      </c>
      <c r="C254" s="8" t="s">
        <v>111</v>
      </c>
      <c r="D254" s="8" t="n">
        <v>72</v>
      </c>
      <c r="E254" s="8" t="n">
        <v>39</v>
      </c>
      <c r="F254" s="8" t="n">
        <f aca="false">D254+E254</f>
        <v>111</v>
      </c>
      <c r="G254" s="9" t="n">
        <f aca="false">D254/F254</f>
        <v>0.648648648648649</v>
      </c>
      <c r="H254" s="8" t="n">
        <v>80</v>
      </c>
      <c r="I254" s="8" t="n">
        <v>35</v>
      </c>
      <c r="J254" s="8" t="n">
        <f aca="false">IF(OR(H254="",H254=0),"",H254+I254)</f>
        <v>115</v>
      </c>
      <c r="K254" s="9" t="n">
        <f aca="false">IF(J254="","",H254/J254)</f>
        <v>0.695652173913044</v>
      </c>
      <c r="L254" s="8" t="n">
        <f aca="false">IF(OR(A254=2020,A254=2024),1,0)</f>
        <v>0</v>
      </c>
    </row>
    <row r="255" customFormat="false" ht="15" hidden="false" customHeight="true" outlineLevel="0" collapsed="false">
      <c r="A255" s="8" t="n">
        <v>2020</v>
      </c>
      <c r="B255" s="8" t="s">
        <v>122</v>
      </c>
      <c r="C255" s="8" t="s">
        <v>111</v>
      </c>
      <c r="D255" s="8" t="n">
        <v>101</v>
      </c>
      <c r="E255" s="8" t="n">
        <v>100</v>
      </c>
      <c r="F255" s="8" t="n">
        <f aca="false">D255+E255</f>
        <v>201</v>
      </c>
      <c r="G255" s="9" t="n">
        <f aca="false">D255/F255</f>
        <v>0.502487562189055</v>
      </c>
      <c r="H255" s="8"/>
      <c r="I255" s="8"/>
      <c r="J255" s="8" t="str">
        <f aca="false">IF(OR(H255="",H255=0),"",H255+I255)</f>
        <v/>
      </c>
      <c r="K255" s="9" t="str">
        <f aca="false">IF(J255="","",H255/J255)</f>
        <v/>
      </c>
      <c r="L255" s="8" t="n">
        <f aca="false">IF(OR(A255=2020,A255=2024),1,0)</f>
        <v>1</v>
      </c>
    </row>
    <row r="256" customFormat="false" ht="15" hidden="false" customHeight="true" outlineLevel="0" collapsed="false">
      <c r="A256" s="8" t="n">
        <v>2022</v>
      </c>
      <c r="B256" s="8" t="s">
        <v>122</v>
      </c>
      <c r="C256" s="8" t="s">
        <v>111</v>
      </c>
      <c r="D256" s="8" t="n">
        <v>72</v>
      </c>
      <c r="E256" s="8" t="n">
        <v>69</v>
      </c>
      <c r="F256" s="8" t="n">
        <f aca="false">D256+E256</f>
        <v>141</v>
      </c>
      <c r="G256" s="9" t="n">
        <f aca="false">D256/F256</f>
        <v>0.51063829787234</v>
      </c>
      <c r="H256" s="8" t="n">
        <v>76</v>
      </c>
      <c r="I256" s="8" t="n">
        <v>60</v>
      </c>
      <c r="J256" s="8" t="n">
        <f aca="false">IF(OR(H256="",H256=0),"",H256+I256)</f>
        <v>136</v>
      </c>
      <c r="K256" s="9" t="n">
        <f aca="false">IF(J256="","",H256/J256)</f>
        <v>0.558823529411765</v>
      </c>
      <c r="L256" s="8" t="n">
        <f aca="false">IF(OR(A256=2020,A256=2024),1,0)</f>
        <v>0</v>
      </c>
    </row>
    <row r="257" customFormat="false" ht="15" hidden="false" customHeight="true" outlineLevel="0" collapsed="false">
      <c r="A257" s="8" t="n">
        <v>2024</v>
      </c>
      <c r="B257" s="8" t="s">
        <v>122</v>
      </c>
      <c r="C257" s="8" t="s">
        <v>111</v>
      </c>
      <c r="D257" s="8" t="n">
        <v>109</v>
      </c>
      <c r="E257" s="8" t="n">
        <v>97</v>
      </c>
      <c r="F257" s="8" t="n">
        <f aca="false">D257+E257</f>
        <v>206</v>
      </c>
      <c r="G257" s="9" t="n">
        <f aca="false">D257/F257</f>
        <v>0.529126213592233</v>
      </c>
      <c r="H257" s="8"/>
      <c r="I257" s="8"/>
      <c r="J257" s="8" t="str">
        <f aca="false">IF(OR(H257="",H257=0),"",H257+I257)</f>
        <v/>
      </c>
      <c r="K257" s="9" t="str">
        <f aca="false">IF(J257="","",H257/J257)</f>
        <v/>
      </c>
      <c r="L257" s="8" t="n">
        <f aca="false">IF(OR(A257=2020,A257=2024),1,0)</f>
        <v>1</v>
      </c>
    </row>
    <row r="258" customFormat="false" ht="15" hidden="false" customHeight="true" outlineLevel="0" collapsed="false">
      <c r="A258" s="8" t="n">
        <v>2018</v>
      </c>
      <c r="B258" s="8" t="s">
        <v>89</v>
      </c>
      <c r="C258" s="8" t="s">
        <v>111</v>
      </c>
      <c r="D258" s="8" t="n">
        <v>3075</v>
      </c>
      <c r="E258" s="8" t="n">
        <v>2610</v>
      </c>
      <c r="F258" s="8" t="n">
        <f aca="false">D258+E258</f>
        <v>5685</v>
      </c>
      <c r="G258" s="9" t="n">
        <f aca="false">D258/F258</f>
        <v>0.54089709762533</v>
      </c>
      <c r="H258" s="8" t="n">
        <v>3436</v>
      </c>
      <c r="I258" s="8" t="n">
        <v>2393</v>
      </c>
      <c r="J258" s="8" t="n">
        <f aca="false">IF(OR(H258="",H258=0),"",H258+I258)</f>
        <v>5829</v>
      </c>
      <c r="K258" s="9" t="n">
        <f aca="false">IF(J258="","",H258/J258)</f>
        <v>0.589466460799451</v>
      </c>
      <c r="L258" s="8" t="n">
        <f aca="false">IF(OR(A258=2020,A258=2024),1,0)</f>
        <v>0</v>
      </c>
    </row>
    <row r="259" customFormat="false" ht="15" hidden="false" customHeight="true" outlineLevel="0" collapsed="false">
      <c r="A259" s="8" t="n">
        <v>2020</v>
      </c>
      <c r="B259" s="8" t="s">
        <v>89</v>
      </c>
      <c r="C259" s="8" t="s">
        <v>111</v>
      </c>
      <c r="D259" s="8" t="n">
        <v>4234</v>
      </c>
      <c r="E259" s="8" t="n">
        <v>3699</v>
      </c>
      <c r="F259" s="8" t="n">
        <f aca="false">D259+E259</f>
        <v>7933</v>
      </c>
      <c r="G259" s="9" t="n">
        <f aca="false">D259/F259</f>
        <v>0.533719904197655</v>
      </c>
      <c r="H259" s="8"/>
      <c r="I259" s="8"/>
      <c r="J259" s="8" t="str">
        <f aca="false">IF(OR(H259="",H259=0),"",H259+I259)</f>
        <v/>
      </c>
      <c r="K259" s="9" t="str">
        <f aca="false">IF(J259="","",H259/J259)</f>
        <v/>
      </c>
      <c r="L259" s="8" t="n">
        <f aca="false">IF(OR(A259=2020,A259=2024),1,0)</f>
        <v>1</v>
      </c>
    </row>
    <row r="260" customFormat="false" ht="15" hidden="false" customHeight="true" outlineLevel="0" collapsed="false">
      <c r="A260" s="8" t="n">
        <v>2022</v>
      </c>
      <c r="B260" s="8" t="s">
        <v>89</v>
      </c>
      <c r="C260" s="8" t="s">
        <v>111</v>
      </c>
      <c r="D260" s="8" t="n">
        <v>3570</v>
      </c>
      <c r="E260" s="8" t="n">
        <v>2883</v>
      </c>
      <c r="F260" s="8" t="n">
        <f aca="false">D260+E260</f>
        <v>6453</v>
      </c>
      <c r="G260" s="9" t="n">
        <f aca="false">D260/F260</f>
        <v>0.553231055323106</v>
      </c>
      <c r="H260" s="8" t="n">
        <v>3903</v>
      </c>
      <c r="I260" s="8" t="n">
        <v>2442</v>
      </c>
      <c r="J260" s="8" t="n">
        <f aca="false">IF(OR(H260="",H260=0),"",H260+I260)</f>
        <v>6345</v>
      </c>
      <c r="K260" s="9" t="n">
        <f aca="false">IF(J260="","",H260/J260)</f>
        <v>0.615130023640662</v>
      </c>
      <c r="L260" s="8" t="n">
        <f aca="false">IF(OR(A260=2020,A260=2024),1,0)</f>
        <v>0</v>
      </c>
    </row>
    <row r="261" customFormat="false" ht="15" hidden="false" customHeight="true" outlineLevel="0" collapsed="false">
      <c r="A261" s="8" t="n">
        <v>2024</v>
      </c>
      <c r="B261" s="8" t="s">
        <v>89</v>
      </c>
      <c r="C261" s="8" t="s">
        <v>111</v>
      </c>
      <c r="D261" s="8" t="n">
        <v>4341</v>
      </c>
      <c r="E261" s="8" t="n">
        <v>3620</v>
      </c>
      <c r="F261" s="8" t="n">
        <f aca="false">D261+E261</f>
        <v>7961</v>
      </c>
      <c r="G261" s="9" t="n">
        <f aca="false">D261/F261</f>
        <v>0.545283255872378</v>
      </c>
      <c r="H261" s="8"/>
      <c r="I261" s="8"/>
      <c r="J261" s="8" t="str">
        <f aca="false">IF(OR(H261="",H261=0),"",H261+I261)</f>
        <v/>
      </c>
      <c r="K261" s="9" t="str">
        <f aca="false">IF(J261="","",H261/J261)</f>
        <v/>
      </c>
      <c r="L261" s="8" t="n">
        <f aca="false">IF(OR(A261=2020,A261=2024),1,0)</f>
        <v>1</v>
      </c>
    </row>
    <row r="262" customFormat="false" ht="15" hidden="false" customHeight="true" outlineLevel="0" collapsed="false">
      <c r="A262" s="8" t="n">
        <v>2018</v>
      </c>
      <c r="B262" s="8" t="s">
        <v>123</v>
      </c>
      <c r="C262" s="8" t="s">
        <v>111</v>
      </c>
      <c r="D262" s="8" t="n">
        <v>1246</v>
      </c>
      <c r="E262" s="8" t="n">
        <v>966</v>
      </c>
      <c r="F262" s="8" t="n">
        <f aca="false">D262+E262</f>
        <v>2212</v>
      </c>
      <c r="G262" s="9" t="n">
        <f aca="false">D262/F262</f>
        <v>0.563291139240506</v>
      </c>
      <c r="H262" s="8" t="n">
        <v>1342</v>
      </c>
      <c r="I262" s="8" t="n">
        <v>907</v>
      </c>
      <c r="J262" s="8" t="n">
        <f aca="false">IF(OR(H262="",H262=0),"",H262+I262)</f>
        <v>2249</v>
      </c>
      <c r="K262" s="9" t="n">
        <f aca="false">IF(J262="","",H262/J262)</f>
        <v>0.59670964873277</v>
      </c>
      <c r="L262" s="8" t="n">
        <f aca="false">IF(OR(A262=2020,A262=2024),1,0)</f>
        <v>0</v>
      </c>
    </row>
    <row r="263" customFormat="false" ht="15" hidden="false" customHeight="true" outlineLevel="0" collapsed="false">
      <c r="A263" s="8" t="n">
        <v>2020</v>
      </c>
      <c r="B263" s="8" t="s">
        <v>123</v>
      </c>
      <c r="C263" s="8" t="s">
        <v>111</v>
      </c>
      <c r="D263" s="8" t="n">
        <v>1646</v>
      </c>
      <c r="E263" s="8" t="n">
        <v>1608</v>
      </c>
      <c r="F263" s="8" t="n">
        <f aca="false">D263+E263</f>
        <v>3254</v>
      </c>
      <c r="G263" s="9" t="n">
        <f aca="false">D263/F263</f>
        <v>0.505838967424708</v>
      </c>
      <c r="H263" s="8"/>
      <c r="I263" s="8"/>
      <c r="J263" s="8" t="str">
        <f aca="false">IF(OR(H263="",H263=0),"",H263+I263)</f>
        <v/>
      </c>
      <c r="K263" s="9" t="str">
        <f aca="false">IF(J263="","",H263/J263)</f>
        <v/>
      </c>
      <c r="L263" s="8" t="n">
        <f aca="false">IF(OR(A263=2020,A263=2024),1,0)</f>
        <v>1</v>
      </c>
    </row>
    <row r="264" customFormat="false" ht="15" hidden="false" customHeight="true" outlineLevel="0" collapsed="false">
      <c r="A264" s="8" t="n">
        <v>2022</v>
      </c>
      <c r="B264" s="8" t="s">
        <v>123</v>
      </c>
      <c r="C264" s="8" t="s">
        <v>111</v>
      </c>
      <c r="D264" s="8" t="n">
        <v>1372</v>
      </c>
      <c r="E264" s="8" t="n">
        <v>1201</v>
      </c>
      <c r="F264" s="8" t="n">
        <f aca="false">D264+E264</f>
        <v>2573</v>
      </c>
      <c r="G264" s="9" t="n">
        <f aca="false">D264/F264</f>
        <v>0.53322969296541</v>
      </c>
      <c r="H264" s="8" t="n">
        <v>1488</v>
      </c>
      <c r="I264" s="8" t="n">
        <v>1045</v>
      </c>
      <c r="J264" s="8" t="n">
        <f aca="false">IF(OR(H264="",H264=0),"",H264+I264)</f>
        <v>2533</v>
      </c>
      <c r="K264" s="9" t="n">
        <f aca="false">IF(J264="","",H264/J264)</f>
        <v>0.58744571654165</v>
      </c>
      <c r="L264" s="8" t="n">
        <f aca="false">IF(OR(A264=2020,A264=2024),1,0)</f>
        <v>0</v>
      </c>
    </row>
    <row r="265" customFormat="false" ht="15" hidden="false" customHeight="true" outlineLevel="0" collapsed="false">
      <c r="A265" s="8" t="n">
        <v>2024</v>
      </c>
      <c r="B265" s="8" t="s">
        <v>123</v>
      </c>
      <c r="C265" s="8" t="s">
        <v>111</v>
      </c>
      <c r="D265" s="8" t="n">
        <v>1726</v>
      </c>
      <c r="E265" s="8" t="n">
        <v>1685</v>
      </c>
      <c r="F265" s="8" t="n">
        <f aca="false">D265+E265</f>
        <v>3411</v>
      </c>
      <c r="G265" s="9" t="n">
        <f aca="false">D265/F265</f>
        <v>0.506009967751393</v>
      </c>
      <c r="H265" s="8"/>
      <c r="I265" s="8"/>
      <c r="J265" s="8" t="str">
        <f aca="false">IF(OR(H265="",H265=0),"",H265+I265)</f>
        <v/>
      </c>
      <c r="K265" s="9" t="str">
        <f aca="false">IF(J265="","",H265/J265)</f>
        <v/>
      </c>
      <c r="L265" s="8" t="n">
        <f aca="false">IF(OR(A265=2020,A265=2024),1,0)</f>
        <v>1</v>
      </c>
    </row>
    <row r="266" customFormat="false" ht="15" hidden="false" customHeight="true" outlineLevel="0" collapsed="false">
      <c r="A266" s="8" t="n">
        <v>2018</v>
      </c>
      <c r="B266" s="8" t="s">
        <v>81</v>
      </c>
      <c r="C266" s="8" t="s">
        <v>111</v>
      </c>
      <c r="D266" s="8" t="n">
        <v>1543</v>
      </c>
      <c r="E266" s="8" t="n">
        <v>2708</v>
      </c>
      <c r="F266" s="8" t="n">
        <f aca="false">D266+E266</f>
        <v>4251</v>
      </c>
      <c r="G266" s="9" t="n">
        <f aca="false">D266/F266</f>
        <v>0.36297341801929</v>
      </c>
      <c r="H266" s="8" t="n">
        <v>1842</v>
      </c>
      <c r="I266" s="8" t="n">
        <v>2472</v>
      </c>
      <c r="J266" s="8" t="n">
        <f aca="false">IF(OR(H266="",H266=0),"",H266+I266)</f>
        <v>4314</v>
      </c>
      <c r="K266" s="9" t="n">
        <f aca="false">IF(J266="","",H266/J266)</f>
        <v>0.426981919332406</v>
      </c>
      <c r="L266" s="8" t="n">
        <f aca="false">IF(OR(A266=2020,A266=2024),1,0)</f>
        <v>0</v>
      </c>
    </row>
    <row r="267" customFormat="false" ht="15" hidden="false" customHeight="true" outlineLevel="0" collapsed="false">
      <c r="A267" s="8" t="n">
        <v>2020</v>
      </c>
      <c r="B267" s="8" t="s">
        <v>81</v>
      </c>
      <c r="C267" s="8" t="s">
        <v>111</v>
      </c>
      <c r="D267" s="8" t="n">
        <v>2137</v>
      </c>
      <c r="E267" s="8" t="n">
        <v>4258</v>
      </c>
      <c r="F267" s="8" t="n">
        <f aca="false">D267+E267</f>
        <v>6395</v>
      </c>
      <c r="G267" s="9" t="n">
        <f aca="false">D267/F267</f>
        <v>0.334167318217357</v>
      </c>
      <c r="H267" s="8"/>
      <c r="I267" s="8"/>
      <c r="J267" s="8" t="str">
        <f aca="false">IF(OR(H267="",H267=0),"",H267+I267)</f>
        <v/>
      </c>
      <c r="K267" s="9" t="str">
        <f aca="false">IF(J267="","",H267/J267)</f>
        <v/>
      </c>
      <c r="L267" s="8" t="n">
        <f aca="false">IF(OR(A267=2020,A267=2024),1,0)</f>
        <v>1</v>
      </c>
    </row>
    <row r="268" customFormat="false" ht="15" hidden="false" customHeight="true" outlineLevel="0" collapsed="false">
      <c r="A268" s="8" t="n">
        <v>2022</v>
      </c>
      <c r="B268" s="8" t="s">
        <v>81</v>
      </c>
      <c r="C268" s="8" t="s">
        <v>111</v>
      </c>
      <c r="D268" s="8" t="n">
        <v>1803</v>
      </c>
      <c r="E268" s="8" t="n">
        <v>3303</v>
      </c>
      <c r="F268" s="8" t="n">
        <f aca="false">D268+E268</f>
        <v>5106</v>
      </c>
      <c r="G268" s="9" t="n">
        <f aca="false">D268/F268</f>
        <v>0.353113983548766</v>
      </c>
      <c r="H268" s="8" t="n">
        <v>2014</v>
      </c>
      <c r="I268" s="8" t="n">
        <v>3012</v>
      </c>
      <c r="J268" s="8" t="n">
        <f aca="false">IF(OR(H268="",H268=0),"",H268+I268)</f>
        <v>5026</v>
      </c>
      <c r="K268" s="9" t="n">
        <f aca="false">IF(J268="","",H268/J268)</f>
        <v>0.400716275368086</v>
      </c>
      <c r="L268" s="8" t="n">
        <f aca="false">IF(OR(A268=2020,A268=2024),1,0)</f>
        <v>0</v>
      </c>
    </row>
    <row r="269" customFormat="false" ht="15" hidden="false" customHeight="true" outlineLevel="0" collapsed="false">
      <c r="A269" s="8" t="n">
        <v>2024</v>
      </c>
      <c r="B269" s="8" t="s">
        <v>81</v>
      </c>
      <c r="C269" s="8" t="s">
        <v>111</v>
      </c>
      <c r="D269" s="8" t="n">
        <v>2244</v>
      </c>
      <c r="E269" s="8" t="n">
        <v>4439</v>
      </c>
      <c r="F269" s="8" t="n">
        <f aca="false">D269+E269</f>
        <v>6683</v>
      </c>
      <c r="G269" s="9" t="n">
        <f aca="false">D269/F269</f>
        <v>0.335777345503516</v>
      </c>
      <c r="H269" s="8"/>
      <c r="I269" s="8"/>
      <c r="J269" s="8" t="str">
        <f aca="false">IF(OR(H269="",H269=0),"",H269+I269)</f>
        <v/>
      </c>
      <c r="K269" s="9" t="str">
        <f aca="false">IF(J269="","",H269/J269)</f>
        <v/>
      </c>
      <c r="L269" s="8" t="n">
        <f aca="false">IF(OR(A269=2020,A269=2024),1,0)</f>
        <v>1</v>
      </c>
    </row>
    <row r="270" customFormat="false" ht="15" hidden="false" customHeight="true" outlineLevel="0" collapsed="false">
      <c r="A270" s="8" t="n">
        <v>2018</v>
      </c>
      <c r="B270" s="8" t="s">
        <v>124</v>
      </c>
      <c r="C270" s="8" t="s">
        <v>111</v>
      </c>
      <c r="D270" s="8" t="n">
        <v>474</v>
      </c>
      <c r="E270" s="8" t="n">
        <v>678</v>
      </c>
      <c r="F270" s="8" t="n">
        <f aca="false">D270+E270</f>
        <v>1152</v>
      </c>
      <c r="G270" s="9" t="n">
        <f aca="false">D270/F270</f>
        <v>0.411458333333333</v>
      </c>
      <c r="H270" s="8" t="n">
        <v>516</v>
      </c>
      <c r="I270" s="8" t="n">
        <v>653</v>
      </c>
      <c r="J270" s="8" t="n">
        <f aca="false">IF(OR(H270="",H270=0),"",H270+I270)</f>
        <v>1169</v>
      </c>
      <c r="K270" s="9" t="n">
        <f aca="false">IF(J270="","",H270/J270)</f>
        <v>0.441402908468777</v>
      </c>
      <c r="L270" s="8" t="n">
        <f aca="false">IF(OR(A270=2020,A270=2024),1,0)</f>
        <v>0</v>
      </c>
    </row>
    <row r="271" customFormat="false" ht="15" hidden="false" customHeight="true" outlineLevel="0" collapsed="false">
      <c r="A271" s="8" t="n">
        <v>2020</v>
      </c>
      <c r="B271" s="8" t="s">
        <v>124</v>
      </c>
      <c r="C271" s="8" t="s">
        <v>111</v>
      </c>
      <c r="D271" s="8" t="n">
        <v>580</v>
      </c>
      <c r="E271" s="8" t="n">
        <v>1159</v>
      </c>
      <c r="F271" s="8" t="n">
        <f aca="false">D271+E271</f>
        <v>1739</v>
      </c>
      <c r="G271" s="9" t="n">
        <f aca="false">D271/F271</f>
        <v>0.333525014376078</v>
      </c>
      <c r="H271" s="8"/>
      <c r="I271" s="8"/>
      <c r="J271" s="8" t="str">
        <f aca="false">IF(OR(H271="",H271=0),"",H271+I271)</f>
        <v/>
      </c>
      <c r="K271" s="9" t="str">
        <f aca="false">IF(J271="","",H271/J271)</f>
        <v/>
      </c>
      <c r="L271" s="8" t="n">
        <f aca="false">IF(OR(A271=2020,A271=2024),1,0)</f>
        <v>1</v>
      </c>
    </row>
    <row r="272" customFormat="false" ht="15" hidden="false" customHeight="true" outlineLevel="0" collapsed="false">
      <c r="A272" s="8" t="n">
        <v>2022</v>
      </c>
      <c r="B272" s="8" t="s">
        <v>124</v>
      </c>
      <c r="C272" s="8" t="s">
        <v>111</v>
      </c>
      <c r="D272" s="8" t="n">
        <v>511</v>
      </c>
      <c r="E272" s="8" t="n">
        <v>889</v>
      </c>
      <c r="F272" s="8" t="n">
        <f aca="false">D272+E272</f>
        <v>1400</v>
      </c>
      <c r="G272" s="9" t="n">
        <f aca="false">D272/F272</f>
        <v>0.365</v>
      </c>
      <c r="H272" s="8" t="n">
        <v>576</v>
      </c>
      <c r="I272" s="8" t="n">
        <v>806</v>
      </c>
      <c r="J272" s="8" t="n">
        <f aca="false">IF(OR(H272="",H272=0),"",H272+I272)</f>
        <v>1382</v>
      </c>
      <c r="K272" s="9" t="n">
        <f aca="false">IF(J272="","",H272/J272)</f>
        <v>0.416787264833575</v>
      </c>
      <c r="L272" s="8" t="n">
        <f aca="false">IF(OR(A272=2020,A272=2024),1,0)</f>
        <v>0</v>
      </c>
    </row>
    <row r="273" customFormat="false" ht="15" hidden="false" customHeight="true" outlineLevel="0" collapsed="false">
      <c r="A273" s="8" t="n">
        <v>2024</v>
      </c>
      <c r="B273" s="8" t="s">
        <v>124</v>
      </c>
      <c r="C273" s="8" t="s">
        <v>111</v>
      </c>
      <c r="D273" s="8" t="n">
        <v>625</v>
      </c>
      <c r="E273" s="8" t="n">
        <v>1214</v>
      </c>
      <c r="F273" s="8" t="n">
        <f aca="false">D273+E273</f>
        <v>1839</v>
      </c>
      <c r="G273" s="9" t="n">
        <f aca="false">D273/F273</f>
        <v>0.339858618814573</v>
      </c>
      <c r="H273" s="8"/>
      <c r="I273" s="8"/>
      <c r="J273" s="8" t="str">
        <f aca="false">IF(OR(H273="",H273=0),"",H273+I273)</f>
        <v/>
      </c>
      <c r="K273" s="9" t="str">
        <f aca="false">IF(J273="","",H273/J273)</f>
        <v/>
      </c>
      <c r="L273" s="8" t="n">
        <f aca="false">IF(OR(A273=2020,A273=2024),1,0)</f>
        <v>1</v>
      </c>
    </row>
    <row r="274" customFormat="false" ht="15" hidden="false" customHeight="true" outlineLevel="0" collapsed="false">
      <c r="A274" s="8" t="n">
        <v>2018</v>
      </c>
      <c r="B274" s="8" t="s">
        <v>125</v>
      </c>
      <c r="C274" s="8" t="s">
        <v>111</v>
      </c>
      <c r="D274" s="8" t="n">
        <v>1320</v>
      </c>
      <c r="E274" s="8" t="n">
        <v>1650</v>
      </c>
      <c r="F274" s="8" t="n">
        <f aca="false">D274+E274</f>
        <v>2970</v>
      </c>
      <c r="G274" s="9" t="n">
        <f aca="false">D274/F274</f>
        <v>0.444444444444444</v>
      </c>
      <c r="H274" s="8" t="n">
        <v>1526</v>
      </c>
      <c r="I274" s="8" t="n">
        <v>1514</v>
      </c>
      <c r="J274" s="8" t="n">
        <f aca="false">IF(OR(H274="",H274=0),"",H274+I274)</f>
        <v>3040</v>
      </c>
      <c r="K274" s="9" t="n">
        <f aca="false">IF(J274="","",H274/J274)</f>
        <v>0.501973684210526</v>
      </c>
      <c r="L274" s="8" t="n">
        <f aca="false">IF(OR(A274=2020,A274=2024),1,0)</f>
        <v>0</v>
      </c>
    </row>
    <row r="275" customFormat="false" ht="15" hidden="false" customHeight="true" outlineLevel="0" collapsed="false">
      <c r="A275" s="8" t="n">
        <v>2020</v>
      </c>
      <c r="B275" s="8" t="s">
        <v>125</v>
      </c>
      <c r="C275" s="8" t="s">
        <v>111</v>
      </c>
      <c r="D275" s="8" t="n">
        <v>1879</v>
      </c>
      <c r="E275" s="8" t="n">
        <v>2565</v>
      </c>
      <c r="F275" s="8" t="n">
        <f aca="false">D275+E275</f>
        <v>4444</v>
      </c>
      <c r="G275" s="9" t="n">
        <f aca="false">D275/F275</f>
        <v>0.422817281728173</v>
      </c>
      <c r="H275" s="8"/>
      <c r="I275" s="8"/>
      <c r="J275" s="8" t="str">
        <f aca="false">IF(OR(H275="",H275=0),"",H275+I275)</f>
        <v/>
      </c>
      <c r="K275" s="9" t="str">
        <f aca="false">IF(J275="","",H275/J275)</f>
        <v/>
      </c>
      <c r="L275" s="8" t="n">
        <f aca="false">IF(OR(A275=2020,A275=2024),1,0)</f>
        <v>1</v>
      </c>
    </row>
    <row r="276" customFormat="false" ht="15" hidden="false" customHeight="true" outlineLevel="0" collapsed="false">
      <c r="A276" s="8" t="n">
        <v>2022</v>
      </c>
      <c r="B276" s="8" t="s">
        <v>125</v>
      </c>
      <c r="C276" s="8" t="s">
        <v>111</v>
      </c>
      <c r="D276" s="8" t="n">
        <v>1632</v>
      </c>
      <c r="E276" s="8" t="n">
        <v>2067</v>
      </c>
      <c r="F276" s="8" t="n">
        <f aca="false">D276+E276</f>
        <v>3699</v>
      </c>
      <c r="G276" s="9" t="n">
        <f aca="false">D276/F276</f>
        <v>0.441200324412003</v>
      </c>
      <c r="H276" s="8" t="n">
        <v>1839</v>
      </c>
      <c r="I276" s="8" t="n">
        <v>1799</v>
      </c>
      <c r="J276" s="8" t="n">
        <f aca="false">IF(OR(H276="",H276=0),"",H276+I276)</f>
        <v>3638</v>
      </c>
      <c r="K276" s="9" t="n">
        <f aca="false">IF(J276="","",H276/J276)</f>
        <v>0.505497526113249</v>
      </c>
      <c r="L276" s="8" t="n">
        <f aca="false">IF(OR(A276=2020,A276=2024),1,0)</f>
        <v>0</v>
      </c>
    </row>
    <row r="277" customFormat="false" ht="15" hidden="false" customHeight="true" outlineLevel="0" collapsed="false">
      <c r="A277" s="8" t="n">
        <v>2024</v>
      </c>
      <c r="B277" s="8" t="s">
        <v>125</v>
      </c>
      <c r="C277" s="8" t="s">
        <v>111</v>
      </c>
      <c r="D277" s="8" t="n">
        <v>2047</v>
      </c>
      <c r="E277" s="8" t="n">
        <v>2499</v>
      </c>
      <c r="F277" s="8" t="n">
        <f aca="false">D277+E277</f>
        <v>4546</v>
      </c>
      <c r="G277" s="9" t="n">
        <f aca="false">D277/F277</f>
        <v>0.450285965684118</v>
      </c>
      <c r="H277" s="8"/>
      <c r="I277" s="8"/>
      <c r="J277" s="8" t="str">
        <f aca="false">IF(OR(H277="",H277=0),"",H277+I277)</f>
        <v/>
      </c>
      <c r="K277" s="9" t="str">
        <f aca="false">IF(J277="","",H277/J277)</f>
        <v/>
      </c>
      <c r="L277" s="8" t="n">
        <f aca="false">IF(OR(A277=2020,A277=2024),1,0)</f>
        <v>1</v>
      </c>
    </row>
    <row r="278" customFormat="false" ht="15" hidden="false" customHeight="true" outlineLevel="0" collapsed="false">
      <c r="A278" s="8" t="n">
        <v>2018</v>
      </c>
      <c r="B278" s="8" t="s">
        <v>126</v>
      </c>
      <c r="C278" s="8" t="s">
        <v>111</v>
      </c>
      <c r="D278" s="8" t="n">
        <v>2540</v>
      </c>
      <c r="E278" s="8" t="n">
        <v>2624</v>
      </c>
      <c r="F278" s="8" t="n">
        <f aca="false">D278+E278</f>
        <v>5164</v>
      </c>
      <c r="G278" s="9" t="n">
        <f aca="false">D278/F278</f>
        <v>0.491866769945779</v>
      </c>
      <c r="H278" s="8" t="n">
        <v>2842</v>
      </c>
      <c r="I278" s="8" t="n">
        <v>2415</v>
      </c>
      <c r="J278" s="8" t="n">
        <f aca="false">IF(OR(H278="",H278=0),"",H278+I278)</f>
        <v>5257</v>
      </c>
      <c r="K278" s="9" t="n">
        <f aca="false">IF(J278="","",H278/J278)</f>
        <v>0.540612516644474</v>
      </c>
      <c r="L278" s="8" t="n">
        <f aca="false">IF(OR(A278=2020,A278=2024),1,0)</f>
        <v>0</v>
      </c>
    </row>
    <row r="279" customFormat="false" ht="15" hidden="false" customHeight="true" outlineLevel="0" collapsed="false">
      <c r="A279" s="8" t="n">
        <v>2020</v>
      </c>
      <c r="B279" s="8" t="s">
        <v>126</v>
      </c>
      <c r="C279" s="8" t="s">
        <v>111</v>
      </c>
      <c r="D279" s="8" t="n">
        <v>3370</v>
      </c>
      <c r="E279" s="8" t="n">
        <v>3831</v>
      </c>
      <c r="F279" s="8" t="n">
        <f aca="false">D279+E279</f>
        <v>7201</v>
      </c>
      <c r="G279" s="9" t="n">
        <f aca="false">D279/F279</f>
        <v>0.467990556867102</v>
      </c>
      <c r="H279" s="8"/>
      <c r="I279" s="8"/>
      <c r="J279" s="8" t="str">
        <f aca="false">IF(OR(H279="",H279=0),"",H279+I279)</f>
        <v/>
      </c>
      <c r="K279" s="9" t="str">
        <f aca="false">IF(J279="","",H279/J279)</f>
        <v/>
      </c>
      <c r="L279" s="8" t="n">
        <f aca="false">IF(OR(A279=2020,A279=2024),1,0)</f>
        <v>1</v>
      </c>
    </row>
    <row r="280" customFormat="false" ht="15" hidden="false" customHeight="true" outlineLevel="0" collapsed="false">
      <c r="A280" s="8" t="n">
        <v>2022</v>
      </c>
      <c r="B280" s="8" t="s">
        <v>126</v>
      </c>
      <c r="C280" s="8" t="s">
        <v>111</v>
      </c>
      <c r="D280" s="8" t="n">
        <v>2919</v>
      </c>
      <c r="E280" s="8" t="n">
        <v>3008</v>
      </c>
      <c r="F280" s="8" t="n">
        <f aca="false">D280+E280</f>
        <v>5927</v>
      </c>
      <c r="G280" s="9" t="n">
        <f aca="false">D280/F280</f>
        <v>0.492491985827569</v>
      </c>
      <c r="H280" s="8" t="n">
        <v>3246</v>
      </c>
      <c r="I280" s="8" t="n">
        <v>2593</v>
      </c>
      <c r="J280" s="8" t="n">
        <f aca="false">IF(OR(H280="",H280=0),"",H280+I280)</f>
        <v>5839</v>
      </c>
      <c r="K280" s="9" t="n">
        <f aca="false">IF(J280="","",H280/J280)</f>
        <v>0.555917109094023</v>
      </c>
      <c r="L280" s="8" t="n">
        <f aca="false">IF(OR(A280=2020,A280=2024),1,0)</f>
        <v>0</v>
      </c>
    </row>
    <row r="281" customFormat="false" ht="15" hidden="false" customHeight="true" outlineLevel="0" collapsed="false">
      <c r="A281" s="8" t="n">
        <v>2024</v>
      </c>
      <c r="B281" s="8" t="s">
        <v>126</v>
      </c>
      <c r="C281" s="8" t="s">
        <v>111</v>
      </c>
      <c r="D281" s="8" t="n">
        <v>3457</v>
      </c>
      <c r="E281" s="8" t="n">
        <v>3805</v>
      </c>
      <c r="F281" s="8" t="n">
        <f aca="false">D281+E281</f>
        <v>7262</v>
      </c>
      <c r="G281" s="9" t="n">
        <f aca="false">D281/F281</f>
        <v>0.476039658496282</v>
      </c>
      <c r="H281" s="8"/>
      <c r="I281" s="8"/>
      <c r="J281" s="8" t="str">
        <f aca="false">IF(OR(H281="",H281=0),"",H281+I281)</f>
        <v/>
      </c>
      <c r="K281" s="9" t="str">
        <f aca="false">IF(J281="","",H281/J281)</f>
        <v/>
      </c>
      <c r="L281" s="8" t="n">
        <f aca="false">IF(OR(A281=2020,A281=2024),1,0)</f>
        <v>1</v>
      </c>
    </row>
    <row r="282" customFormat="false" ht="15" hidden="false" customHeight="true" outlineLevel="0" collapsed="false">
      <c r="A282" s="8" t="n">
        <v>2018</v>
      </c>
      <c r="B282" s="8" t="s">
        <v>127</v>
      </c>
      <c r="C282" s="8" t="s">
        <v>111</v>
      </c>
      <c r="D282" s="8" t="n">
        <v>1404</v>
      </c>
      <c r="E282" s="8" t="n">
        <v>2512</v>
      </c>
      <c r="F282" s="8" t="n">
        <f aca="false">D282+E282</f>
        <v>3916</v>
      </c>
      <c r="G282" s="9" t="n">
        <f aca="false">D282/F282</f>
        <v>0.3585291113381</v>
      </c>
      <c r="H282" s="8" t="n">
        <v>1694</v>
      </c>
      <c r="I282" s="8" t="n">
        <v>2283</v>
      </c>
      <c r="J282" s="8" t="n">
        <f aca="false">IF(OR(H282="",H282=0),"",H282+I282)</f>
        <v>3977</v>
      </c>
      <c r="K282" s="9" t="n">
        <f aca="false">IF(J282="","",H282/J282)</f>
        <v>0.425949207945688</v>
      </c>
      <c r="L282" s="8" t="n">
        <f aca="false">IF(OR(A282=2020,A282=2024),1,0)</f>
        <v>0</v>
      </c>
    </row>
    <row r="283" customFormat="false" ht="15" hidden="false" customHeight="true" outlineLevel="0" collapsed="false">
      <c r="A283" s="8" t="n">
        <v>2020</v>
      </c>
      <c r="B283" s="8" t="s">
        <v>127</v>
      </c>
      <c r="C283" s="8" t="s">
        <v>111</v>
      </c>
      <c r="D283" s="8" t="n">
        <v>1920</v>
      </c>
      <c r="E283" s="8" t="n">
        <v>3865</v>
      </c>
      <c r="F283" s="8" t="n">
        <f aca="false">D283+E283</f>
        <v>5785</v>
      </c>
      <c r="G283" s="9" t="n">
        <f aca="false">D283/F283</f>
        <v>0.331892826274849</v>
      </c>
      <c r="H283" s="8"/>
      <c r="I283" s="8"/>
      <c r="J283" s="8" t="str">
        <f aca="false">IF(OR(H283="",H283=0),"",H283+I283)</f>
        <v/>
      </c>
      <c r="K283" s="9" t="str">
        <f aca="false">IF(J283="","",H283/J283)</f>
        <v/>
      </c>
      <c r="L283" s="8" t="n">
        <f aca="false">IF(OR(A283=2020,A283=2024),1,0)</f>
        <v>1</v>
      </c>
    </row>
    <row r="284" customFormat="false" ht="15" hidden="false" customHeight="true" outlineLevel="0" collapsed="false">
      <c r="A284" s="8" t="n">
        <v>2022</v>
      </c>
      <c r="B284" s="8" t="s">
        <v>127</v>
      </c>
      <c r="C284" s="8" t="s">
        <v>111</v>
      </c>
      <c r="D284" s="8" t="n">
        <v>1661</v>
      </c>
      <c r="E284" s="8" t="n">
        <v>3091</v>
      </c>
      <c r="F284" s="8" t="n">
        <f aca="false">D284+E284</f>
        <v>4752</v>
      </c>
      <c r="G284" s="9" t="n">
        <f aca="false">D284/F284</f>
        <v>0.349537037037037</v>
      </c>
      <c r="H284" s="8" t="n">
        <v>1888</v>
      </c>
      <c r="I284" s="8" t="n">
        <v>2797</v>
      </c>
      <c r="J284" s="8" t="n">
        <f aca="false">IF(OR(H284="",H284=0),"",H284+I284)</f>
        <v>4685</v>
      </c>
      <c r="K284" s="9" t="n">
        <f aca="false">IF(J284="","",H284/J284)</f>
        <v>0.40298826040555</v>
      </c>
      <c r="L284" s="8" t="n">
        <f aca="false">IF(OR(A284=2020,A284=2024),1,0)</f>
        <v>0</v>
      </c>
    </row>
    <row r="285" customFormat="false" ht="15" hidden="false" customHeight="true" outlineLevel="0" collapsed="false">
      <c r="A285" s="8" t="n">
        <v>2024</v>
      </c>
      <c r="B285" s="8" t="s">
        <v>127</v>
      </c>
      <c r="C285" s="8" t="s">
        <v>111</v>
      </c>
      <c r="D285" s="8" t="n">
        <v>2006</v>
      </c>
      <c r="E285" s="8" t="n">
        <v>4057</v>
      </c>
      <c r="F285" s="8" t="n">
        <f aca="false">D285+E285</f>
        <v>6063</v>
      </c>
      <c r="G285" s="9" t="n">
        <f aca="false">D285/F285</f>
        <v>0.330859310572324</v>
      </c>
      <c r="H285" s="8"/>
      <c r="I285" s="8"/>
      <c r="J285" s="8" t="str">
        <f aca="false">IF(OR(H285="",H285=0),"",H285+I285)</f>
        <v/>
      </c>
      <c r="K285" s="9" t="str">
        <f aca="false">IF(J285="","",H285/J285)</f>
        <v/>
      </c>
      <c r="L285" s="8" t="n">
        <f aca="false">IF(OR(A285=2020,A285=2024),1,0)</f>
        <v>1</v>
      </c>
    </row>
    <row r="286" customFormat="false" ht="15" hidden="false" customHeight="true" outlineLevel="0" collapsed="false">
      <c r="A286" s="8" t="n">
        <v>2018</v>
      </c>
      <c r="B286" s="8" t="s">
        <v>128</v>
      </c>
      <c r="C286" s="8" t="s">
        <v>111</v>
      </c>
      <c r="D286" s="8" t="n">
        <v>1128</v>
      </c>
      <c r="E286" s="8" t="n">
        <v>998</v>
      </c>
      <c r="F286" s="8" t="n">
        <f aca="false">D286+E286</f>
        <v>2126</v>
      </c>
      <c r="G286" s="9" t="n">
        <f aca="false">D286/F286</f>
        <v>0.530573847601129</v>
      </c>
      <c r="H286" s="8" t="n">
        <v>1275</v>
      </c>
      <c r="I286" s="8" t="n">
        <v>905</v>
      </c>
      <c r="J286" s="8" t="n">
        <f aca="false">IF(OR(H286="",H286=0),"",H286+I286)</f>
        <v>2180</v>
      </c>
      <c r="K286" s="9" t="n">
        <f aca="false">IF(J286="","",H286/J286)</f>
        <v>0.584862385321101</v>
      </c>
      <c r="L286" s="8" t="n">
        <f aca="false">IF(OR(A286=2020,A286=2024),1,0)</f>
        <v>0</v>
      </c>
    </row>
    <row r="287" customFormat="false" ht="15" hidden="false" customHeight="true" outlineLevel="0" collapsed="false">
      <c r="A287" s="8" t="n">
        <v>2020</v>
      </c>
      <c r="B287" s="8" t="s">
        <v>128</v>
      </c>
      <c r="C287" s="8" t="s">
        <v>111</v>
      </c>
      <c r="D287" s="8" t="n">
        <v>1490</v>
      </c>
      <c r="E287" s="8" t="n">
        <v>1627</v>
      </c>
      <c r="F287" s="8" t="n">
        <f aca="false">D287+E287</f>
        <v>3117</v>
      </c>
      <c r="G287" s="9" t="n">
        <f aca="false">D287/F287</f>
        <v>0.478023740776388</v>
      </c>
      <c r="H287" s="8"/>
      <c r="I287" s="8"/>
      <c r="J287" s="8" t="str">
        <f aca="false">IF(OR(H287="",H287=0),"",H287+I287)</f>
        <v/>
      </c>
      <c r="K287" s="9" t="str">
        <f aca="false">IF(J287="","",H287/J287)</f>
        <v/>
      </c>
      <c r="L287" s="8" t="n">
        <f aca="false">IF(OR(A287=2020,A287=2024),1,0)</f>
        <v>1</v>
      </c>
    </row>
    <row r="288" customFormat="false" ht="15" hidden="false" customHeight="true" outlineLevel="0" collapsed="false">
      <c r="A288" s="8" t="n">
        <v>2022</v>
      </c>
      <c r="B288" s="8" t="s">
        <v>128</v>
      </c>
      <c r="C288" s="8" t="s">
        <v>111</v>
      </c>
      <c r="D288" s="8" t="n">
        <v>1272</v>
      </c>
      <c r="E288" s="8" t="n">
        <v>1188</v>
      </c>
      <c r="F288" s="8" t="n">
        <f aca="false">D288+E288</f>
        <v>2460</v>
      </c>
      <c r="G288" s="9" t="n">
        <f aca="false">D288/F288</f>
        <v>0.517073170731707</v>
      </c>
      <c r="H288" s="8" t="n">
        <v>1393</v>
      </c>
      <c r="I288" s="8" t="n">
        <v>1014</v>
      </c>
      <c r="J288" s="8" t="n">
        <f aca="false">IF(OR(H288="",H288=0),"",H288+I288)</f>
        <v>2407</v>
      </c>
      <c r="K288" s="9" t="n">
        <f aca="false">IF(J288="","",H288/J288)</f>
        <v>0.578728707935189</v>
      </c>
      <c r="L288" s="8" t="n">
        <f aca="false">IF(OR(A288=2020,A288=2024),1,0)</f>
        <v>0</v>
      </c>
    </row>
    <row r="289" customFormat="false" ht="15" hidden="false" customHeight="true" outlineLevel="0" collapsed="false">
      <c r="A289" s="8" t="n">
        <v>2024</v>
      </c>
      <c r="B289" s="8" t="s">
        <v>128</v>
      </c>
      <c r="C289" s="8" t="s">
        <v>111</v>
      </c>
      <c r="D289" s="8" t="n">
        <v>1596</v>
      </c>
      <c r="E289" s="8" t="n">
        <v>1664</v>
      </c>
      <c r="F289" s="8" t="n">
        <f aca="false">D289+E289</f>
        <v>3260</v>
      </c>
      <c r="G289" s="9" t="n">
        <f aca="false">D289/F289</f>
        <v>0.489570552147239</v>
      </c>
      <c r="H289" s="8"/>
      <c r="I289" s="8"/>
      <c r="J289" s="8" t="str">
        <f aca="false">IF(OR(H289="",H289=0),"",H289+I289)</f>
        <v/>
      </c>
      <c r="K289" s="9" t="str">
        <f aca="false">IF(J289="","",H289/J289)</f>
        <v/>
      </c>
      <c r="L289" s="8" t="n">
        <f aca="false">IF(OR(A289=2020,A289=2024),1,0)</f>
        <v>1</v>
      </c>
    </row>
    <row r="290" customFormat="false" ht="15" hidden="false" customHeight="true" outlineLevel="0" collapsed="false">
      <c r="A290" s="8" t="n">
        <v>2018</v>
      </c>
      <c r="B290" s="8" t="s">
        <v>129</v>
      </c>
      <c r="C290" s="8" t="s">
        <v>111</v>
      </c>
      <c r="D290" s="8" t="n">
        <v>536</v>
      </c>
      <c r="E290" s="8" t="n">
        <v>521</v>
      </c>
      <c r="F290" s="8" t="n">
        <f aca="false">D290+E290</f>
        <v>1057</v>
      </c>
      <c r="G290" s="9" t="n">
        <f aca="false">D290/F290</f>
        <v>0.507095553453169</v>
      </c>
      <c r="H290" s="8" t="n">
        <v>603</v>
      </c>
      <c r="I290" s="8" t="n">
        <v>468</v>
      </c>
      <c r="J290" s="8" t="n">
        <f aca="false">IF(OR(H290="",H290=0),"",H290+I290)</f>
        <v>1071</v>
      </c>
      <c r="K290" s="9" t="n">
        <f aca="false">IF(J290="","",H290/J290)</f>
        <v>0.563025210084034</v>
      </c>
      <c r="L290" s="8" t="n">
        <f aca="false">IF(OR(A290=2020,A290=2024),1,0)</f>
        <v>0</v>
      </c>
    </row>
    <row r="291" customFormat="false" ht="15" hidden="false" customHeight="true" outlineLevel="0" collapsed="false">
      <c r="A291" s="8" t="n">
        <v>2020</v>
      </c>
      <c r="B291" s="8" t="s">
        <v>129</v>
      </c>
      <c r="C291" s="8" t="s">
        <v>111</v>
      </c>
      <c r="D291" s="8" t="n">
        <v>731</v>
      </c>
      <c r="E291" s="8" t="n">
        <v>843</v>
      </c>
      <c r="F291" s="8" t="n">
        <f aca="false">D291+E291</f>
        <v>1574</v>
      </c>
      <c r="G291" s="9" t="n">
        <f aca="false">D291/F291</f>
        <v>0.464421855146125</v>
      </c>
      <c r="H291" s="8"/>
      <c r="I291" s="8"/>
      <c r="J291" s="8" t="str">
        <f aca="false">IF(OR(H291="",H291=0),"",H291+I291)</f>
        <v/>
      </c>
      <c r="K291" s="9" t="str">
        <f aca="false">IF(J291="","",H291/J291)</f>
        <v/>
      </c>
      <c r="L291" s="8" t="n">
        <f aca="false">IF(OR(A291=2020,A291=2024),1,0)</f>
        <v>1</v>
      </c>
    </row>
    <row r="292" customFormat="false" ht="15" hidden="false" customHeight="true" outlineLevel="0" collapsed="false">
      <c r="A292" s="8" t="n">
        <v>2022</v>
      </c>
      <c r="B292" s="8" t="s">
        <v>129</v>
      </c>
      <c r="C292" s="8" t="s">
        <v>111</v>
      </c>
      <c r="D292" s="8" t="n">
        <v>644</v>
      </c>
      <c r="E292" s="8" t="n">
        <v>634</v>
      </c>
      <c r="F292" s="8" t="n">
        <f aca="false">D292+E292</f>
        <v>1278</v>
      </c>
      <c r="G292" s="9" t="n">
        <f aca="false">D292/F292</f>
        <v>0.503912363067293</v>
      </c>
      <c r="H292" s="8" t="n">
        <v>701</v>
      </c>
      <c r="I292" s="8" t="n">
        <v>550</v>
      </c>
      <c r="J292" s="8" t="n">
        <f aca="false">IF(OR(H292="",H292=0),"",H292+I292)</f>
        <v>1251</v>
      </c>
      <c r="K292" s="9" t="n">
        <f aca="false">IF(J292="","",H292/J292)</f>
        <v>0.5603517186251</v>
      </c>
      <c r="L292" s="8" t="n">
        <f aca="false">IF(OR(A292=2020,A292=2024),1,0)</f>
        <v>0</v>
      </c>
    </row>
    <row r="293" customFormat="false" ht="15" hidden="false" customHeight="true" outlineLevel="0" collapsed="false">
      <c r="A293" s="8" t="n">
        <v>2024</v>
      </c>
      <c r="B293" s="8" t="s">
        <v>129</v>
      </c>
      <c r="C293" s="8" t="s">
        <v>111</v>
      </c>
      <c r="D293" s="8" t="n">
        <v>847</v>
      </c>
      <c r="E293" s="8" t="n">
        <v>889</v>
      </c>
      <c r="F293" s="8" t="n">
        <f aca="false">D293+E293</f>
        <v>1736</v>
      </c>
      <c r="G293" s="9" t="n">
        <f aca="false">D293/F293</f>
        <v>0.487903225806452</v>
      </c>
      <c r="H293" s="8"/>
      <c r="I293" s="8"/>
      <c r="J293" s="8" t="str">
        <f aca="false">IF(OR(H293="",H293=0),"",H293+I293)</f>
        <v/>
      </c>
      <c r="K293" s="9" t="str">
        <f aca="false">IF(J293="","",H293/J293)</f>
        <v/>
      </c>
      <c r="L293" s="8" t="n">
        <f aca="false">IF(OR(A293=2020,A293=2024),1,0)</f>
        <v>1</v>
      </c>
    </row>
    <row r="294" customFormat="false" ht="15" hidden="false" customHeight="true" outlineLevel="0" collapsed="false">
      <c r="A294" s="8" t="n">
        <v>2018</v>
      </c>
      <c r="B294" s="8" t="s">
        <v>111</v>
      </c>
      <c r="C294" s="8" t="s">
        <v>111</v>
      </c>
      <c r="D294" s="8" t="n">
        <v>1650</v>
      </c>
      <c r="E294" s="8" t="n">
        <v>1634</v>
      </c>
      <c r="F294" s="8" t="n">
        <f aca="false">D294+E294</f>
        <v>3284</v>
      </c>
      <c r="G294" s="9" t="n">
        <f aca="false">D294/F294</f>
        <v>0.502436053593179</v>
      </c>
      <c r="H294" s="8" t="n">
        <v>1867</v>
      </c>
      <c r="I294" s="8" t="n">
        <v>1502</v>
      </c>
      <c r="J294" s="8" t="n">
        <f aca="false">IF(OR(H294="",H294=0),"",H294+I294)</f>
        <v>3369</v>
      </c>
      <c r="K294" s="9" t="n">
        <f aca="false">IF(J294="","",H294/J294)</f>
        <v>0.554170376966459</v>
      </c>
      <c r="L294" s="8" t="n">
        <f aca="false">IF(OR(A294=2020,A294=2024),1,0)</f>
        <v>0</v>
      </c>
    </row>
    <row r="295" customFormat="false" ht="15" hidden="false" customHeight="true" outlineLevel="0" collapsed="false">
      <c r="A295" s="8" t="n">
        <v>2020</v>
      </c>
      <c r="B295" s="8" t="s">
        <v>111</v>
      </c>
      <c r="C295" s="8" t="s">
        <v>111</v>
      </c>
      <c r="D295" s="8" t="n">
        <v>2355</v>
      </c>
      <c r="E295" s="8" t="n">
        <v>2934</v>
      </c>
      <c r="F295" s="8" t="n">
        <f aca="false">D295+E295</f>
        <v>5289</v>
      </c>
      <c r="G295" s="9" t="n">
        <f aca="false">D295/F295</f>
        <v>0.445263754963131</v>
      </c>
      <c r="H295" s="8"/>
      <c r="I295" s="8"/>
      <c r="J295" s="8" t="str">
        <f aca="false">IF(OR(H295="",H295=0),"",H295+I295)</f>
        <v/>
      </c>
      <c r="K295" s="9" t="str">
        <f aca="false">IF(J295="","",H295/J295)</f>
        <v/>
      </c>
      <c r="L295" s="8" t="n">
        <f aca="false">IF(OR(A295=2020,A295=2024),1,0)</f>
        <v>1</v>
      </c>
    </row>
    <row r="296" customFormat="false" ht="15" hidden="false" customHeight="true" outlineLevel="0" collapsed="false">
      <c r="A296" s="8" t="n">
        <v>2022</v>
      </c>
      <c r="B296" s="8" t="s">
        <v>111</v>
      </c>
      <c r="C296" s="8" t="s">
        <v>111</v>
      </c>
      <c r="D296" s="8" t="n">
        <v>1957</v>
      </c>
      <c r="E296" s="8" t="n">
        <v>1970</v>
      </c>
      <c r="F296" s="8" t="n">
        <f aca="false">D296+E296</f>
        <v>3927</v>
      </c>
      <c r="G296" s="9" t="n">
        <f aca="false">D296/F296</f>
        <v>0.49834479246244</v>
      </c>
      <c r="H296" s="8" t="n">
        <v>2116</v>
      </c>
      <c r="I296" s="8" t="n">
        <v>1748</v>
      </c>
      <c r="J296" s="8" t="n">
        <f aca="false">IF(OR(H296="",H296=0),"",H296+I296)</f>
        <v>3864</v>
      </c>
      <c r="K296" s="9" t="n">
        <f aca="false">IF(J296="","",H296/J296)</f>
        <v>0.547619047619048</v>
      </c>
      <c r="L296" s="8" t="n">
        <f aca="false">IF(OR(A296=2020,A296=2024),1,0)</f>
        <v>0</v>
      </c>
    </row>
    <row r="297" customFormat="false" ht="15" hidden="false" customHeight="true" outlineLevel="0" collapsed="false">
      <c r="A297" s="8" t="n">
        <v>2024</v>
      </c>
      <c r="B297" s="8" t="s">
        <v>111</v>
      </c>
      <c r="C297" s="8" t="s">
        <v>111</v>
      </c>
      <c r="D297" s="8" t="n">
        <v>2573</v>
      </c>
      <c r="E297" s="8" t="n">
        <v>3023</v>
      </c>
      <c r="F297" s="8" t="n">
        <f aca="false">D297+E297</f>
        <v>5596</v>
      </c>
      <c r="G297" s="9" t="n">
        <f aca="false">D297/F297</f>
        <v>0.459792709077913</v>
      </c>
      <c r="H297" s="8"/>
      <c r="I297" s="8"/>
      <c r="J297" s="8" t="str">
        <f aca="false">IF(OR(H297="",H297=0),"",H297+I297)</f>
        <v/>
      </c>
      <c r="K297" s="9" t="str">
        <f aca="false">IF(J297="","",H297/J297)</f>
        <v/>
      </c>
      <c r="L297" s="8" t="n">
        <f aca="false">IF(OR(A297=2020,A297=2024),1,0)</f>
        <v>1</v>
      </c>
    </row>
    <row r="298" customFormat="false" ht="15" hidden="false" customHeight="true" outlineLevel="0" collapsed="false">
      <c r="A298" s="8" t="n">
        <v>2018</v>
      </c>
      <c r="B298" s="8" t="s">
        <v>130</v>
      </c>
      <c r="C298" s="8" t="s">
        <v>111</v>
      </c>
      <c r="D298" s="8" t="n">
        <v>4804</v>
      </c>
      <c r="E298" s="8" t="n">
        <v>4095</v>
      </c>
      <c r="F298" s="8" t="n">
        <f aca="false">D298+E298</f>
        <v>8899</v>
      </c>
      <c r="G298" s="9" t="n">
        <f aca="false">D298/F298</f>
        <v>0.539835936622092</v>
      </c>
      <c r="H298" s="8" t="n">
        <v>5296</v>
      </c>
      <c r="I298" s="8" t="n">
        <v>3750</v>
      </c>
      <c r="J298" s="8" t="n">
        <f aca="false">IF(OR(H298="",H298=0),"",H298+I298)</f>
        <v>9046</v>
      </c>
      <c r="K298" s="9" t="n">
        <f aca="false">IF(J298="","",H298/J298)</f>
        <v>0.585452133539686</v>
      </c>
      <c r="L298" s="8" t="n">
        <f aca="false">IF(OR(A298=2020,A298=2024),1,0)</f>
        <v>0</v>
      </c>
    </row>
    <row r="299" customFormat="false" ht="15" hidden="false" customHeight="true" outlineLevel="0" collapsed="false">
      <c r="A299" s="8" t="n">
        <v>2020</v>
      </c>
      <c r="B299" s="8" t="s">
        <v>130</v>
      </c>
      <c r="C299" s="8" t="s">
        <v>111</v>
      </c>
      <c r="D299" s="8" t="n">
        <v>6698</v>
      </c>
      <c r="E299" s="8" t="n">
        <v>6630</v>
      </c>
      <c r="F299" s="8" t="n">
        <f aca="false">D299+E299</f>
        <v>13328</v>
      </c>
      <c r="G299" s="9" t="n">
        <f aca="false">D299/F299</f>
        <v>0.502551020408163</v>
      </c>
      <c r="H299" s="8"/>
      <c r="I299" s="8"/>
      <c r="J299" s="8" t="str">
        <f aca="false">IF(OR(H299="",H299=0),"",H299+I299)</f>
        <v/>
      </c>
      <c r="K299" s="9" t="str">
        <f aca="false">IF(J299="","",H299/J299)</f>
        <v/>
      </c>
      <c r="L299" s="8" t="n">
        <f aca="false">IF(OR(A299=2020,A299=2024),1,0)</f>
        <v>1</v>
      </c>
    </row>
    <row r="300" customFormat="false" ht="15" hidden="false" customHeight="true" outlineLevel="0" collapsed="false">
      <c r="A300" s="8" t="n">
        <v>2022</v>
      </c>
      <c r="B300" s="8" t="s">
        <v>130</v>
      </c>
      <c r="C300" s="8" t="s">
        <v>111</v>
      </c>
      <c r="D300" s="8" t="n">
        <v>5403</v>
      </c>
      <c r="E300" s="8" t="n">
        <v>4910</v>
      </c>
      <c r="F300" s="8" t="n">
        <f aca="false">D300+E300</f>
        <v>10313</v>
      </c>
      <c r="G300" s="9" t="n">
        <f aca="false">D300/F300</f>
        <v>0.523901871424416</v>
      </c>
      <c r="H300" s="8" t="n">
        <v>5873</v>
      </c>
      <c r="I300" s="8" t="n">
        <v>4290</v>
      </c>
      <c r="J300" s="8" t="n">
        <f aca="false">IF(OR(H300="",H300=0),"",H300+I300)</f>
        <v>10163</v>
      </c>
      <c r="K300" s="9" t="n">
        <f aca="false">IF(J300="","",H300/J300)</f>
        <v>0.577880547082554</v>
      </c>
      <c r="L300" s="8" t="n">
        <f aca="false">IF(OR(A300=2020,A300=2024),1,0)</f>
        <v>0</v>
      </c>
    </row>
    <row r="301" customFormat="false" ht="15" hidden="false" customHeight="true" outlineLevel="0" collapsed="false">
      <c r="A301" s="8" t="n">
        <v>2024</v>
      </c>
      <c r="B301" s="8" t="s">
        <v>130</v>
      </c>
      <c r="C301" s="8" t="s">
        <v>111</v>
      </c>
      <c r="D301" s="8" t="n">
        <v>6974</v>
      </c>
      <c r="E301" s="8" t="n">
        <v>6736</v>
      </c>
      <c r="F301" s="8" t="n">
        <f aca="false">D301+E301</f>
        <v>13710</v>
      </c>
      <c r="G301" s="9" t="n">
        <f aca="false">D301/F301</f>
        <v>0.508679795769511</v>
      </c>
      <c r="H301" s="8"/>
      <c r="I301" s="8"/>
      <c r="J301" s="8" t="str">
        <f aca="false">IF(OR(H301="",H301=0),"",H301+I301)</f>
        <v/>
      </c>
      <c r="K301" s="9" t="str">
        <f aca="false">IF(J301="","",H301/J301)</f>
        <v/>
      </c>
      <c r="L301" s="8" t="n">
        <f aca="false">IF(OR(A301=2020,A301=2024),1,0)</f>
        <v>1</v>
      </c>
    </row>
    <row r="302" customFormat="false" ht="15" hidden="false" customHeight="true" outlineLevel="0" collapsed="false">
      <c r="A302" s="8" t="n">
        <v>2018</v>
      </c>
      <c r="B302" s="8" t="s">
        <v>131</v>
      </c>
      <c r="C302" s="8" t="s">
        <v>111</v>
      </c>
      <c r="D302" s="8" t="n">
        <v>484</v>
      </c>
      <c r="E302" s="8" t="n">
        <v>685</v>
      </c>
      <c r="F302" s="8" t="n">
        <f aca="false">D302+E302</f>
        <v>1169</v>
      </c>
      <c r="G302" s="9" t="n">
        <f aca="false">D302/F302</f>
        <v>0.414029084687767</v>
      </c>
      <c r="H302" s="8" t="n">
        <v>605</v>
      </c>
      <c r="I302" s="8" t="n">
        <v>594</v>
      </c>
      <c r="J302" s="8" t="n">
        <f aca="false">IF(OR(H302="",H302=0),"",H302+I302)</f>
        <v>1199</v>
      </c>
      <c r="K302" s="9" t="n">
        <f aca="false">IF(J302="","",H302/J302)</f>
        <v>0.504587155963303</v>
      </c>
      <c r="L302" s="8" t="n">
        <f aca="false">IF(OR(A302=2020,A302=2024),1,0)</f>
        <v>0</v>
      </c>
    </row>
    <row r="303" customFormat="false" ht="15" hidden="false" customHeight="true" outlineLevel="0" collapsed="false">
      <c r="A303" s="8" t="n">
        <v>2020</v>
      </c>
      <c r="B303" s="8" t="s">
        <v>131</v>
      </c>
      <c r="C303" s="8" t="s">
        <v>111</v>
      </c>
      <c r="D303" s="8" t="n">
        <v>678</v>
      </c>
      <c r="E303" s="8" t="n">
        <v>1089</v>
      </c>
      <c r="F303" s="8" t="n">
        <f aca="false">D303+E303</f>
        <v>1767</v>
      </c>
      <c r="G303" s="9" t="n">
        <f aca="false">D303/F303</f>
        <v>0.383701188455009</v>
      </c>
      <c r="H303" s="8"/>
      <c r="I303" s="8"/>
      <c r="J303" s="8" t="str">
        <f aca="false">IF(OR(H303="",H303=0),"",H303+I303)</f>
        <v/>
      </c>
      <c r="K303" s="9" t="str">
        <f aca="false">IF(J303="","",H303/J303)</f>
        <v/>
      </c>
      <c r="L303" s="8" t="n">
        <f aca="false">IF(OR(A303=2020,A303=2024),1,0)</f>
        <v>1</v>
      </c>
    </row>
    <row r="304" customFormat="false" ht="15" hidden="false" customHeight="true" outlineLevel="0" collapsed="false">
      <c r="A304" s="8" t="n">
        <v>2022</v>
      </c>
      <c r="B304" s="8" t="s">
        <v>131</v>
      </c>
      <c r="C304" s="8" t="s">
        <v>111</v>
      </c>
      <c r="D304" s="8" t="n">
        <v>511</v>
      </c>
      <c r="E304" s="8" t="n">
        <v>778</v>
      </c>
      <c r="F304" s="8" t="n">
        <f aca="false">D304+E304</f>
        <v>1289</v>
      </c>
      <c r="G304" s="9" t="n">
        <f aca="false">D304/F304</f>
        <v>0.396431342125679</v>
      </c>
      <c r="H304" s="8" t="n">
        <v>579</v>
      </c>
      <c r="I304" s="8" t="n">
        <v>683</v>
      </c>
      <c r="J304" s="8" t="n">
        <f aca="false">IF(OR(H304="",H304=0),"",H304+I304)</f>
        <v>1262</v>
      </c>
      <c r="K304" s="9" t="n">
        <f aca="false">IF(J304="","",H304/J304)</f>
        <v>0.458795562599049</v>
      </c>
      <c r="L304" s="8" t="n">
        <f aca="false">IF(OR(A304=2020,A304=2024),1,0)</f>
        <v>0</v>
      </c>
    </row>
    <row r="305" customFormat="false" ht="15" hidden="false" customHeight="true" outlineLevel="0" collapsed="false">
      <c r="A305" s="8" t="n">
        <v>2024</v>
      </c>
      <c r="B305" s="8" t="s">
        <v>131</v>
      </c>
      <c r="C305" s="8" t="s">
        <v>111</v>
      </c>
      <c r="D305" s="8" t="n">
        <v>703</v>
      </c>
      <c r="E305" s="8" t="n">
        <v>1180</v>
      </c>
      <c r="F305" s="8" t="n">
        <f aca="false">D305+E305</f>
        <v>1883</v>
      </c>
      <c r="G305" s="9" t="n">
        <f aca="false">D305/F305</f>
        <v>0.373340414232608</v>
      </c>
      <c r="H305" s="8"/>
      <c r="I305" s="8"/>
      <c r="J305" s="8" t="str">
        <f aca="false">IF(OR(H305="",H305=0),"",H305+I305)</f>
        <v/>
      </c>
      <c r="K305" s="9" t="str">
        <f aca="false">IF(J305="","",H305/J305)</f>
        <v/>
      </c>
      <c r="L305" s="8" t="n">
        <f aca="false">IF(OR(A305=2020,A305=2024),1,0)</f>
        <v>1</v>
      </c>
    </row>
    <row r="306" customFormat="false" ht="15" hidden="false" customHeight="true" outlineLevel="0" collapsed="false">
      <c r="A306" s="8" t="n">
        <v>2018</v>
      </c>
      <c r="B306" s="8" t="s">
        <v>132</v>
      </c>
      <c r="C306" s="8" t="s">
        <v>111</v>
      </c>
      <c r="D306" s="8" t="n">
        <v>1016</v>
      </c>
      <c r="E306" s="8" t="n">
        <v>1531</v>
      </c>
      <c r="F306" s="8" t="n">
        <f aca="false">D306+E306</f>
        <v>2547</v>
      </c>
      <c r="G306" s="9" t="n">
        <f aca="false">D306/F306</f>
        <v>0.398900667451904</v>
      </c>
      <c r="H306" s="8" t="n">
        <v>1176</v>
      </c>
      <c r="I306" s="8" t="n">
        <v>1444</v>
      </c>
      <c r="J306" s="8" t="n">
        <f aca="false">IF(OR(H306="",H306=0),"",H306+I306)</f>
        <v>2620</v>
      </c>
      <c r="K306" s="9" t="n">
        <f aca="false">IF(J306="","",H306/J306)</f>
        <v>0.448854961832061</v>
      </c>
      <c r="L306" s="8" t="n">
        <f aca="false">IF(OR(A306=2020,A306=2024),1,0)</f>
        <v>0</v>
      </c>
    </row>
    <row r="307" customFormat="false" ht="15" hidden="false" customHeight="true" outlineLevel="0" collapsed="false">
      <c r="A307" s="8" t="n">
        <v>2020</v>
      </c>
      <c r="B307" s="8" t="s">
        <v>132</v>
      </c>
      <c r="C307" s="8" t="s">
        <v>111</v>
      </c>
      <c r="D307" s="8" t="n">
        <v>1368</v>
      </c>
      <c r="E307" s="8" t="n">
        <v>2520</v>
      </c>
      <c r="F307" s="8" t="n">
        <f aca="false">D307+E307</f>
        <v>3888</v>
      </c>
      <c r="G307" s="9" t="n">
        <f aca="false">D307/F307</f>
        <v>0.351851851851852</v>
      </c>
      <c r="H307" s="8"/>
      <c r="I307" s="8"/>
      <c r="J307" s="8" t="str">
        <f aca="false">IF(OR(H307="",H307=0),"",H307+I307)</f>
        <v/>
      </c>
      <c r="K307" s="9" t="str">
        <f aca="false">IF(J307="","",H307/J307)</f>
        <v/>
      </c>
      <c r="L307" s="8" t="n">
        <f aca="false">IF(OR(A307=2020,A307=2024),1,0)</f>
        <v>1</v>
      </c>
    </row>
    <row r="308" customFormat="false" ht="15" hidden="false" customHeight="true" outlineLevel="0" collapsed="false">
      <c r="A308" s="8" t="n">
        <v>2022</v>
      </c>
      <c r="B308" s="8" t="s">
        <v>132</v>
      </c>
      <c r="C308" s="8" t="s">
        <v>111</v>
      </c>
      <c r="D308" s="8" t="n">
        <v>1076</v>
      </c>
      <c r="E308" s="8" t="n">
        <v>1998</v>
      </c>
      <c r="F308" s="8" t="n">
        <f aca="false">D308+E308</f>
        <v>3074</v>
      </c>
      <c r="G308" s="9" t="n">
        <f aca="false">D308/F308</f>
        <v>0.350032530904359</v>
      </c>
      <c r="H308" s="8" t="n">
        <v>1227</v>
      </c>
      <c r="I308" s="8" t="n">
        <v>1787</v>
      </c>
      <c r="J308" s="8" t="n">
        <f aca="false">IF(OR(H308="",H308=0),"",H308+I308)</f>
        <v>3014</v>
      </c>
      <c r="K308" s="9" t="n">
        <f aca="false">IF(J308="","",H308/J308)</f>
        <v>0.407100199071002</v>
      </c>
      <c r="L308" s="8" t="n">
        <f aca="false">IF(OR(A308=2020,A308=2024),1,0)</f>
        <v>0</v>
      </c>
    </row>
    <row r="309" customFormat="false" ht="15" hidden="false" customHeight="true" outlineLevel="0" collapsed="false">
      <c r="A309" s="8" t="n">
        <v>2024</v>
      </c>
      <c r="B309" s="8" t="s">
        <v>132</v>
      </c>
      <c r="C309" s="8" t="s">
        <v>111</v>
      </c>
      <c r="D309" s="8" t="n">
        <v>1361</v>
      </c>
      <c r="E309" s="8" t="n">
        <v>2561</v>
      </c>
      <c r="F309" s="8" t="n">
        <f aca="false">D309+E309</f>
        <v>3922</v>
      </c>
      <c r="G309" s="9" t="n">
        <f aca="false">D309/F309</f>
        <v>0.347016828148904</v>
      </c>
      <c r="H309" s="8"/>
      <c r="I309" s="8"/>
      <c r="J309" s="8" t="str">
        <f aca="false">IF(OR(H309="",H309=0),"",H309+I309)</f>
        <v/>
      </c>
      <c r="K309" s="9" t="str">
        <f aca="false">IF(J309="","",H309/J309)</f>
        <v/>
      </c>
      <c r="L309" s="8" t="n">
        <f aca="false">IF(OR(A309=2020,A309=2024),1,0)</f>
        <v>1</v>
      </c>
    </row>
    <row r="310" customFormat="false" ht="15" hidden="false" customHeight="true" outlineLevel="0" collapsed="false">
      <c r="A310" s="8" t="n">
        <v>2018</v>
      </c>
      <c r="B310" s="8" t="s">
        <v>133</v>
      </c>
      <c r="C310" s="8" t="s">
        <v>111</v>
      </c>
      <c r="D310" s="8" t="n">
        <v>62</v>
      </c>
      <c r="E310" s="8" t="n">
        <v>104</v>
      </c>
      <c r="F310" s="8" t="n">
        <f aca="false">D310+E310</f>
        <v>166</v>
      </c>
      <c r="G310" s="9" t="n">
        <f aca="false">D310/F310</f>
        <v>0.373493975903614</v>
      </c>
      <c r="H310" s="8" t="n">
        <v>70</v>
      </c>
      <c r="I310" s="8" t="n">
        <v>102</v>
      </c>
      <c r="J310" s="8" t="n">
        <f aca="false">IF(OR(H310="",H310=0),"",H310+I310)</f>
        <v>172</v>
      </c>
      <c r="K310" s="9" t="n">
        <f aca="false">IF(J310="","",H310/J310)</f>
        <v>0.406976744186047</v>
      </c>
      <c r="L310" s="8" t="n">
        <f aca="false">IF(OR(A310=2020,A310=2024),1,0)</f>
        <v>0</v>
      </c>
    </row>
    <row r="311" customFormat="false" ht="15" hidden="false" customHeight="true" outlineLevel="0" collapsed="false">
      <c r="A311" s="8" t="n">
        <v>2020</v>
      </c>
      <c r="B311" s="8" t="s">
        <v>133</v>
      </c>
      <c r="C311" s="8" t="s">
        <v>111</v>
      </c>
      <c r="D311" s="8" t="n">
        <v>82</v>
      </c>
      <c r="E311" s="8" t="n">
        <v>171</v>
      </c>
      <c r="F311" s="8" t="n">
        <f aca="false">D311+E311</f>
        <v>253</v>
      </c>
      <c r="G311" s="9" t="n">
        <f aca="false">D311/F311</f>
        <v>0.324110671936759</v>
      </c>
      <c r="H311" s="8"/>
      <c r="I311" s="8"/>
      <c r="J311" s="8" t="str">
        <f aca="false">IF(OR(H311="",H311=0),"",H311+I311)</f>
        <v/>
      </c>
      <c r="K311" s="9" t="str">
        <f aca="false">IF(J311="","",H311/J311)</f>
        <v/>
      </c>
      <c r="L311" s="8" t="n">
        <f aca="false">IF(OR(A311=2020,A311=2024),1,0)</f>
        <v>1</v>
      </c>
    </row>
    <row r="312" customFormat="false" ht="15" hidden="false" customHeight="true" outlineLevel="0" collapsed="false">
      <c r="A312" s="8" t="n">
        <v>2022</v>
      </c>
      <c r="B312" s="8" t="s">
        <v>133</v>
      </c>
      <c r="C312" s="8" t="s">
        <v>111</v>
      </c>
      <c r="D312" s="8" t="n">
        <v>65</v>
      </c>
      <c r="E312" s="8" t="n">
        <v>129</v>
      </c>
      <c r="F312" s="8" t="n">
        <f aca="false">D312+E312</f>
        <v>194</v>
      </c>
      <c r="G312" s="9" t="n">
        <f aca="false">D312/F312</f>
        <v>0.335051546391753</v>
      </c>
      <c r="H312" s="8" t="n">
        <v>73</v>
      </c>
      <c r="I312" s="8" t="n">
        <v>118</v>
      </c>
      <c r="J312" s="8" t="n">
        <f aca="false">IF(OR(H312="",H312=0),"",H312+I312)</f>
        <v>191</v>
      </c>
      <c r="K312" s="9" t="n">
        <f aca="false">IF(J312="","",H312/J312)</f>
        <v>0.382198952879581</v>
      </c>
      <c r="L312" s="8" t="n">
        <f aca="false">IF(OR(A312=2020,A312=2024),1,0)</f>
        <v>0</v>
      </c>
    </row>
    <row r="313" customFormat="false" ht="15" hidden="false" customHeight="true" outlineLevel="0" collapsed="false">
      <c r="A313" s="8" t="n">
        <v>2024</v>
      </c>
      <c r="B313" s="8" t="s">
        <v>133</v>
      </c>
      <c r="C313" s="8" t="s">
        <v>111</v>
      </c>
      <c r="D313" s="8" t="n">
        <v>92</v>
      </c>
      <c r="E313" s="8" t="n">
        <v>167</v>
      </c>
      <c r="F313" s="8" t="n">
        <f aca="false">D313+E313</f>
        <v>259</v>
      </c>
      <c r="G313" s="9" t="n">
        <f aca="false">D313/F313</f>
        <v>0.355212355212355</v>
      </c>
      <c r="H313" s="8"/>
      <c r="I313" s="8"/>
      <c r="J313" s="8" t="str">
        <f aca="false">IF(OR(H313="",H313=0),"",H313+I313)</f>
        <v/>
      </c>
      <c r="K313" s="9" t="str">
        <f aca="false">IF(J313="","",H313/J313)</f>
        <v/>
      </c>
      <c r="L313" s="8" t="n">
        <f aca="false">IF(OR(A313=2020,A313=2024),1,0)</f>
        <v>1</v>
      </c>
    </row>
    <row r="314" customFormat="false" ht="15" hidden="false" customHeight="true" outlineLevel="0" collapsed="false">
      <c r="A314" s="8" t="n">
        <v>2018</v>
      </c>
      <c r="B314" s="8" t="s">
        <v>134</v>
      </c>
      <c r="C314" s="8" t="s">
        <v>111</v>
      </c>
      <c r="D314" s="8" t="n">
        <v>243</v>
      </c>
      <c r="E314" s="8" t="n">
        <v>335</v>
      </c>
      <c r="F314" s="8" t="n">
        <f aca="false">D314+E314</f>
        <v>578</v>
      </c>
      <c r="G314" s="9" t="n">
        <f aca="false">D314/F314</f>
        <v>0.420415224913495</v>
      </c>
      <c r="H314" s="8" t="n">
        <v>284</v>
      </c>
      <c r="I314" s="8" t="n">
        <v>299</v>
      </c>
      <c r="J314" s="8" t="n">
        <f aca="false">IF(OR(H314="",H314=0),"",H314+I314)</f>
        <v>583</v>
      </c>
      <c r="K314" s="9" t="n">
        <f aca="false">IF(J314="","",H314/J314)</f>
        <v>0.487135506003431</v>
      </c>
      <c r="L314" s="8" t="n">
        <f aca="false">IF(OR(A314=2020,A314=2024),1,0)</f>
        <v>0</v>
      </c>
    </row>
    <row r="315" customFormat="false" ht="15" hidden="false" customHeight="true" outlineLevel="0" collapsed="false">
      <c r="A315" s="8" t="n">
        <v>2020</v>
      </c>
      <c r="B315" s="8" t="s">
        <v>134</v>
      </c>
      <c r="C315" s="8" t="s">
        <v>111</v>
      </c>
      <c r="D315" s="8" t="n">
        <v>331</v>
      </c>
      <c r="E315" s="8" t="n">
        <v>571</v>
      </c>
      <c r="F315" s="8" t="n">
        <f aca="false">D315+E315</f>
        <v>902</v>
      </c>
      <c r="G315" s="9" t="n">
        <f aca="false">D315/F315</f>
        <v>0.366962305986696</v>
      </c>
      <c r="H315" s="8"/>
      <c r="I315" s="8"/>
      <c r="J315" s="8" t="str">
        <f aca="false">IF(OR(H315="",H315=0),"",H315+I315)</f>
        <v/>
      </c>
      <c r="K315" s="9" t="str">
        <f aca="false">IF(J315="","",H315/J315)</f>
        <v/>
      </c>
      <c r="L315" s="8" t="n">
        <f aca="false">IF(OR(A315=2020,A315=2024),1,0)</f>
        <v>1</v>
      </c>
    </row>
    <row r="316" customFormat="false" ht="15" hidden="false" customHeight="true" outlineLevel="0" collapsed="false">
      <c r="A316" s="8" t="n">
        <v>2022</v>
      </c>
      <c r="B316" s="8" t="s">
        <v>134</v>
      </c>
      <c r="C316" s="8" t="s">
        <v>111</v>
      </c>
      <c r="D316" s="8" t="n">
        <v>258</v>
      </c>
      <c r="E316" s="8" t="n">
        <v>418</v>
      </c>
      <c r="F316" s="8" t="n">
        <f aca="false">D316+E316</f>
        <v>676</v>
      </c>
      <c r="G316" s="9" t="n">
        <f aca="false">D316/F316</f>
        <v>0.381656804733728</v>
      </c>
      <c r="H316" s="8" t="n">
        <v>291</v>
      </c>
      <c r="I316" s="8" t="n">
        <v>367</v>
      </c>
      <c r="J316" s="8" t="n">
        <f aca="false">IF(OR(H316="",H316=0),"",H316+I316)</f>
        <v>658</v>
      </c>
      <c r="K316" s="9" t="n">
        <f aca="false">IF(J316="","",H316/J316)</f>
        <v>0.442249240121581</v>
      </c>
      <c r="L316" s="8" t="n">
        <f aca="false">IF(OR(A316=2020,A316=2024),1,0)</f>
        <v>0</v>
      </c>
    </row>
    <row r="317" customFormat="false" ht="15" hidden="false" customHeight="true" outlineLevel="0" collapsed="false">
      <c r="A317" s="8" t="n">
        <v>2024</v>
      </c>
      <c r="B317" s="8" t="s">
        <v>134</v>
      </c>
      <c r="C317" s="8" t="s">
        <v>111</v>
      </c>
      <c r="D317" s="8" t="n">
        <v>335</v>
      </c>
      <c r="E317" s="8" t="n">
        <v>581</v>
      </c>
      <c r="F317" s="8" t="n">
        <f aca="false">D317+E317</f>
        <v>916</v>
      </c>
      <c r="G317" s="9" t="n">
        <f aca="false">D317/F317</f>
        <v>0.365720524017467</v>
      </c>
      <c r="H317" s="8"/>
      <c r="I317" s="8"/>
      <c r="J317" s="8" t="str">
        <f aca="false">IF(OR(H317="",H317=0),"",H317+I317)</f>
        <v/>
      </c>
      <c r="K317" s="9" t="str">
        <f aca="false">IF(J317="","",H317/J317)</f>
        <v/>
      </c>
      <c r="L317" s="8" t="n">
        <f aca="false">IF(OR(A317=2020,A317=2024),1,0)</f>
        <v>1</v>
      </c>
    </row>
    <row r="318" customFormat="false" ht="15" hidden="false" customHeight="true" outlineLevel="0" collapsed="false">
      <c r="A318" s="8" t="n">
        <v>2018</v>
      </c>
      <c r="B318" s="8" t="s">
        <v>135</v>
      </c>
      <c r="C318" s="8" t="s">
        <v>111</v>
      </c>
      <c r="D318" s="8" t="n">
        <v>142</v>
      </c>
      <c r="E318" s="8" t="n">
        <v>172</v>
      </c>
      <c r="F318" s="8" t="n">
        <f aca="false">D318+E318</f>
        <v>314</v>
      </c>
      <c r="G318" s="9" t="n">
        <f aca="false">D318/F318</f>
        <v>0.452229299363057</v>
      </c>
      <c r="H318" s="8" t="n">
        <v>171</v>
      </c>
      <c r="I318" s="8" t="n">
        <v>149</v>
      </c>
      <c r="J318" s="8" t="n">
        <f aca="false">IF(OR(H318="",H318=0),"",H318+I318)</f>
        <v>320</v>
      </c>
      <c r="K318" s="9" t="n">
        <f aca="false">IF(J318="","",H318/J318)</f>
        <v>0.534375</v>
      </c>
      <c r="L318" s="8" t="n">
        <f aca="false">IF(OR(A318=2020,A318=2024),1,0)</f>
        <v>0</v>
      </c>
    </row>
    <row r="319" customFormat="false" ht="15" hidden="false" customHeight="true" outlineLevel="0" collapsed="false">
      <c r="A319" s="8" t="n">
        <v>2020</v>
      </c>
      <c r="B319" s="8" t="s">
        <v>135</v>
      </c>
      <c r="C319" s="8" t="s">
        <v>111</v>
      </c>
      <c r="D319" s="8" t="n">
        <v>212</v>
      </c>
      <c r="E319" s="8" t="n">
        <v>308</v>
      </c>
      <c r="F319" s="8" t="n">
        <f aca="false">D319+E319</f>
        <v>520</v>
      </c>
      <c r="G319" s="9" t="n">
        <f aca="false">D319/F319</f>
        <v>0.407692307692308</v>
      </c>
      <c r="H319" s="8"/>
      <c r="I319" s="8"/>
      <c r="J319" s="8" t="str">
        <f aca="false">IF(OR(H319="",H319=0),"",H319+I319)</f>
        <v/>
      </c>
      <c r="K319" s="9" t="str">
        <f aca="false">IF(J319="","",H319/J319)</f>
        <v/>
      </c>
      <c r="L319" s="8" t="n">
        <f aca="false">IF(OR(A319=2020,A319=2024),1,0)</f>
        <v>1</v>
      </c>
    </row>
    <row r="320" customFormat="false" ht="15" hidden="false" customHeight="true" outlineLevel="0" collapsed="false">
      <c r="A320" s="8" t="n">
        <v>2022</v>
      </c>
      <c r="B320" s="8" t="s">
        <v>135</v>
      </c>
      <c r="C320" s="8" t="s">
        <v>111</v>
      </c>
      <c r="D320" s="8" t="n">
        <v>160</v>
      </c>
      <c r="E320" s="8" t="n">
        <v>227</v>
      </c>
      <c r="F320" s="8" t="n">
        <f aca="false">D320+E320</f>
        <v>387</v>
      </c>
      <c r="G320" s="9" t="n">
        <f aca="false">D320/F320</f>
        <v>0.41343669250646</v>
      </c>
      <c r="H320" s="8" t="n">
        <v>181</v>
      </c>
      <c r="I320" s="8" t="n">
        <v>200</v>
      </c>
      <c r="J320" s="8" t="n">
        <f aca="false">IF(OR(H320="",H320=0),"",H320+I320)</f>
        <v>381</v>
      </c>
      <c r="K320" s="9" t="n">
        <f aca="false">IF(J320="","",H320/J320)</f>
        <v>0.4750656167979</v>
      </c>
      <c r="L320" s="8" t="n">
        <f aca="false">IF(OR(A320=2020,A320=2024),1,0)</f>
        <v>0</v>
      </c>
    </row>
    <row r="321" customFormat="false" ht="15" hidden="false" customHeight="true" outlineLevel="0" collapsed="false">
      <c r="A321" s="8" t="n">
        <v>2024</v>
      </c>
      <c r="B321" s="8" t="s">
        <v>135</v>
      </c>
      <c r="C321" s="8" t="s">
        <v>111</v>
      </c>
      <c r="D321" s="8" t="n">
        <v>210</v>
      </c>
      <c r="E321" s="8" t="n">
        <v>309</v>
      </c>
      <c r="F321" s="8" t="n">
        <f aca="false">D321+E321</f>
        <v>519</v>
      </c>
      <c r="G321" s="9" t="n">
        <f aca="false">D321/F321</f>
        <v>0.404624277456647</v>
      </c>
      <c r="H321" s="8"/>
      <c r="I321" s="8"/>
      <c r="J321" s="8" t="str">
        <f aca="false">IF(OR(H321="",H321=0),"",H321+I321)</f>
        <v/>
      </c>
      <c r="K321" s="9" t="str">
        <f aca="false">IF(J321="","",H321/J321)</f>
        <v/>
      </c>
      <c r="L321" s="8" t="n">
        <f aca="false">IF(OR(A321=2020,A321=2024),1,0)</f>
        <v>1</v>
      </c>
    </row>
    <row r="322" customFormat="false" ht="15" hidden="false" customHeight="true" outlineLevel="0" collapsed="false">
      <c r="A322" s="8" t="n">
        <v>2018</v>
      </c>
      <c r="B322" s="8" t="s">
        <v>136</v>
      </c>
      <c r="C322" s="8" t="s">
        <v>111</v>
      </c>
      <c r="D322" s="8" t="n">
        <v>192</v>
      </c>
      <c r="E322" s="8" t="n">
        <v>253</v>
      </c>
      <c r="F322" s="8" t="n">
        <f aca="false">D322+E322</f>
        <v>445</v>
      </c>
      <c r="G322" s="9" t="n">
        <f aca="false">D322/F322</f>
        <v>0.431460674157303</v>
      </c>
      <c r="H322" s="8" t="n">
        <v>233</v>
      </c>
      <c r="I322" s="8" t="n">
        <v>221</v>
      </c>
      <c r="J322" s="8" t="n">
        <f aca="false">IF(OR(H322="",H322=0),"",H322+I322)</f>
        <v>454</v>
      </c>
      <c r="K322" s="9" t="n">
        <f aca="false">IF(J322="","",H322/J322)</f>
        <v>0.513215859030837</v>
      </c>
      <c r="L322" s="8" t="n">
        <f aca="false">IF(OR(A322=2020,A322=2024),1,0)</f>
        <v>0</v>
      </c>
    </row>
    <row r="323" customFormat="false" ht="15" hidden="false" customHeight="true" outlineLevel="0" collapsed="false">
      <c r="A323" s="8" t="n">
        <v>2020</v>
      </c>
      <c r="B323" s="8" t="s">
        <v>136</v>
      </c>
      <c r="C323" s="8" t="s">
        <v>111</v>
      </c>
      <c r="D323" s="8" t="n">
        <v>272</v>
      </c>
      <c r="E323" s="8" t="n">
        <v>400</v>
      </c>
      <c r="F323" s="8" t="n">
        <f aca="false">D323+E323</f>
        <v>672</v>
      </c>
      <c r="G323" s="9" t="n">
        <f aca="false">D323/F323</f>
        <v>0.404761904761905</v>
      </c>
      <c r="H323" s="8"/>
      <c r="I323" s="8"/>
      <c r="J323" s="8" t="str">
        <f aca="false">IF(OR(H323="",H323=0),"",H323+I323)</f>
        <v/>
      </c>
      <c r="K323" s="9" t="str">
        <f aca="false">IF(J323="","",H323/J323)</f>
        <v/>
      </c>
      <c r="L323" s="8" t="n">
        <f aca="false">IF(OR(A323=2020,A323=2024),1,0)</f>
        <v>1</v>
      </c>
    </row>
    <row r="324" customFormat="false" ht="15" hidden="false" customHeight="true" outlineLevel="0" collapsed="false">
      <c r="A324" s="8" t="n">
        <v>2022</v>
      </c>
      <c r="B324" s="8" t="s">
        <v>136</v>
      </c>
      <c r="C324" s="8" t="s">
        <v>111</v>
      </c>
      <c r="D324" s="8" t="n">
        <v>243</v>
      </c>
      <c r="E324" s="8" t="n">
        <v>318</v>
      </c>
      <c r="F324" s="8" t="n">
        <f aca="false">D324+E324</f>
        <v>561</v>
      </c>
      <c r="G324" s="9" t="n">
        <f aca="false">D324/F324</f>
        <v>0.433155080213904</v>
      </c>
      <c r="H324" s="8" t="n">
        <v>279</v>
      </c>
      <c r="I324" s="8" t="n">
        <v>275</v>
      </c>
      <c r="J324" s="8" t="n">
        <f aca="false">IF(OR(H324="",H324=0),"",H324+I324)</f>
        <v>554</v>
      </c>
      <c r="K324" s="9" t="n">
        <f aca="false">IF(J324="","",H324/J324)</f>
        <v>0.503610108303249</v>
      </c>
      <c r="L324" s="8" t="n">
        <f aca="false">IF(OR(A324=2020,A324=2024),1,0)</f>
        <v>0</v>
      </c>
    </row>
    <row r="325" customFormat="false" ht="15" hidden="false" customHeight="true" outlineLevel="0" collapsed="false">
      <c r="A325" s="8" t="n">
        <v>2024</v>
      </c>
      <c r="B325" s="8" t="s">
        <v>136</v>
      </c>
      <c r="C325" s="8" t="s">
        <v>111</v>
      </c>
      <c r="D325" s="8" t="n">
        <v>331</v>
      </c>
      <c r="E325" s="8" t="n">
        <v>458</v>
      </c>
      <c r="F325" s="8" t="n">
        <f aca="false">D325+E325</f>
        <v>789</v>
      </c>
      <c r="G325" s="9" t="n">
        <f aca="false">D325/F325</f>
        <v>0.419518377693283</v>
      </c>
      <c r="H325" s="8"/>
      <c r="I325" s="8"/>
      <c r="J325" s="8" t="str">
        <f aca="false">IF(OR(H325="",H325=0),"",H325+I325)</f>
        <v/>
      </c>
      <c r="K325" s="9" t="str">
        <f aca="false">IF(J325="","",H325/J325)</f>
        <v/>
      </c>
      <c r="L325" s="8" t="n">
        <f aca="false">IF(OR(A325=2020,A325=2024),1,0)</f>
        <v>1</v>
      </c>
    </row>
    <row r="326" customFormat="false" ht="15" hidden="false" customHeight="true" outlineLevel="0" collapsed="false">
      <c r="A326" s="8" t="n">
        <v>2018</v>
      </c>
      <c r="B326" s="8" t="s">
        <v>137</v>
      </c>
      <c r="C326" s="8" t="s">
        <v>111</v>
      </c>
      <c r="D326" s="8" t="n">
        <v>967</v>
      </c>
      <c r="E326" s="8" t="n">
        <v>1709</v>
      </c>
      <c r="F326" s="8" t="n">
        <f aca="false">D326+E326</f>
        <v>2676</v>
      </c>
      <c r="G326" s="9" t="n">
        <f aca="false">D326/F326</f>
        <v>0.36136023916293</v>
      </c>
      <c r="H326" s="8" t="n">
        <v>1077</v>
      </c>
      <c r="I326" s="8" t="n">
        <v>1628</v>
      </c>
      <c r="J326" s="8" t="n">
        <f aca="false">IF(OR(H326="",H326=0),"",H326+I326)</f>
        <v>2705</v>
      </c>
      <c r="K326" s="9" t="n">
        <f aca="false">IF(J326="","",H326/J326)</f>
        <v>0.39815157116451</v>
      </c>
      <c r="L326" s="8" t="n">
        <f aca="false">IF(OR(A326=2020,A326=2024),1,0)</f>
        <v>0</v>
      </c>
    </row>
    <row r="327" customFormat="false" ht="15" hidden="false" customHeight="true" outlineLevel="0" collapsed="false">
      <c r="A327" s="8" t="n">
        <v>2020</v>
      </c>
      <c r="B327" s="8" t="s">
        <v>137</v>
      </c>
      <c r="C327" s="8" t="s">
        <v>111</v>
      </c>
      <c r="D327" s="8" t="n">
        <v>1207</v>
      </c>
      <c r="E327" s="8" t="n">
        <v>2601</v>
      </c>
      <c r="F327" s="8" t="n">
        <f aca="false">D327+E327</f>
        <v>3808</v>
      </c>
      <c r="G327" s="9" t="n">
        <f aca="false">D327/F327</f>
        <v>0.316964285714286</v>
      </c>
      <c r="H327" s="8"/>
      <c r="I327" s="8"/>
      <c r="J327" s="8" t="str">
        <f aca="false">IF(OR(H327="",H327=0),"",H327+I327)</f>
        <v/>
      </c>
      <c r="K327" s="9" t="str">
        <f aca="false">IF(J327="","",H327/J327)</f>
        <v/>
      </c>
      <c r="L327" s="8" t="n">
        <f aca="false">IF(OR(A327=2020,A327=2024),1,0)</f>
        <v>1</v>
      </c>
    </row>
    <row r="328" customFormat="false" ht="15" hidden="false" customHeight="true" outlineLevel="0" collapsed="false">
      <c r="A328" s="8" t="n">
        <v>2022</v>
      </c>
      <c r="B328" s="8" t="s">
        <v>137</v>
      </c>
      <c r="C328" s="8" t="s">
        <v>111</v>
      </c>
      <c r="D328" s="8" t="n">
        <v>1030</v>
      </c>
      <c r="E328" s="8" t="n">
        <v>2095</v>
      </c>
      <c r="F328" s="8" t="n">
        <f aca="false">D328+E328</f>
        <v>3125</v>
      </c>
      <c r="G328" s="9" t="n">
        <f aca="false">D328/F328</f>
        <v>0.3296</v>
      </c>
      <c r="H328" s="8" t="n">
        <v>1162</v>
      </c>
      <c r="I328" s="8" t="n">
        <v>1912</v>
      </c>
      <c r="J328" s="8" t="n">
        <f aca="false">IF(OR(H328="",H328=0),"",H328+I328)</f>
        <v>3074</v>
      </c>
      <c r="K328" s="9" t="n">
        <f aca="false">IF(J328="","",H328/J328)</f>
        <v>0.378009108653221</v>
      </c>
      <c r="L328" s="8" t="n">
        <f aca="false">IF(OR(A328=2020,A328=2024),1,0)</f>
        <v>0</v>
      </c>
    </row>
    <row r="329" customFormat="false" ht="15" hidden="false" customHeight="true" outlineLevel="0" collapsed="false">
      <c r="A329" s="8" t="n">
        <v>2024</v>
      </c>
      <c r="B329" s="8" t="s">
        <v>137</v>
      </c>
      <c r="C329" s="8" t="s">
        <v>111</v>
      </c>
      <c r="D329" s="8" t="n">
        <v>1242</v>
      </c>
      <c r="E329" s="8" t="n">
        <v>2716</v>
      </c>
      <c r="F329" s="8" t="n">
        <f aca="false">D329+E329</f>
        <v>3958</v>
      </c>
      <c r="G329" s="9" t="n">
        <f aca="false">D329/F329</f>
        <v>0.313794845881759</v>
      </c>
      <c r="H329" s="8"/>
      <c r="I329" s="8"/>
      <c r="J329" s="8" t="str">
        <f aca="false">IF(OR(H329="",H329=0),"",H329+I329)</f>
        <v/>
      </c>
      <c r="K329" s="9" t="str">
        <f aca="false">IF(J329="","",H329/J329)</f>
        <v/>
      </c>
      <c r="L329" s="8" t="n">
        <f aca="false">IF(OR(A329=2020,A329=2024),1,0)</f>
        <v>1</v>
      </c>
    </row>
    <row r="330" customFormat="false" ht="15" hidden="false" customHeight="true" outlineLevel="0" collapsed="false">
      <c r="A330" s="8" t="n">
        <v>2018</v>
      </c>
      <c r="B330" s="8" t="s">
        <v>138</v>
      </c>
      <c r="C330" s="8" t="s">
        <v>111</v>
      </c>
      <c r="D330" s="8" t="n">
        <v>1261</v>
      </c>
      <c r="E330" s="8" t="n">
        <v>1262</v>
      </c>
      <c r="F330" s="8" t="n">
        <f aca="false">D330+E330</f>
        <v>2523</v>
      </c>
      <c r="G330" s="9" t="n">
        <f aca="false">D330/F330</f>
        <v>0.499801823226318</v>
      </c>
      <c r="H330" s="8" t="n">
        <v>1455</v>
      </c>
      <c r="I330" s="8" t="n">
        <v>1132</v>
      </c>
      <c r="J330" s="8" t="n">
        <f aca="false">IF(OR(H330="",H330=0),"",H330+I330)</f>
        <v>2587</v>
      </c>
      <c r="K330" s="9" t="n">
        <f aca="false">IF(J330="","",H330/J330)</f>
        <v>0.562427522226517</v>
      </c>
      <c r="L330" s="8" t="n">
        <f aca="false">IF(OR(A330=2020,A330=2024),1,0)</f>
        <v>0</v>
      </c>
    </row>
    <row r="331" customFormat="false" ht="15" hidden="false" customHeight="true" outlineLevel="0" collapsed="false">
      <c r="A331" s="8" t="n">
        <v>2020</v>
      </c>
      <c r="B331" s="8" t="s">
        <v>138</v>
      </c>
      <c r="C331" s="8" t="s">
        <v>111</v>
      </c>
      <c r="D331" s="8" t="n">
        <v>1838</v>
      </c>
      <c r="E331" s="8" t="n">
        <v>2112</v>
      </c>
      <c r="F331" s="8" t="n">
        <f aca="false">D331+E331</f>
        <v>3950</v>
      </c>
      <c r="G331" s="9" t="n">
        <f aca="false">D331/F331</f>
        <v>0.465316455696203</v>
      </c>
      <c r="H331" s="8"/>
      <c r="I331" s="8"/>
      <c r="J331" s="8" t="str">
        <f aca="false">IF(OR(H331="",H331=0),"",H331+I331)</f>
        <v/>
      </c>
      <c r="K331" s="9" t="str">
        <f aca="false">IF(J331="","",H331/J331)</f>
        <v/>
      </c>
      <c r="L331" s="8" t="n">
        <f aca="false">IF(OR(A331=2020,A331=2024),1,0)</f>
        <v>1</v>
      </c>
    </row>
    <row r="332" customFormat="false" ht="15" hidden="false" customHeight="true" outlineLevel="0" collapsed="false">
      <c r="A332" s="8" t="n">
        <v>2022</v>
      </c>
      <c r="B332" s="8" t="s">
        <v>138</v>
      </c>
      <c r="C332" s="8" t="s">
        <v>111</v>
      </c>
      <c r="D332" s="8" t="n">
        <v>1575</v>
      </c>
      <c r="E332" s="8" t="n">
        <v>1588</v>
      </c>
      <c r="F332" s="8" t="n">
        <f aca="false">D332+E332</f>
        <v>3163</v>
      </c>
      <c r="G332" s="9" t="n">
        <f aca="false">D332/F332</f>
        <v>0.497944988934556</v>
      </c>
      <c r="H332" s="8" t="n">
        <v>1742</v>
      </c>
      <c r="I332" s="8" t="n">
        <v>1355</v>
      </c>
      <c r="J332" s="8" t="n">
        <f aca="false">IF(OR(H332="",H332=0),"",H332+I332)</f>
        <v>3097</v>
      </c>
      <c r="K332" s="9" t="n">
        <f aca="false">IF(J332="","",H332/J332)</f>
        <v>0.562479819179852</v>
      </c>
      <c r="L332" s="8" t="n">
        <f aca="false">IF(OR(A332=2020,A332=2024),1,0)</f>
        <v>0</v>
      </c>
    </row>
    <row r="333" customFormat="false" ht="15" hidden="false" customHeight="true" outlineLevel="0" collapsed="false">
      <c r="A333" s="8" t="n">
        <v>2024</v>
      </c>
      <c r="B333" s="8" t="s">
        <v>138</v>
      </c>
      <c r="C333" s="8" t="s">
        <v>111</v>
      </c>
      <c r="D333" s="8" t="n">
        <v>1964</v>
      </c>
      <c r="E333" s="8" t="n">
        <v>2147</v>
      </c>
      <c r="F333" s="8" t="n">
        <f aca="false">D333+E333</f>
        <v>4111</v>
      </c>
      <c r="G333" s="9" t="n">
        <f aca="false">D333/F333</f>
        <v>0.477742641693019</v>
      </c>
      <c r="H333" s="8"/>
      <c r="I333" s="8"/>
      <c r="J333" s="8" t="str">
        <f aca="false">IF(OR(H333="",H333=0),"",H333+I333)</f>
        <v/>
      </c>
      <c r="K333" s="9" t="str">
        <f aca="false">IF(J333="","",H333/J333)</f>
        <v/>
      </c>
      <c r="L333" s="8" t="n">
        <f aca="false">IF(OR(A333=2020,A333=2024),1,0)</f>
        <v>1</v>
      </c>
    </row>
    <row r="334" customFormat="false" ht="15" hidden="false" customHeight="true" outlineLevel="0" collapsed="false">
      <c r="A334" s="8" t="n">
        <v>2018</v>
      </c>
      <c r="B334" s="8" t="s">
        <v>139</v>
      </c>
      <c r="C334" s="8" t="s">
        <v>111</v>
      </c>
      <c r="D334" s="8" t="n">
        <v>250</v>
      </c>
      <c r="E334" s="8" t="n">
        <v>344</v>
      </c>
      <c r="F334" s="8" t="n">
        <f aca="false">D334+E334</f>
        <v>594</v>
      </c>
      <c r="G334" s="9" t="n">
        <f aca="false">D334/F334</f>
        <v>0.420875420875421</v>
      </c>
      <c r="H334" s="8" t="n">
        <v>300</v>
      </c>
      <c r="I334" s="8" t="n">
        <v>300</v>
      </c>
      <c r="J334" s="8" t="n">
        <f aca="false">IF(OR(H334="",H334=0),"",H334+I334)</f>
        <v>600</v>
      </c>
      <c r="K334" s="9" t="n">
        <f aca="false">IF(J334="","",H334/J334)</f>
        <v>0.5</v>
      </c>
      <c r="L334" s="8" t="n">
        <f aca="false">IF(OR(A334=2020,A334=2024),1,0)</f>
        <v>0</v>
      </c>
    </row>
    <row r="335" customFormat="false" ht="15" hidden="false" customHeight="true" outlineLevel="0" collapsed="false">
      <c r="A335" s="8" t="n">
        <v>2020</v>
      </c>
      <c r="B335" s="8" t="s">
        <v>139</v>
      </c>
      <c r="C335" s="8" t="s">
        <v>111</v>
      </c>
      <c r="D335" s="8" t="n">
        <v>379</v>
      </c>
      <c r="E335" s="8" t="n">
        <v>605</v>
      </c>
      <c r="F335" s="8" t="n">
        <f aca="false">D335+E335</f>
        <v>984</v>
      </c>
      <c r="G335" s="9" t="n">
        <f aca="false">D335/F335</f>
        <v>0.385162601626016</v>
      </c>
      <c r="H335" s="8"/>
      <c r="I335" s="8"/>
      <c r="J335" s="8" t="str">
        <f aca="false">IF(OR(H335="",H335=0),"",H335+I335)</f>
        <v/>
      </c>
      <c r="K335" s="9" t="str">
        <f aca="false">IF(J335="","",H335/J335)</f>
        <v/>
      </c>
      <c r="L335" s="8" t="n">
        <f aca="false">IF(OR(A335=2020,A335=2024),1,0)</f>
        <v>1</v>
      </c>
    </row>
    <row r="336" customFormat="false" ht="15" hidden="false" customHeight="true" outlineLevel="0" collapsed="false">
      <c r="A336" s="8" t="n">
        <v>2022</v>
      </c>
      <c r="B336" s="8" t="s">
        <v>139</v>
      </c>
      <c r="C336" s="8" t="s">
        <v>111</v>
      </c>
      <c r="D336" s="8" t="n">
        <v>305</v>
      </c>
      <c r="E336" s="8" t="n">
        <v>419</v>
      </c>
      <c r="F336" s="8" t="n">
        <f aca="false">D336+E336</f>
        <v>724</v>
      </c>
      <c r="G336" s="9" t="n">
        <f aca="false">D336/F336</f>
        <v>0.421270718232044</v>
      </c>
      <c r="H336" s="8" t="n">
        <v>350</v>
      </c>
      <c r="I336" s="8" t="n">
        <v>349</v>
      </c>
      <c r="J336" s="8" t="n">
        <f aca="false">IF(OR(H336="",H336=0),"",H336+I336)</f>
        <v>699</v>
      </c>
      <c r="K336" s="9" t="n">
        <f aca="false">IF(J336="","",H336/J336)</f>
        <v>0.50071530758226</v>
      </c>
      <c r="L336" s="8" t="n">
        <f aca="false">IF(OR(A336=2020,A336=2024),1,0)</f>
        <v>0</v>
      </c>
    </row>
    <row r="337" customFormat="false" ht="15" hidden="false" customHeight="true" outlineLevel="0" collapsed="false">
      <c r="A337" s="8" t="n">
        <v>2024</v>
      </c>
      <c r="B337" s="8" t="s">
        <v>139</v>
      </c>
      <c r="C337" s="8" t="s">
        <v>111</v>
      </c>
      <c r="D337" s="8" t="n">
        <v>416</v>
      </c>
      <c r="E337" s="8" t="n">
        <v>658</v>
      </c>
      <c r="F337" s="8" t="n">
        <f aca="false">D337+E337</f>
        <v>1074</v>
      </c>
      <c r="G337" s="9" t="n">
        <f aca="false">D337/F337</f>
        <v>0.387337057728119</v>
      </c>
      <c r="H337" s="8"/>
      <c r="I337" s="8"/>
      <c r="J337" s="8" t="str">
        <f aca="false">IF(OR(H337="",H337=0),"",H337+I337)</f>
        <v/>
      </c>
      <c r="K337" s="9" t="str">
        <f aca="false">IF(J337="","",H337/J337)</f>
        <v/>
      </c>
      <c r="L337" s="8" t="n">
        <f aca="false">IF(OR(A337=2020,A337=2024),1,0)</f>
        <v>1</v>
      </c>
    </row>
    <row r="338" customFormat="false" ht="15" hidden="false" customHeight="true" outlineLevel="0" collapsed="false">
      <c r="A338" s="8" t="n">
        <v>2018</v>
      </c>
      <c r="B338" s="8" t="s">
        <v>103</v>
      </c>
      <c r="C338" s="8" t="s">
        <v>111</v>
      </c>
      <c r="D338" s="8" t="n">
        <v>724</v>
      </c>
      <c r="E338" s="8" t="n">
        <v>1138</v>
      </c>
      <c r="F338" s="8" t="n">
        <f aca="false">D338+E338</f>
        <v>1862</v>
      </c>
      <c r="G338" s="9" t="n">
        <f aca="false">D338/F338</f>
        <v>0.388829215896885</v>
      </c>
      <c r="H338" s="8" t="n">
        <v>842</v>
      </c>
      <c r="I338" s="8" t="n">
        <v>1070</v>
      </c>
      <c r="J338" s="8" t="n">
        <f aca="false">IF(OR(H338="",H338=0),"",H338+I338)</f>
        <v>1912</v>
      </c>
      <c r="K338" s="9" t="n">
        <f aca="false">IF(J338="","",H338/J338)</f>
        <v>0.440376569037657</v>
      </c>
      <c r="L338" s="8" t="n">
        <f aca="false">IF(OR(A338=2020,A338=2024),1,0)</f>
        <v>0</v>
      </c>
    </row>
    <row r="339" customFormat="false" ht="15" hidden="false" customHeight="true" outlineLevel="0" collapsed="false">
      <c r="A339" s="8" t="n">
        <v>2020</v>
      </c>
      <c r="B339" s="8" t="s">
        <v>103</v>
      </c>
      <c r="C339" s="8" t="s">
        <v>111</v>
      </c>
      <c r="D339" s="8" t="n">
        <v>1032</v>
      </c>
      <c r="E339" s="8" t="n">
        <v>1971</v>
      </c>
      <c r="F339" s="8" t="n">
        <f aca="false">D339+E339</f>
        <v>3003</v>
      </c>
      <c r="G339" s="9" t="n">
        <f aca="false">D339/F339</f>
        <v>0.343656343656344</v>
      </c>
      <c r="H339" s="8"/>
      <c r="I339" s="8"/>
      <c r="J339" s="8" t="str">
        <f aca="false">IF(OR(H339="",H339=0),"",H339+I339)</f>
        <v/>
      </c>
      <c r="K339" s="9" t="str">
        <f aca="false">IF(J339="","",H339/J339)</f>
        <v/>
      </c>
      <c r="L339" s="8" t="n">
        <f aca="false">IF(OR(A339=2020,A339=2024),1,0)</f>
        <v>1</v>
      </c>
    </row>
    <row r="340" customFormat="false" ht="15" hidden="false" customHeight="true" outlineLevel="0" collapsed="false">
      <c r="A340" s="8" t="n">
        <v>2022</v>
      </c>
      <c r="B340" s="8" t="s">
        <v>103</v>
      </c>
      <c r="C340" s="8" t="s">
        <v>111</v>
      </c>
      <c r="D340" s="8" t="n">
        <v>840</v>
      </c>
      <c r="E340" s="8" t="n">
        <v>1533</v>
      </c>
      <c r="F340" s="8" t="n">
        <f aca="false">D340+E340</f>
        <v>2373</v>
      </c>
      <c r="G340" s="9" t="n">
        <f aca="false">D340/F340</f>
        <v>0.353982300884956</v>
      </c>
      <c r="H340" s="8" t="n">
        <v>967</v>
      </c>
      <c r="I340" s="8" t="n">
        <v>1367</v>
      </c>
      <c r="J340" s="8" t="n">
        <f aca="false">IF(OR(H340="",H340=0),"",H340+I340)</f>
        <v>2334</v>
      </c>
      <c r="K340" s="9" t="n">
        <f aca="false">IF(J340="","",H340/J340)</f>
        <v>0.414310197086547</v>
      </c>
      <c r="L340" s="8" t="n">
        <f aca="false">IF(OR(A340=2020,A340=2024),1,0)</f>
        <v>0</v>
      </c>
    </row>
    <row r="341" customFormat="false" ht="15" hidden="false" customHeight="true" outlineLevel="0" collapsed="false">
      <c r="A341" s="8" t="n">
        <v>2024</v>
      </c>
      <c r="B341" s="8" t="s">
        <v>103</v>
      </c>
      <c r="C341" s="8" t="s">
        <v>111</v>
      </c>
      <c r="D341" s="8" t="n">
        <v>1041</v>
      </c>
      <c r="E341" s="8" t="n">
        <v>2088</v>
      </c>
      <c r="F341" s="8" t="n">
        <f aca="false">D341+E341</f>
        <v>3129</v>
      </c>
      <c r="G341" s="9" t="n">
        <f aca="false">D341/F341</f>
        <v>0.332694151486098</v>
      </c>
      <c r="H341" s="8"/>
      <c r="I341" s="8"/>
      <c r="J341" s="8" t="str">
        <f aca="false">IF(OR(H341="",H341=0),"",H341+I341)</f>
        <v/>
      </c>
      <c r="K341" s="9" t="str">
        <f aca="false">IF(J341="","",H341/J341)</f>
        <v/>
      </c>
      <c r="L341" s="8" t="n">
        <f aca="false">IF(OR(A341=2020,A341=2024),1,0)</f>
        <v>1</v>
      </c>
    </row>
    <row r="342" customFormat="false" ht="15" hidden="false" customHeight="true" outlineLevel="0" collapsed="false">
      <c r="A342" s="8" t="n">
        <v>2018</v>
      </c>
      <c r="B342" s="8" t="s">
        <v>140</v>
      </c>
      <c r="C342" s="8" t="s">
        <v>111</v>
      </c>
      <c r="D342" s="8" t="n">
        <v>190</v>
      </c>
      <c r="E342" s="8" t="n">
        <v>165</v>
      </c>
      <c r="F342" s="8" t="n">
        <f aca="false">D342+E342</f>
        <v>355</v>
      </c>
      <c r="G342" s="9" t="n">
        <f aca="false">D342/F342</f>
        <v>0.535211267605634</v>
      </c>
      <c r="H342" s="8" t="n">
        <v>217</v>
      </c>
      <c r="I342" s="8" t="n">
        <v>152</v>
      </c>
      <c r="J342" s="8" t="n">
        <f aca="false">IF(OR(H342="",H342=0),"",H342+I342)</f>
        <v>369</v>
      </c>
      <c r="K342" s="9" t="n">
        <f aca="false">IF(J342="","",H342/J342)</f>
        <v>0.588075880758808</v>
      </c>
      <c r="L342" s="8" t="n">
        <f aca="false">IF(OR(A342=2020,A342=2024),1,0)</f>
        <v>0</v>
      </c>
    </row>
    <row r="343" customFormat="false" ht="15" hidden="false" customHeight="true" outlineLevel="0" collapsed="false">
      <c r="A343" s="8" t="n">
        <v>2020</v>
      </c>
      <c r="B343" s="8" t="s">
        <v>140</v>
      </c>
      <c r="C343" s="8" t="s">
        <v>111</v>
      </c>
      <c r="D343" s="8" t="n">
        <v>249</v>
      </c>
      <c r="E343" s="8" t="n">
        <v>326</v>
      </c>
      <c r="F343" s="8" t="n">
        <f aca="false">D343+E343</f>
        <v>575</v>
      </c>
      <c r="G343" s="9" t="n">
        <f aca="false">D343/F343</f>
        <v>0.43304347826087</v>
      </c>
      <c r="H343" s="8"/>
      <c r="I343" s="8"/>
      <c r="J343" s="8" t="str">
        <f aca="false">IF(OR(H343="",H343=0),"",H343+I343)</f>
        <v/>
      </c>
      <c r="K343" s="9" t="str">
        <f aca="false">IF(J343="","",H343/J343)</f>
        <v/>
      </c>
      <c r="L343" s="8" t="n">
        <f aca="false">IF(OR(A343=2020,A343=2024),1,0)</f>
        <v>1</v>
      </c>
    </row>
    <row r="344" customFormat="false" ht="15" hidden="false" customHeight="true" outlineLevel="0" collapsed="false">
      <c r="A344" s="8" t="n">
        <v>2022</v>
      </c>
      <c r="B344" s="8" t="s">
        <v>140</v>
      </c>
      <c r="C344" s="8" t="s">
        <v>111</v>
      </c>
      <c r="D344" s="8" t="n">
        <v>199</v>
      </c>
      <c r="E344" s="8" t="n">
        <v>215</v>
      </c>
      <c r="F344" s="8" t="n">
        <f aca="false">D344+E344</f>
        <v>414</v>
      </c>
      <c r="G344" s="9" t="n">
        <f aca="false">D344/F344</f>
        <v>0.480676328502416</v>
      </c>
      <c r="H344" s="8" t="n">
        <v>206</v>
      </c>
      <c r="I344" s="8" t="n">
        <v>195</v>
      </c>
      <c r="J344" s="8" t="n">
        <f aca="false">IF(OR(H344="",H344=0),"",H344+I344)</f>
        <v>401</v>
      </c>
      <c r="K344" s="9" t="n">
        <f aca="false">IF(J344="","",H344/J344)</f>
        <v>0.513715710723192</v>
      </c>
      <c r="L344" s="8" t="n">
        <f aca="false">IF(OR(A344=2020,A344=2024),1,0)</f>
        <v>0</v>
      </c>
    </row>
    <row r="345" customFormat="false" ht="15" hidden="false" customHeight="true" outlineLevel="0" collapsed="false">
      <c r="A345" s="8" t="n">
        <v>2024</v>
      </c>
      <c r="B345" s="8" t="s">
        <v>140</v>
      </c>
      <c r="C345" s="8" t="s">
        <v>111</v>
      </c>
      <c r="D345" s="8" t="n">
        <v>281</v>
      </c>
      <c r="E345" s="8" t="n">
        <v>310</v>
      </c>
      <c r="F345" s="8" t="n">
        <f aca="false">D345+E345</f>
        <v>591</v>
      </c>
      <c r="G345" s="9" t="n">
        <f aca="false">D345/F345</f>
        <v>0.475465313028765</v>
      </c>
      <c r="H345" s="8"/>
      <c r="I345" s="8"/>
      <c r="J345" s="8" t="str">
        <f aca="false">IF(OR(H345="",H345=0),"",H345+I345)</f>
        <v/>
      </c>
      <c r="K345" s="9" t="str">
        <f aca="false">IF(J345="","",H345/J345)</f>
        <v/>
      </c>
      <c r="L345" s="8" t="n">
        <f aca="false">IF(OR(A345=2020,A345=2024),1,0)</f>
        <v>1</v>
      </c>
    </row>
    <row r="346" customFormat="false" ht="15" hidden="false" customHeight="true" outlineLevel="0" collapsed="false">
      <c r="A346" s="8" t="n">
        <v>2018</v>
      </c>
      <c r="B346" s="8" t="s">
        <v>141</v>
      </c>
      <c r="C346" s="8" t="s">
        <v>111</v>
      </c>
      <c r="D346" s="8" t="n">
        <v>1296</v>
      </c>
      <c r="E346" s="8" t="n">
        <v>1534</v>
      </c>
      <c r="F346" s="8" t="n">
        <f aca="false">D346+E346</f>
        <v>2830</v>
      </c>
      <c r="G346" s="9" t="n">
        <f aca="false">D346/F346</f>
        <v>0.457950530035336</v>
      </c>
      <c r="H346" s="8" t="n">
        <v>1432</v>
      </c>
      <c r="I346" s="8" t="n">
        <v>1463</v>
      </c>
      <c r="J346" s="8" t="n">
        <f aca="false">IF(OR(H346="",H346=0),"",H346+I346)</f>
        <v>2895</v>
      </c>
      <c r="K346" s="9" t="n">
        <f aca="false">IF(J346="","",H346/J346)</f>
        <v>0.494645941278066</v>
      </c>
      <c r="L346" s="8" t="n">
        <f aca="false">IF(OR(A346=2020,A346=2024),1,0)</f>
        <v>0</v>
      </c>
    </row>
    <row r="347" customFormat="false" ht="15" hidden="false" customHeight="true" outlineLevel="0" collapsed="false">
      <c r="A347" s="8" t="n">
        <v>2020</v>
      </c>
      <c r="B347" s="8" t="s">
        <v>141</v>
      </c>
      <c r="C347" s="8" t="s">
        <v>111</v>
      </c>
      <c r="D347" s="8" t="n">
        <v>1767</v>
      </c>
      <c r="E347" s="8" t="n">
        <v>2379</v>
      </c>
      <c r="F347" s="8" t="n">
        <f aca="false">D347+E347</f>
        <v>4146</v>
      </c>
      <c r="G347" s="9" t="n">
        <f aca="false">D347/F347</f>
        <v>0.426193921852388</v>
      </c>
      <c r="H347" s="8"/>
      <c r="I347" s="8"/>
      <c r="J347" s="8" t="str">
        <f aca="false">IF(OR(H347="",H347=0),"",H347+I347)</f>
        <v/>
      </c>
      <c r="K347" s="9" t="str">
        <f aca="false">IF(J347="","",H347/J347)</f>
        <v/>
      </c>
      <c r="L347" s="8" t="n">
        <f aca="false">IF(OR(A347=2020,A347=2024),1,0)</f>
        <v>1</v>
      </c>
    </row>
    <row r="348" customFormat="false" ht="15" hidden="false" customHeight="true" outlineLevel="0" collapsed="false">
      <c r="A348" s="8" t="n">
        <v>2022</v>
      </c>
      <c r="B348" s="8" t="s">
        <v>141</v>
      </c>
      <c r="C348" s="8" t="s">
        <v>111</v>
      </c>
      <c r="D348" s="8" t="n">
        <v>1456</v>
      </c>
      <c r="E348" s="8" t="n">
        <v>1860</v>
      </c>
      <c r="F348" s="8" t="n">
        <f aca="false">D348+E348</f>
        <v>3316</v>
      </c>
      <c r="G348" s="9" t="n">
        <f aca="false">D348/F348</f>
        <v>0.439083232810615</v>
      </c>
      <c r="H348" s="8" t="n">
        <v>1610</v>
      </c>
      <c r="I348" s="8" t="n">
        <v>1650</v>
      </c>
      <c r="J348" s="8" t="n">
        <f aca="false">IF(OR(H348="",H348=0),"",H348+I348)</f>
        <v>3260</v>
      </c>
      <c r="K348" s="9" t="n">
        <f aca="false">IF(J348="","",H348/J348)</f>
        <v>0.493865030674847</v>
      </c>
      <c r="L348" s="8" t="n">
        <f aca="false">IF(OR(A348=2020,A348=2024),1,0)</f>
        <v>0</v>
      </c>
    </row>
    <row r="349" customFormat="false" ht="15" hidden="false" customHeight="true" outlineLevel="0" collapsed="false">
      <c r="A349" s="8" t="n">
        <v>2024</v>
      </c>
      <c r="B349" s="8" t="s">
        <v>141</v>
      </c>
      <c r="C349" s="8" t="s">
        <v>111</v>
      </c>
      <c r="D349" s="8" t="n">
        <v>1847</v>
      </c>
      <c r="E349" s="8" t="n">
        <v>2401</v>
      </c>
      <c r="F349" s="8" t="n">
        <f aca="false">D349+E349</f>
        <v>4248</v>
      </c>
      <c r="G349" s="9" t="n">
        <f aca="false">D349/F349</f>
        <v>0.434792843691149</v>
      </c>
      <c r="H349" s="8"/>
      <c r="I349" s="8"/>
      <c r="J349" s="8" t="str">
        <f aca="false">IF(OR(H349="",H349=0),"",H349+I349)</f>
        <v/>
      </c>
      <c r="K349" s="9" t="str">
        <f aca="false">IF(J349="","",H349/J349)</f>
        <v/>
      </c>
      <c r="L349" s="8" t="n">
        <f aca="false">IF(OR(A349=2020,A349=2024),1,0)</f>
        <v>1</v>
      </c>
    </row>
    <row r="350" customFormat="false" ht="15" hidden="false" customHeight="true" outlineLevel="0" collapsed="false">
      <c r="A350" s="8" t="n">
        <v>2018</v>
      </c>
      <c r="B350" s="8" t="s">
        <v>142</v>
      </c>
      <c r="C350" s="8" t="s">
        <v>111</v>
      </c>
      <c r="D350" s="8" t="n">
        <v>1247</v>
      </c>
      <c r="E350" s="8" t="n">
        <v>810</v>
      </c>
      <c r="F350" s="8" t="n">
        <f aca="false">D350+E350</f>
        <v>2057</v>
      </c>
      <c r="G350" s="9" t="n">
        <f aca="false">D350/F350</f>
        <v>0.606222654350997</v>
      </c>
      <c r="H350" s="8" t="n">
        <v>1350</v>
      </c>
      <c r="I350" s="8" t="n">
        <v>751</v>
      </c>
      <c r="J350" s="8" t="n">
        <f aca="false">IF(OR(H350="",H350=0),"",H350+I350)</f>
        <v>2101</v>
      </c>
      <c r="K350" s="9" t="n">
        <f aca="false">IF(J350="","",H350/J350)</f>
        <v>0.642551166111376</v>
      </c>
      <c r="L350" s="8" t="n">
        <f aca="false">IF(OR(A350=2020,A350=2024),1,0)</f>
        <v>0</v>
      </c>
    </row>
    <row r="351" customFormat="false" ht="15" hidden="false" customHeight="true" outlineLevel="0" collapsed="false">
      <c r="A351" s="8" t="n">
        <v>2020</v>
      </c>
      <c r="B351" s="8" t="s">
        <v>142</v>
      </c>
      <c r="C351" s="8" t="s">
        <v>111</v>
      </c>
      <c r="D351" s="8" t="n">
        <v>1908</v>
      </c>
      <c r="E351" s="8" t="n">
        <v>1518</v>
      </c>
      <c r="F351" s="8" t="n">
        <f aca="false">D351+E351</f>
        <v>3426</v>
      </c>
      <c r="G351" s="9" t="n">
        <f aca="false">D351/F351</f>
        <v>0.5569176882662</v>
      </c>
      <c r="H351" s="8"/>
      <c r="I351" s="8"/>
      <c r="J351" s="8" t="str">
        <f aca="false">IF(OR(H351="",H351=0),"",H351+I351)</f>
        <v/>
      </c>
      <c r="K351" s="9" t="str">
        <f aca="false">IF(J351="","",H351/J351)</f>
        <v/>
      </c>
      <c r="L351" s="8" t="n">
        <f aca="false">IF(OR(A351=2020,A351=2024),1,0)</f>
        <v>1</v>
      </c>
    </row>
    <row r="352" customFormat="false" ht="15" hidden="false" customHeight="true" outlineLevel="0" collapsed="false">
      <c r="A352" s="8" t="n">
        <v>2022</v>
      </c>
      <c r="B352" s="8" t="s">
        <v>142</v>
      </c>
      <c r="C352" s="8" t="s">
        <v>111</v>
      </c>
      <c r="D352" s="8" t="n">
        <v>1340</v>
      </c>
      <c r="E352" s="8" t="n">
        <v>953</v>
      </c>
      <c r="F352" s="8" t="n">
        <f aca="false">D352+E352</f>
        <v>2293</v>
      </c>
      <c r="G352" s="9" t="n">
        <f aca="false">D352/F352</f>
        <v>0.584387265590929</v>
      </c>
      <c r="H352" s="8" t="n">
        <v>1438</v>
      </c>
      <c r="I352" s="8" t="n">
        <v>813</v>
      </c>
      <c r="J352" s="8" t="n">
        <f aca="false">IF(OR(H352="",H352=0),"",H352+I352)</f>
        <v>2251</v>
      </c>
      <c r="K352" s="9" t="n">
        <f aca="false">IF(J352="","",H352/J352)</f>
        <v>0.638827187916482</v>
      </c>
      <c r="L352" s="8" t="n">
        <f aca="false">IF(OR(A352=2020,A352=2024),1,0)</f>
        <v>0</v>
      </c>
    </row>
    <row r="353" customFormat="false" ht="15" hidden="false" customHeight="true" outlineLevel="0" collapsed="false">
      <c r="A353" s="8" t="n">
        <v>2024</v>
      </c>
      <c r="B353" s="8" t="s">
        <v>142</v>
      </c>
      <c r="C353" s="8" t="s">
        <v>111</v>
      </c>
      <c r="D353" s="8" t="n">
        <v>1897</v>
      </c>
      <c r="E353" s="8" t="n">
        <v>1538</v>
      </c>
      <c r="F353" s="8" t="n">
        <f aca="false">D353+E353</f>
        <v>3435</v>
      </c>
      <c r="G353" s="9" t="n">
        <f aca="false">D353/F353</f>
        <v>0.552256186317322</v>
      </c>
      <c r="H353" s="8"/>
      <c r="I353" s="8"/>
      <c r="J353" s="8" t="str">
        <f aca="false">IF(OR(H353="",H353=0),"",H353+I353)</f>
        <v/>
      </c>
      <c r="K353" s="9" t="str">
        <f aca="false">IF(J353="","",H353/J353)</f>
        <v/>
      </c>
      <c r="L353" s="8" t="n">
        <f aca="false">IF(OR(A353=2020,A353=2024),1,0)</f>
        <v>1</v>
      </c>
    </row>
    <row r="354" customFormat="false" ht="15" hidden="false" customHeight="true" outlineLevel="0" collapsed="false">
      <c r="A354" s="8" t="n">
        <v>2018</v>
      </c>
      <c r="B354" s="8" t="s">
        <v>143</v>
      </c>
      <c r="C354" s="8" t="s">
        <v>111</v>
      </c>
      <c r="D354" s="8" t="n">
        <v>362</v>
      </c>
      <c r="E354" s="8" t="n">
        <v>437</v>
      </c>
      <c r="F354" s="8" t="n">
        <f aca="false">D354+E354</f>
        <v>799</v>
      </c>
      <c r="G354" s="9" t="n">
        <f aca="false">D354/F354</f>
        <v>0.453066332916145</v>
      </c>
      <c r="H354" s="8" t="n">
        <v>424</v>
      </c>
      <c r="I354" s="8" t="n">
        <v>401</v>
      </c>
      <c r="J354" s="8" t="n">
        <f aca="false">IF(OR(H354="",H354=0),"",H354+I354)</f>
        <v>825</v>
      </c>
      <c r="K354" s="9" t="n">
        <f aca="false">IF(J354="","",H354/J354)</f>
        <v>0.513939393939394</v>
      </c>
      <c r="L354" s="8" t="n">
        <f aca="false">IF(OR(A354=2020,A354=2024),1,0)</f>
        <v>0</v>
      </c>
    </row>
    <row r="355" customFormat="false" ht="15" hidden="false" customHeight="true" outlineLevel="0" collapsed="false">
      <c r="A355" s="8" t="n">
        <v>2020</v>
      </c>
      <c r="B355" s="8" t="s">
        <v>143</v>
      </c>
      <c r="C355" s="8" t="s">
        <v>111</v>
      </c>
      <c r="D355" s="8" t="n">
        <v>508</v>
      </c>
      <c r="E355" s="8" t="n">
        <v>791</v>
      </c>
      <c r="F355" s="8" t="n">
        <f aca="false">D355+E355</f>
        <v>1299</v>
      </c>
      <c r="G355" s="9" t="n">
        <f aca="false">D355/F355</f>
        <v>0.391070053887606</v>
      </c>
      <c r="H355" s="8"/>
      <c r="I355" s="8"/>
      <c r="J355" s="8" t="str">
        <f aca="false">IF(OR(H355="",H355=0),"",H355+I355)</f>
        <v/>
      </c>
      <c r="K355" s="9" t="str">
        <f aca="false">IF(J355="","",H355/J355)</f>
        <v/>
      </c>
      <c r="L355" s="8" t="n">
        <f aca="false">IF(OR(A355=2020,A355=2024),1,0)</f>
        <v>1</v>
      </c>
    </row>
    <row r="356" customFormat="false" ht="15" hidden="false" customHeight="true" outlineLevel="0" collapsed="false">
      <c r="A356" s="8" t="n">
        <v>2022</v>
      </c>
      <c r="B356" s="8" t="s">
        <v>143</v>
      </c>
      <c r="C356" s="8" t="s">
        <v>111</v>
      </c>
      <c r="D356" s="8" t="n">
        <v>494</v>
      </c>
      <c r="E356" s="8" t="n">
        <v>601</v>
      </c>
      <c r="F356" s="8" t="n">
        <f aca="false">D356+E356</f>
        <v>1095</v>
      </c>
      <c r="G356" s="9" t="n">
        <f aca="false">D356/F356</f>
        <v>0.451141552511416</v>
      </c>
      <c r="H356" s="8" t="n">
        <v>557</v>
      </c>
      <c r="I356" s="8" t="n">
        <v>527</v>
      </c>
      <c r="J356" s="8" t="n">
        <f aca="false">IF(OR(H356="",H356=0),"",H356+I356)</f>
        <v>1084</v>
      </c>
      <c r="K356" s="9" t="n">
        <f aca="false">IF(J356="","",H356/J356)</f>
        <v>0.513837638376384</v>
      </c>
      <c r="L356" s="8" t="n">
        <f aca="false">IF(OR(A356=2020,A356=2024),1,0)</f>
        <v>0</v>
      </c>
    </row>
    <row r="357" customFormat="false" ht="15" hidden="false" customHeight="true" outlineLevel="0" collapsed="false">
      <c r="A357" s="8" t="n">
        <v>2024</v>
      </c>
      <c r="B357" s="8" t="s">
        <v>143</v>
      </c>
      <c r="C357" s="8" t="s">
        <v>111</v>
      </c>
      <c r="D357" s="8" t="n">
        <v>634</v>
      </c>
      <c r="E357" s="8" t="n">
        <v>856</v>
      </c>
      <c r="F357" s="8" t="n">
        <f aca="false">D357+E357</f>
        <v>1490</v>
      </c>
      <c r="G357" s="9" t="n">
        <f aca="false">D357/F357</f>
        <v>0.425503355704698</v>
      </c>
      <c r="H357" s="8"/>
      <c r="I357" s="8"/>
      <c r="J357" s="8" t="str">
        <f aca="false">IF(OR(H357="",H357=0),"",H357+I357)</f>
        <v/>
      </c>
      <c r="K357" s="9" t="str">
        <f aca="false">IF(J357="","",H357/J357)</f>
        <v/>
      </c>
      <c r="L357" s="8" t="n">
        <f aca="false">IF(OR(A357=2020,A357=2024),1,0)</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22"/>
    <col collapsed="false" customWidth="true" hidden="false" outlineLevel="0" max="3" min="3" style="1" width="14"/>
    <col collapsed="false" customWidth="true" hidden="false" outlineLevel="0" max="4" min="4" style="1" width="16"/>
    <col collapsed="false" customWidth="true" hidden="false" outlineLevel="0" max="5" min="5" style="1" width="24"/>
    <col collapsed="false" customWidth="true" hidden="false" outlineLevel="0" max="6" min="6" style="1" width="14"/>
  </cols>
  <sheetData>
    <row r="1" customFormat="false" ht="15" hidden="false" customHeight="true" outlineLevel="0" collapsed="false">
      <c r="A1" s="7" t="s">
        <v>44</v>
      </c>
      <c r="B1" s="7" t="s">
        <v>45</v>
      </c>
      <c r="C1" s="7" t="s">
        <v>46</v>
      </c>
      <c r="D1" s="7" t="s">
        <v>144</v>
      </c>
      <c r="E1" s="7" t="s">
        <v>145</v>
      </c>
      <c r="F1" s="7" t="s">
        <v>146</v>
      </c>
    </row>
    <row r="2" customFormat="false" ht="15" hidden="false" customHeight="true" outlineLevel="0" collapsed="false">
      <c r="A2" s="8" t="n">
        <v>2018</v>
      </c>
      <c r="B2" s="8" t="s">
        <v>56</v>
      </c>
      <c r="C2" s="8" t="s">
        <v>57</v>
      </c>
      <c r="D2" s="9" t="n">
        <v>0.2701</v>
      </c>
      <c r="E2" s="8" t="n">
        <v>0.07</v>
      </c>
      <c r="F2" s="8" t="n">
        <v>733</v>
      </c>
    </row>
    <row r="3" customFormat="false" ht="15" hidden="false" customHeight="true" outlineLevel="0" collapsed="false">
      <c r="A3" s="8" t="n">
        <v>2020</v>
      </c>
      <c r="B3" s="8" t="s">
        <v>56</v>
      </c>
      <c r="C3" s="8" t="s">
        <v>57</v>
      </c>
      <c r="D3" s="9" t="n">
        <v>0.1914</v>
      </c>
      <c r="E3" s="8" t="n">
        <v>0.08</v>
      </c>
      <c r="F3" s="8" t="n">
        <v>747</v>
      </c>
    </row>
    <row r="4" customFormat="false" ht="15" hidden="false" customHeight="true" outlineLevel="0" collapsed="false">
      <c r="A4" s="8" t="n">
        <v>2022</v>
      </c>
      <c r="B4" s="8" t="s">
        <v>56</v>
      </c>
      <c r="C4" s="8" t="s">
        <v>57</v>
      </c>
      <c r="D4" s="9" t="n">
        <v>0.1235</v>
      </c>
      <c r="E4" s="8" t="n">
        <v>0.08</v>
      </c>
      <c r="F4" s="8" t="n">
        <v>664</v>
      </c>
    </row>
    <row r="5" customFormat="false" ht="15" hidden="false" customHeight="true" outlineLevel="0" collapsed="false">
      <c r="A5" s="8" t="n">
        <v>2024</v>
      </c>
      <c r="B5" s="8" t="s">
        <v>56</v>
      </c>
      <c r="C5" s="8" t="s">
        <v>57</v>
      </c>
      <c r="D5" s="9" t="n">
        <v>0.0554</v>
      </c>
      <c r="E5" s="8" t="n">
        <v>0.08</v>
      </c>
      <c r="F5" s="8" t="n">
        <v>650</v>
      </c>
    </row>
    <row r="6" customFormat="false" ht="15" hidden="false" customHeight="true" outlineLevel="0" collapsed="false">
      <c r="A6" s="8" t="n">
        <v>2018</v>
      </c>
      <c r="B6" s="8" t="s">
        <v>58</v>
      </c>
      <c r="C6" s="8" t="s">
        <v>57</v>
      </c>
      <c r="D6" s="9" t="n">
        <v>0.0963</v>
      </c>
      <c r="E6" s="8" t="n">
        <v>0.11</v>
      </c>
      <c r="F6" s="8" t="n">
        <v>602</v>
      </c>
    </row>
    <row r="7" customFormat="false" ht="15" hidden="false" customHeight="true" outlineLevel="0" collapsed="false">
      <c r="A7" s="8" t="n">
        <v>2020</v>
      </c>
      <c r="B7" s="8" t="s">
        <v>58</v>
      </c>
      <c r="C7" s="8" t="s">
        <v>57</v>
      </c>
      <c r="D7" s="9" t="n">
        <v>-0.0357</v>
      </c>
      <c r="E7" s="8" t="n">
        <v>0.12</v>
      </c>
      <c r="F7" s="8" t="n">
        <v>616</v>
      </c>
    </row>
    <row r="8" customFormat="false" ht="15" hidden="false" customHeight="true" outlineLevel="0" collapsed="false">
      <c r="A8" s="8" t="n">
        <v>2022</v>
      </c>
      <c r="B8" s="8" t="s">
        <v>58</v>
      </c>
      <c r="C8" s="8" t="s">
        <v>57</v>
      </c>
      <c r="D8" s="9" t="n">
        <v>-0.1336</v>
      </c>
      <c r="E8" s="8" t="n">
        <v>0.14</v>
      </c>
      <c r="F8" s="8" t="n">
        <v>584</v>
      </c>
    </row>
    <row r="9" customFormat="false" ht="15" hidden="false" customHeight="true" outlineLevel="0" collapsed="false">
      <c r="A9" s="8" t="n">
        <v>2024</v>
      </c>
      <c r="B9" s="8" t="s">
        <v>58</v>
      </c>
      <c r="C9" s="8" t="s">
        <v>57</v>
      </c>
      <c r="D9" s="9" t="n">
        <v>-0.2282</v>
      </c>
      <c r="E9" s="8" t="n">
        <v>0.11</v>
      </c>
      <c r="F9" s="8" t="n">
        <v>618</v>
      </c>
    </row>
    <row r="10" customFormat="false" ht="15" hidden="false" customHeight="true" outlineLevel="0" collapsed="false">
      <c r="A10" s="8" t="n">
        <v>2018</v>
      </c>
      <c r="B10" s="8" t="s">
        <v>59</v>
      </c>
      <c r="C10" s="8" t="s">
        <v>57</v>
      </c>
      <c r="D10" s="9" t="n">
        <v>-0.0055</v>
      </c>
      <c r="E10" s="8" t="n">
        <v>0.11</v>
      </c>
      <c r="F10" s="8" t="n">
        <v>542</v>
      </c>
    </row>
    <row r="11" customFormat="false" ht="15" hidden="false" customHeight="true" outlineLevel="0" collapsed="false">
      <c r="A11" s="8" t="n">
        <v>2020</v>
      </c>
      <c r="B11" s="8" t="s">
        <v>59</v>
      </c>
      <c r="C11" s="8" t="s">
        <v>57</v>
      </c>
      <c r="D11" s="9" t="n">
        <v>-0.1522</v>
      </c>
      <c r="E11" s="8" t="n">
        <v>0.25</v>
      </c>
      <c r="F11" s="8" t="n">
        <v>598</v>
      </c>
    </row>
    <row r="12" customFormat="false" ht="15" hidden="false" customHeight="true" outlineLevel="0" collapsed="false">
      <c r="A12" s="8" t="n">
        <v>2022</v>
      </c>
      <c r="B12" s="8" t="s">
        <v>59</v>
      </c>
      <c r="C12" s="8" t="s">
        <v>57</v>
      </c>
      <c r="D12" s="9" t="n">
        <v>-0.1956</v>
      </c>
      <c r="E12" s="8" t="n">
        <v>0.25</v>
      </c>
      <c r="F12" s="8" t="n">
        <v>547</v>
      </c>
    </row>
    <row r="13" customFormat="false" ht="15" hidden="false" customHeight="true" outlineLevel="0" collapsed="false">
      <c r="A13" s="8" t="n">
        <v>2024</v>
      </c>
      <c r="B13" s="8" t="s">
        <v>59</v>
      </c>
      <c r="C13" s="8" t="s">
        <v>57</v>
      </c>
      <c r="D13" s="9" t="n">
        <v>-0.1989</v>
      </c>
      <c r="E13" s="8" t="n">
        <v>0.25</v>
      </c>
      <c r="F13" s="8" t="n">
        <v>563</v>
      </c>
    </row>
    <row r="14" customFormat="false" ht="15" hidden="false" customHeight="true" outlineLevel="0" collapsed="false">
      <c r="A14" s="8" t="n">
        <v>2018</v>
      </c>
      <c r="B14" s="8" t="s">
        <v>60</v>
      </c>
      <c r="C14" s="8" t="s">
        <v>57</v>
      </c>
      <c r="D14" s="9" t="n">
        <v>-0.1352</v>
      </c>
      <c r="E14" s="8" t="n">
        <v>0.19</v>
      </c>
      <c r="F14" s="8" t="n">
        <v>1953</v>
      </c>
    </row>
    <row r="15" customFormat="false" ht="15" hidden="false" customHeight="true" outlineLevel="0" collapsed="false">
      <c r="A15" s="8" t="n">
        <v>2020</v>
      </c>
      <c r="B15" s="8" t="s">
        <v>60</v>
      </c>
      <c r="C15" s="8" t="s">
        <v>57</v>
      </c>
      <c r="D15" s="9" t="n">
        <v>-0.2149</v>
      </c>
      <c r="E15" s="8" t="n">
        <v>0.2</v>
      </c>
      <c r="F15" s="8" t="n">
        <v>2099</v>
      </c>
    </row>
    <row r="16" customFormat="false" ht="15" hidden="false" customHeight="true" outlineLevel="0" collapsed="false">
      <c r="A16" s="8" t="n">
        <v>2022</v>
      </c>
      <c r="B16" s="8" t="s">
        <v>60</v>
      </c>
      <c r="C16" s="8" t="s">
        <v>57</v>
      </c>
      <c r="D16" s="9" t="n">
        <v>-0.2755</v>
      </c>
      <c r="E16" s="8" t="n">
        <v>0.2</v>
      </c>
      <c r="F16" s="8" t="n">
        <v>1989</v>
      </c>
    </row>
    <row r="17" customFormat="false" ht="15" hidden="false" customHeight="true" outlineLevel="0" collapsed="false">
      <c r="A17" s="8" t="n">
        <v>2024</v>
      </c>
      <c r="B17" s="8" t="s">
        <v>60</v>
      </c>
      <c r="C17" s="8" t="s">
        <v>57</v>
      </c>
      <c r="D17" s="9" t="n">
        <v>-0.3395</v>
      </c>
      <c r="E17" s="8" t="n">
        <v>0.18</v>
      </c>
      <c r="F17" s="8" t="n">
        <v>2106</v>
      </c>
    </row>
    <row r="18" customFormat="false" ht="15" hidden="false" customHeight="true" outlineLevel="0" collapsed="false">
      <c r="A18" s="8" t="n">
        <v>2018</v>
      </c>
      <c r="B18" s="8" t="s">
        <v>61</v>
      </c>
      <c r="C18" s="8" t="s">
        <v>57</v>
      </c>
      <c r="D18" s="9" t="n">
        <v>-0.018</v>
      </c>
      <c r="E18" s="8" t="n">
        <v>0.09</v>
      </c>
      <c r="F18" s="8" t="n">
        <v>167</v>
      </c>
    </row>
    <row r="19" customFormat="false" ht="15" hidden="false" customHeight="true" outlineLevel="0" collapsed="false">
      <c r="A19" s="8" t="n">
        <v>2020</v>
      </c>
      <c r="B19" s="8" t="s">
        <v>61</v>
      </c>
      <c r="C19" s="8" t="s">
        <v>57</v>
      </c>
      <c r="D19" s="9" t="n">
        <v>0.0054</v>
      </c>
      <c r="E19" s="8" t="n">
        <v>0.15</v>
      </c>
      <c r="F19" s="8" t="n">
        <v>184</v>
      </c>
    </row>
    <row r="20" customFormat="false" ht="15" hidden="false" customHeight="true" outlineLevel="0" collapsed="false">
      <c r="A20" s="8" t="n">
        <v>2022</v>
      </c>
      <c r="B20" s="8" t="s">
        <v>61</v>
      </c>
      <c r="C20" s="8" t="s">
        <v>57</v>
      </c>
      <c r="D20" s="9" t="n">
        <v>-0.061</v>
      </c>
      <c r="E20" s="8" t="n">
        <v>0.16</v>
      </c>
      <c r="F20" s="8" t="n">
        <v>164</v>
      </c>
    </row>
    <row r="21" customFormat="false" ht="15" hidden="false" customHeight="true" outlineLevel="0" collapsed="false">
      <c r="A21" s="8" t="n">
        <v>2024</v>
      </c>
      <c r="B21" s="8" t="s">
        <v>61</v>
      </c>
      <c r="C21" s="8" t="s">
        <v>57</v>
      </c>
      <c r="D21" s="9" t="n">
        <v>-0.1118</v>
      </c>
      <c r="E21" s="8" t="n">
        <v>0.11</v>
      </c>
      <c r="F21" s="8" t="n">
        <v>170</v>
      </c>
    </row>
    <row r="22" customFormat="false" ht="15" hidden="false" customHeight="true" outlineLevel="0" collapsed="false">
      <c r="A22" s="8" t="n">
        <v>2018</v>
      </c>
      <c r="B22" s="8" t="s">
        <v>62</v>
      </c>
      <c r="C22" s="8" t="s">
        <v>57</v>
      </c>
      <c r="D22" s="9" t="n">
        <v>-0.1797</v>
      </c>
      <c r="E22" s="8" t="n">
        <v>0.17</v>
      </c>
      <c r="F22" s="8" t="n">
        <v>2972</v>
      </c>
    </row>
    <row r="23" customFormat="false" ht="15" hidden="false" customHeight="true" outlineLevel="0" collapsed="false">
      <c r="A23" s="8" t="n">
        <v>2020</v>
      </c>
      <c r="B23" s="8" t="s">
        <v>62</v>
      </c>
      <c r="C23" s="8" t="s">
        <v>57</v>
      </c>
      <c r="D23" s="9" t="n">
        <v>-0.2522</v>
      </c>
      <c r="E23" s="8" t="n">
        <v>0.19</v>
      </c>
      <c r="F23" s="8" t="n">
        <v>3247</v>
      </c>
    </row>
    <row r="24" customFormat="false" ht="15" hidden="false" customHeight="true" outlineLevel="0" collapsed="false">
      <c r="A24" s="8" t="n">
        <v>2022</v>
      </c>
      <c r="B24" s="8" t="s">
        <v>62</v>
      </c>
      <c r="C24" s="8" t="s">
        <v>57</v>
      </c>
      <c r="D24" s="9" t="n">
        <v>-0.2859</v>
      </c>
      <c r="E24" s="8" t="n">
        <v>0.21</v>
      </c>
      <c r="F24" s="8" t="n">
        <v>3099</v>
      </c>
    </row>
    <row r="25" customFormat="false" ht="15" hidden="false" customHeight="true" outlineLevel="0" collapsed="false">
      <c r="A25" s="8" t="n">
        <v>2024</v>
      </c>
      <c r="B25" s="8" t="s">
        <v>62</v>
      </c>
      <c r="C25" s="8" t="s">
        <v>57</v>
      </c>
      <c r="D25" s="9" t="n">
        <v>-0.3247</v>
      </c>
      <c r="E25" s="8" t="n">
        <v>0.23</v>
      </c>
      <c r="F25" s="8" t="n">
        <v>3212</v>
      </c>
    </row>
    <row r="26" customFormat="false" ht="15" hidden="false" customHeight="true" outlineLevel="0" collapsed="false">
      <c r="A26" s="8" t="n">
        <v>2018</v>
      </c>
      <c r="B26" s="8" t="s">
        <v>63</v>
      </c>
      <c r="C26" s="8" t="s">
        <v>57</v>
      </c>
      <c r="D26" s="9" t="n">
        <v>0.175</v>
      </c>
      <c r="E26" s="8" t="n">
        <v>0.16</v>
      </c>
      <c r="F26" s="8" t="n">
        <v>3342</v>
      </c>
    </row>
    <row r="27" customFormat="false" ht="15" hidden="false" customHeight="true" outlineLevel="0" collapsed="false">
      <c r="A27" s="8" t="n">
        <v>2020</v>
      </c>
      <c r="B27" s="8" t="s">
        <v>63</v>
      </c>
      <c r="C27" s="8" t="s">
        <v>57</v>
      </c>
      <c r="D27" s="9" t="n">
        <v>0.0932</v>
      </c>
      <c r="E27" s="8" t="n">
        <v>0.19</v>
      </c>
      <c r="F27" s="8" t="n">
        <v>3572</v>
      </c>
    </row>
    <row r="28" customFormat="false" ht="15" hidden="false" customHeight="true" outlineLevel="0" collapsed="false">
      <c r="A28" s="8" t="n">
        <v>2022</v>
      </c>
      <c r="B28" s="8" t="s">
        <v>63</v>
      </c>
      <c r="C28" s="8" t="s">
        <v>57</v>
      </c>
      <c r="D28" s="9" t="n">
        <v>0.0439</v>
      </c>
      <c r="E28" s="8" t="n">
        <v>0.22</v>
      </c>
      <c r="F28" s="8" t="n">
        <v>3324</v>
      </c>
    </row>
    <row r="29" customFormat="false" ht="15" hidden="false" customHeight="true" outlineLevel="0" collapsed="false">
      <c r="A29" s="8" t="n">
        <v>2024</v>
      </c>
      <c r="B29" s="8" t="s">
        <v>63</v>
      </c>
      <c r="C29" s="8" t="s">
        <v>57</v>
      </c>
      <c r="D29" s="9" t="n">
        <v>-0.0199</v>
      </c>
      <c r="E29" s="8" t="n">
        <v>0.27</v>
      </c>
      <c r="F29" s="8" t="n">
        <v>3361</v>
      </c>
    </row>
    <row r="30" customFormat="false" ht="15" hidden="false" customHeight="true" outlineLevel="0" collapsed="false">
      <c r="A30" s="8" t="n">
        <v>2018</v>
      </c>
      <c r="B30" s="8" t="s">
        <v>64</v>
      </c>
      <c r="C30" s="8" t="s">
        <v>57</v>
      </c>
      <c r="D30" s="9" t="n">
        <v>-0.1623</v>
      </c>
      <c r="E30" s="8" t="n">
        <v>0.24</v>
      </c>
      <c r="F30" s="8" t="n">
        <v>1423</v>
      </c>
    </row>
    <row r="31" customFormat="false" ht="15" hidden="false" customHeight="true" outlineLevel="0" collapsed="false">
      <c r="A31" s="8" t="n">
        <v>2020</v>
      </c>
      <c r="B31" s="8" t="s">
        <v>64</v>
      </c>
      <c r="C31" s="8" t="s">
        <v>57</v>
      </c>
      <c r="D31" s="9" t="n">
        <v>-0.1873</v>
      </c>
      <c r="E31" s="8" t="n">
        <v>0.21</v>
      </c>
      <c r="F31" s="8" t="n">
        <v>1612</v>
      </c>
    </row>
    <row r="32" customFormat="false" ht="15" hidden="false" customHeight="true" outlineLevel="0" collapsed="false">
      <c r="A32" s="8" t="n">
        <v>2022</v>
      </c>
      <c r="B32" s="8" t="s">
        <v>64</v>
      </c>
      <c r="C32" s="8" t="s">
        <v>57</v>
      </c>
      <c r="D32" s="9" t="n">
        <v>-0.2278</v>
      </c>
      <c r="E32" s="8" t="n">
        <v>0.3</v>
      </c>
      <c r="F32" s="8" t="n">
        <v>1510</v>
      </c>
    </row>
    <row r="33" customFormat="false" ht="15" hidden="false" customHeight="true" outlineLevel="0" collapsed="false">
      <c r="A33" s="8" t="n">
        <v>2024</v>
      </c>
      <c r="B33" s="8" t="s">
        <v>64</v>
      </c>
      <c r="C33" s="8" t="s">
        <v>57</v>
      </c>
      <c r="D33" s="9" t="n">
        <v>-0.263</v>
      </c>
      <c r="E33" s="8" t="n">
        <v>0.31</v>
      </c>
      <c r="F33" s="8" t="n">
        <v>1517</v>
      </c>
    </row>
    <row r="34" customFormat="false" ht="15" hidden="false" customHeight="true" outlineLevel="0" collapsed="false">
      <c r="A34" s="8" t="n">
        <v>2018</v>
      </c>
      <c r="B34" s="8" t="s">
        <v>65</v>
      </c>
      <c r="C34" s="8" t="s">
        <v>57</v>
      </c>
      <c r="D34" s="9" t="n">
        <v>0.1486</v>
      </c>
      <c r="E34" s="8" t="n">
        <v>0.11</v>
      </c>
      <c r="F34" s="8" t="n">
        <v>2254</v>
      </c>
    </row>
    <row r="35" customFormat="false" ht="15" hidden="false" customHeight="true" outlineLevel="0" collapsed="false">
      <c r="A35" s="8" t="n">
        <v>2020</v>
      </c>
      <c r="B35" s="8" t="s">
        <v>65</v>
      </c>
      <c r="C35" s="8" t="s">
        <v>57</v>
      </c>
      <c r="D35" s="9" t="n">
        <v>0.1003</v>
      </c>
      <c r="E35" s="8" t="n">
        <v>0.13</v>
      </c>
      <c r="F35" s="8" t="n">
        <v>2443</v>
      </c>
    </row>
    <row r="36" customFormat="false" ht="15" hidden="false" customHeight="true" outlineLevel="0" collapsed="false">
      <c r="A36" s="8" t="n">
        <v>2022</v>
      </c>
      <c r="B36" s="8" t="s">
        <v>65</v>
      </c>
      <c r="C36" s="8" t="s">
        <v>57</v>
      </c>
      <c r="D36" s="9" t="n">
        <v>0.0507</v>
      </c>
      <c r="E36" s="8" t="n">
        <v>0.1</v>
      </c>
      <c r="F36" s="8" t="n">
        <v>2228</v>
      </c>
    </row>
    <row r="37" customFormat="false" ht="15" hidden="false" customHeight="true" outlineLevel="0" collapsed="false">
      <c r="A37" s="8" t="n">
        <v>2024</v>
      </c>
      <c r="B37" s="8" t="s">
        <v>65</v>
      </c>
      <c r="C37" s="8" t="s">
        <v>57</v>
      </c>
      <c r="D37" s="9" t="n">
        <v>-0.0157</v>
      </c>
      <c r="E37" s="8" t="n">
        <v>0.13</v>
      </c>
      <c r="F37" s="8" t="n">
        <v>2357</v>
      </c>
    </row>
    <row r="38" customFormat="false" ht="15" hidden="false" customHeight="true" outlineLevel="0" collapsed="false">
      <c r="A38" s="8" t="n">
        <v>2018</v>
      </c>
      <c r="B38" s="8" t="s">
        <v>66</v>
      </c>
      <c r="C38" s="8" t="s">
        <v>57</v>
      </c>
      <c r="D38" s="9" t="n">
        <v>-0.0118</v>
      </c>
      <c r="E38" s="8" t="n">
        <v>0.06</v>
      </c>
      <c r="F38" s="8" t="n">
        <v>169</v>
      </c>
    </row>
    <row r="39" customFormat="false" ht="15" hidden="false" customHeight="true" outlineLevel="0" collapsed="false">
      <c r="A39" s="8" t="n">
        <v>2020</v>
      </c>
      <c r="B39" s="8" t="s">
        <v>66</v>
      </c>
      <c r="C39" s="8" t="s">
        <v>57</v>
      </c>
      <c r="D39" s="9" t="n">
        <v>-0.1304</v>
      </c>
      <c r="E39" s="8" t="n">
        <v>0.05</v>
      </c>
      <c r="F39" s="8" t="n">
        <v>184</v>
      </c>
    </row>
    <row r="40" customFormat="false" ht="15" hidden="false" customHeight="true" outlineLevel="0" collapsed="false">
      <c r="A40" s="8" t="n">
        <v>2022</v>
      </c>
      <c r="B40" s="8" t="s">
        <v>66</v>
      </c>
      <c r="C40" s="8" t="s">
        <v>57</v>
      </c>
      <c r="D40" s="9" t="n">
        <v>-0.2114</v>
      </c>
      <c r="E40" s="8" t="n">
        <v>0.07</v>
      </c>
      <c r="F40" s="8" t="n">
        <v>175</v>
      </c>
    </row>
    <row r="41" customFormat="false" ht="15" hidden="false" customHeight="true" outlineLevel="0" collapsed="false">
      <c r="A41" s="8" t="n">
        <v>2024</v>
      </c>
      <c r="B41" s="8" t="s">
        <v>66</v>
      </c>
      <c r="C41" s="8" t="s">
        <v>57</v>
      </c>
      <c r="D41" s="9" t="n">
        <v>-0.3204</v>
      </c>
      <c r="E41" s="8" t="n">
        <v>0.1</v>
      </c>
      <c r="F41" s="8" t="n">
        <v>181</v>
      </c>
    </row>
    <row r="42" customFormat="false" ht="15" hidden="false" customHeight="true" outlineLevel="0" collapsed="false">
      <c r="A42" s="8" t="n">
        <v>2018</v>
      </c>
      <c r="B42" s="8" t="s">
        <v>67</v>
      </c>
      <c r="C42" s="8" t="s">
        <v>57</v>
      </c>
      <c r="D42" s="9" t="n">
        <v>-0.4242</v>
      </c>
      <c r="E42" s="8" t="n">
        <v>0.24</v>
      </c>
      <c r="F42" s="8" t="n">
        <v>356</v>
      </c>
    </row>
    <row r="43" customFormat="false" ht="15" hidden="false" customHeight="true" outlineLevel="0" collapsed="false">
      <c r="A43" s="8" t="n">
        <v>2020</v>
      </c>
      <c r="B43" s="8" t="s">
        <v>67</v>
      </c>
      <c r="C43" s="8" t="s">
        <v>57</v>
      </c>
      <c r="D43" s="9" t="n">
        <v>-0.4808</v>
      </c>
      <c r="E43" s="8" t="n">
        <v>0.2</v>
      </c>
      <c r="F43" s="8" t="n">
        <v>364</v>
      </c>
    </row>
    <row r="44" customFormat="false" ht="15" hidden="false" customHeight="true" outlineLevel="0" collapsed="false">
      <c r="A44" s="8" t="n">
        <v>2022</v>
      </c>
      <c r="B44" s="8" t="s">
        <v>67</v>
      </c>
      <c r="C44" s="8" t="s">
        <v>57</v>
      </c>
      <c r="D44" s="9" t="n">
        <v>-0.5115</v>
      </c>
      <c r="E44" s="8" t="n">
        <v>0.25</v>
      </c>
      <c r="F44" s="8" t="n">
        <v>348</v>
      </c>
    </row>
    <row r="45" customFormat="false" ht="15" hidden="false" customHeight="true" outlineLevel="0" collapsed="false">
      <c r="A45" s="8" t="n">
        <v>2024</v>
      </c>
      <c r="B45" s="8" t="s">
        <v>67</v>
      </c>
      <c r="C45" s="8" t="s">
        <v>57</v>
      </c>
      <c r="D45" s="9" t="n">
        <v>-0.5584</v>
      </c>
      <c r="E45" s="8" t="n">
        <v>0.14</v>
      </c>
      <c r="F45" s="8" t="n">
        <v>351</v>
      </c>
    </row>
    <row r="46" customFormat="false" ht="15" hidden="false" customHeight="true" outlineLevel="0" collapsed="false">
      <c r="A46" s="8" t="n">
        <v>2018</v>
      </c>
      <c r="B46" s="8" t="s">
        <v>68</v>
      </c>
      <c r="C46" s="8" t="s">
        <v>57</v>
      </c>
      <c r="D46" s="9" t="n">
        <v>0.0435</v>
      </c>
      <c r="E46" s="8" t="n">
        <v>0.18</v>
      </c>
      <c r="F46" s="8" t="n">
        <v>3080</v>
      </c>
    </row>
    <row r="47" customFormat="false" ht="15" hidden="false" customHeight="true" outlineLevel="0" collapsed="false">
      <c r="A47" s="8" t="n">
        <v>2020</v>
      </c>
      <c r="B47" s="8" t="s">
        <v>68</v>
      </c>
      <c r="C47" s="8" t="s">
        <v>57</v>
      </c>
      <c r="D47" s="9" t="n">
        <v>-0.009</v>
      </c>
      <c r="E47" s="8" t="n">
        <v>0.19</v>
      </c>
      <c r="F47" s="8" t="n">
        <v>3347</v>
      </c>
    </row>
    <row r="48" customFormat="false" ht="15" hidden="false" customHeight="true" outlineLevel="0" collapsed="false">
      <c r="A48" s="8" t="n">
        <v>2022</v>
      </c>
      <c r="B48" s="8" t="s">
        <v>68</v>
      </c>
      <c r="C48" s="8" t="s">
        <v>57</v>
      </c>
      <c r="D48" s="9" t="n">
        <v>-0.0716</v>
      </c>
      <c r="E48" s="8" t="n">
        <v>0.17</v>
      </c>
      <c r="F48" s="8" t="n">
        <v>3171</v>
      </c>
    </row>
    <row r="49" customFormat="false" ht="15" hidden="false" customHeight="true" outlineLevel="0" collapsed="false">
      <c r="A49" s="8" t="n">
        <v>2024</v>
      </c>
      <c r="B49" s="8" t="s">
        <v>68</v>
      </c>
      <c r="C49" s="8" t="s">
        <v>57</v>
      </c>
      <c r="D49" s="9" t="n">
        <v>-0.1227</v>
      </c>
      <c r="E49" s="8" t="n">
        <v>0.15</v>
      </c>
      <c r="F49" s="8" t="n">
        <v>3366</v>
      </c>
    </row>
    <row r="50" customFormat="false" ht="15" hidden="false" customHeight="true" outlineLevel="0" collapsed="false">
      <c r="A50" s="8" t="n">
        <v>2018</v>
      </c>
      <c r="B50" s="8" t="s">
        <v>69</v>
      </c>
      <c r="C50" s="8" t="s">
        <v>57</v>
      </c>
      <c r="D50" s="9" t="n">
        <v>-0.0346</v>
      </c>
      <c r="E50" s="8" t="n">
        <v>0.16</v>
      </c>
      <c r="F50" s="8" t="n">
        <v>2023</v>
      </c>
    </row>
    <row r="51" customFormat="false" ht="15" hidden="false" customHeight="true" outlineLevel="0" collapsed="false">
      <c r="A51" s="8" t="n">
        <v>2020</v>
      </c>
      <c r="B51" s="8" t="s">
        <v>69</v>
      </c>
      <c r="C51" s="8" t="s">
        <v>57</v>
      </c>
      <c r="D51" s="9" t="n">
        <v>-0.1313</v>
      </c>
      <c r="E51" s="8" t="n">
        <v>0.15</v>
      </c>
      <c r="F51" s="8" t="n">
        <v>2232</v>
      </c>
    </row>
    <row r="52" customFormat="false" ht="15" hidden="false" customHeight="true" outlineLevel="0" collapsed="false">
      <c r="A52" s="8" t="n">
        <v>2022</v>
      </c>
      <c r="B52" s="8" t="s">
        <v>69</v>
      </c>
      <c r="C52" s="8" t="s">
        <v>57</v>
      </c>
      <c r="D52" s="9" t="n">
        <v>-0.2187</v>
      </c>
      <c r="E52" s="8" t="n">
        <v>0.14</v>
      </c>
      <c r="F52" s="8" t="n">
        <v>2149</v>
      </c>
    </row>
    <row r="53" customFormat="false" ht="15" hidden="false" customHeight="true" outlineLevel="0" collapsed="false">
      <c r="A53" s="8" t="n">
        <v>2024</v>
      </c>
      <c r="B53" s="8" t="s">
        <v>69</v>
      </c>
      <c r="C53" s="8" t="s">
        <v>57</v>
      </c>
      <c r="D53" s="9" t="n">
        <v>-0.3009</v>
      </c>
      <c r="E53" s="8" t="n">
        <v>0.14</v>
      </c>
      <c r="F53" s="8" t="n">
        <v>2270</v>
      </c>
    </row>
    <row r="54" customFormat="false" ht="15" hidden="false" customHeight="true" outlineLevel="0" collapsed="false">
      <c r="A54" s="8" t="n">
        <v>2018</v>
      </c>
      <c r="B54" s="8" t="s">
        <v>70</v>
      </c>
      <c r="C54" s="8" t="s">
        <v>57</v>
      </c>
      <c r="D54" s="9" t="n">
        <v>-0.1594</v>
      </c>
      <c r="E54" s="8" t="n">
        <v>0.15</v>
      </c>
      <c r="F54" s="8" t="n">
        <v>2711</v>
      </c>
    </row>
    <row r="55" customFormat="false" ht="15" hidden="false" customHeight="true" outlineLevel="0" collapsed="false">
      <c r="A55" s="8" t="n">
        <v>2020</v>
      </c>
      <c r="B55" s="8" t="s">
        <v>70</v>
      </c>
      <c r="C55" s="8" t="s">
        <v>57</v>
      </c>
      <c r="D55" s="9" t="n">
        <v>-0.2301</v>
      </c>
      <c r="E55" s="8" t="n">
        <v>0.16</v>
      </c>
      <c r="F55" s="8" t="n">
        <v>2951</v>
      </c>
    </row>
    <row r="56" customFormat="false" ht="15" hidden="false" customHeight="true" outlineLevel="0" collapsed="false">
      <c r="A56" s="8" t="n">
        <v>2022</v>
      </c>
      <c r="B56" s="8" t="s">
        <v>70</v>
      </c>
      <c r="C56" s="8" t="s">
        <v>57</v>
      </c>
      <c r="D56" s="9" t="n">
        <v>-0.2792</v>
      </c>
      <c r="E56" s="8" t="n">
        <v>0.23</v>
      </c>
      <c r="F56" s="8" t="n">
        <v>2876</v>
      </c>
    </row>
    <row r="57" customFormat="false" ht="15" hidden="false" customHeight="true" outlineLevel="0" collapsed="false">
      <c r="A57" s="8" t="n">
        <v>2024</v>
      </c>
      <c r="B57" s="8" t="s">
        <v>70</v>
      </c>
      <c r="C57" s="8" t="s">
        <v>57</v>
      </c>
      <c r="D57" s="9" t="n">
        <v>-0.3259</v>
      </c>
      <c r="E57" s="8" t="n">
        <v>0.24</v>
      </c>
      <c r="F57" s="8" t="n">
        <v>3044</v>
      </c>
    </row>
    <row r="58" customFormat="false" ht="15" hidden="false" customHeight="true" outlineLevel="0" collapsed="false">
      <c r="A58" s="8" t="n">
        <v>2018</v>
      </c>
      <c r="B58" s="8" t="s">
        <v>71</v>
      </c>
      <c r="C58" s="8" t="s">
        <v>57</v>
      </c>
      <c r="D58" s="9" t="n">
        <v>0.1851</v>
      </c>
      <c r="E58" s="8" t="n">
        <v>0.14</v>
      </c>
      <c r="F58" s="8" t="n">
        <v>2118</v>
      </c>
    </row>
    <row r="59" customFormat="false" ht="15" hidden="false" customHeight="true" outlineLevel="0" collapsed="false">
      <c r="A59" s="8" t="n">
        <v>2020</v>
      </c>
      <c r="B59" s="8" t="s">
        <v>71</v>
      </c>
      <c r="C59" s="8" t="s">
        <v>57</v>
      </c>
      <c r="D59" s="9" t="n">
        <v>0.0914</v>
      </c>
      <c r="E59" s="8" t="n">
        <v>0.17</v>
      </c>
      <c r="F59" s="8" t="n">
        <v>2210</v>
      </c>
    </row>
    <row r="60" customFormat="false" ht="15" hidden="false" customHeight="true" outlineLevel="0" collapsed="false">
      <c r="A60" s="8" t="n">
        <v>2022</v>
      </c>
      <c r="B60" s="8" t="s">
        <v>71</v>
      </c>
      <c r="C60" s="8" t="s">
        <v>57</v>
      </c>
      <c r="D60" s="9" t="n">
        <v>0.0135</v>
      </c>
      <c r="E60" s="8" t="n">
        <v>0.15</v>
      </c>
      <c r="F60" s="8" t="n">
        <v>2071</v>
      </c>
    </row>
    <row r="61" customFormat="false" ht="15" hidden="false" customHeight="true" outlineLevel="0" collapsed="false">
      <c r="A61" s="8" t="n">
        <v>2024</v>
      </c>
      <c r="B61" s="8" t="s">
        <v>71</v>
      </c>
      <c r="C61" s="8" t="s">
        <v>57</v>
      </c>
      <c r="D61" s="9" t="n">
        <v>-0.0592</v>
      </c>
      <c r="E61" s="8" t="n">
        <v>0.17</v>
      </c>
      <c r="F61" s="8" t="n">
        <v>2093</v>
      </c>
    </row>
    <row r="62" customFormat="false" ht="15" hidden="false" customHeight="true" outlineLevel="0" collapsed="false">
      <c r="A62" s="8" t="n">
        <v>2018</v>
      </c>
      <c r="B62" s="8" t="s">
        <v>72</v>
      </c>
      <c r="C62" s="8" t="s">
        <v>57</v>
      </c>
      <c r="D62" s="9" t="n">
        <v>-0.4048</v>
      </c>
      <c r="E62" s="8" t="n">
        <v>0.16</v>
      </c>
      <c r="F62" s="8" t="n">
        <v>751</v>
      </c>
    </row>
    <row r="63" customFormat="false" ht="15" hidden="false" customHeight="true" outlineLevel="0" collapsed="false">
      <c r="A63" s="8" t="n">
        <v>2020</v>
      </c>
      <c r="B63" s="8" t="s">
        <v>72</v>
      </c>
      <c r="C63" s="8" t="s">
        <v>57</v>
      </c>
      <c r="D63" s="9" t="n">
        <v>-0.4663</v>
      </c>
      <c r="E63" s="8" t="n">
        <v>0.15</v>
      </c>
      <c r="F63" s="8" t="n">
        <v>817</v>
      </c>
    </row>
    <row r="64" customFormat="false" ht="15" hidden="false" customHeight="true" outlineLevel="0" collapsed="false">
      <c r="A64" s="8" t="n">
        <v>2022</v>
      </c>
      <c r="B64" s="8" t="s">
        <v>72</v>
      </c>
      <c r="C64" s="8" t="s">
        <v>57</v>
      </c>
      <c r="D64" s="9" t="n">
        <v>-0.5137</v>
      </c>
      <c r="E64" s="8" t="n">
        <v>0.14</v>
      </c>
      <c r="F64" s="8" t="n">
        <v>765</v>
      </c>
    </row>
    <row r="65" customFormat="false" ht="15" hidden="false" customHeight="true" outlineLevel="0" collapsed="false">
      <c r="A65" s="8" t="n">
        <v>2024</v>
      </c>
      <c r="B65" s="8" t="s">
        <v>72</v>
      </c>
      <c r="C65" s="8" t="s">
        <v>57</v>
      </c>
      <c r="D65" s="9" t="n">
        <v>-0.5402</v>
      </c>
      <c r="E65" s="8" t="n">
        <v>0.12</v>
      </c>
      <c r="F65" s="8" t="n">
        <v>759</v>
      </c>
    </row>
    <row r="66" customFormat="false" ht="15" hidden="false" customHeight="true" outlineLevel="0" collapsed="false">
      <c r="A66" s="8" t="n">
        <v>2018</v>
      </c>
      <c r="B66" s="8" t="s">
        <v>73</v>
      </c>
      <c r="C66" s="8" t="s">
        <v>57</v>
      </c>
      <c r="D66" s="9" t="n">
        <v>0.0109</v>
      </c>
      <c r="E66" s="8" t="n">
        <v>0.14</v>
      </c>
      <c r="F66" s="8" t="n">
        <v>3312</v>
      </c>
    </row>
    <row r="67" customFormat="false" ht="15" hidden="false" customHeight="true" outlineLevel="0" collapsed="false">
      <c r="A67" s="8" t="n">
        <v>2020</v>
      </c>
      <c r="B67" s="8" t="s">
        <v>73</v>
      </c>
      <c r="C67" s="8" t="s">
        <v>57</v>
      </c>
      <c r="D67" s="9" t="n">
        <v>-0.0623</v>
      </c>
      <c r="E67" s="8" t="n">
        <v>0.2</v>
      </c>
      <c r="F67" s="8" t="n">
        <v>3579</v>
      </c>
    </row>
    <row r="68" customFormat="false" ht="15" hidden="false" customHeight="true" outlineLevel="0" collapsed="false">
      <c r="A68" s="8" t="n">
        <v>2022</v>
      </c>
      <c r="B68" s="8" t="s">
        <v>73</v>
      </c>
      <c r="C68" s="8" t="s">
        <v>57</v>
      </c>
      <c r="D68" s="9" t="n">
        <v>-0.107</v>
      </c>
      <c r="E68" s="8" t="n">
        <v>0.17</v>
      </c>
      <c r="F68" s="8" t="n">
        <v>3449</v>
      </c>
    </row>
    <row r="69" customFormat="false" ht="15" hidden="false" customHeight="true" outlineLevel="0" collapsed="false">
      <c r="A69" s="8" t="n">
        <v>2024</v>
      </c>
      <c r="B69" s="8" t="s">
        <v>73</v>
      </c>
      <c r="C69" s="8" t="s">
        <v>57</v>
      </c>
      <c r="D69" s="9" t="n">
        <v>-0.1402</v>
      </c>
      <c r="E69" s="8" t="n">
        <v>0.18</v>
      </c>
      <c r="F69" s="8" t="n">
        <v>3609</v>
      </c>
    </row>
    <row r="70" customFormat="false" ht="15" hidden="false" customHeight="true" outlineLevel="0" collapsed="false">
      <c r="A70" s="8" t="n">
        <v>2018</v>
      </c>
      <c r="B70" s="8" t="s">
        <v>74</v>
      </c>
      <c r="C70" s="8" t="s">
        <v>57</v>
      </c>
      <c r="D70" s="9" t="n">
        <v>-0.0557</v>
      </c>
      <c r="E70" s="8" t="n">
        <v>0.14</v>
      </c>
      <c r="F70" s="8" t="n">
        <v>287</v>
      </c>
    </row>
    <row r="71" customFormat="false" ht="15" hidden="false" customHeight="true" outlineLevel="0" collapsed="false">
      <c r="A71" s="8" t="n">
        <v>2020</v>
      </c>
      <c r="B71" s="8" t="s">
        <v>74</v>
      </c>
      <c r="C71" s="8" t="s">
        <v>57</v>
      </c>
      <c r="D71" s="9" t="n">
        <v>-0.1753</v>
      </c>
      <c r="E71" s="8" t="n">
        <v>0.05</v>
      </c>
      <c r="F71" s="8" t="n">
        <v>308</v>
      </c>
    </row>
    <row r="72" customFormat="false" ht="15" hidden="false" customHeight="true" outlineLevel="0" collapsed="false">
      <c r="A72" s="8" t="n">
        <v>2022</v>
      </c>
      <c r="B72" s="8" t="s">
        <v>74</v>
      </c>
      <c r="C72" s="8" t="s">
        <v>57</v>
      </c>
      <c r="D72" s="9" t="n">
        <v>-0.2295</v>
      </c>
      <c r="E72" s="8" t="n">
        <v>0.05</v>
      </c>
      <c r="F72" s="8" t="n">
        <v>305</v>
      </c>
    </row>
    <row r="73" customFormat="false" ht="15" hidden="false" customHeight="true" outlineLevel="0" collapsed="false">
      <c r="A73" s="8" t="n">
        <v>2024</v>
      </c>
      <c r="B73" s="8" t="s">
        <v>74</v>
      </c>
      <c r="C73" s="8" t="s">
        <v>57</v>
      </c>
      <c r="D73" s="9" t="n">
        <v>-0.255</v>
      </c>
      <c r="E73" s="8" t="n">
        <v>0.09</v>
      </c>
      <c r="F73" s="8" t="n">
        <v>302</v>
      </c>
    </row>
    <row r="74" customFormat="false" ht="15" hidden="false" customHeight="true" outlineLevel="0" collapsed="false">
      <c r="A74" s="8" t="n">
        <v>2018</v>
      </c>
      <c r="B74" s="8" t="s">
        <v>75</v>
      </c>
      <c r="C74" s="8" t="s">
        <v>57</v>
      </c>
      <c r="D74" s="9" t="n">
        <v>-0.0086</v>
      </c>
      <c r="E74" s="8" t="n">
        <v>0.21</v>
      </c>
      <c r="F74" s="8" t="n">
        <v>7483</v>
      </c>
    </row>
    <row r="75" customFormat="false" ht="15" hidden="false" customHeight="true" outlineLevel="0" collapsed="false">
      <c r="A75" s="8" t="n">
        <v>2020</v>
      </c>
      <c r="B75" s="8" t="s">
        <v>75</v>
      </c>
      <c r="C75" s="8" t="s">
        <v>57</v>
      </c>
      <c r="D75" s="9" t="n">
        <v>-0.0674</v>
      </c>
      <c r="E75" s="8" t="n">
        <v>0.24</v>
      </c>
      <c r="F75" s="8" t="n">
        <v>8430</v>
      </c>
    </row>
    <row r="76" customFormat="false" ht="15" hidden="false" customHeight="true" outlineLevel="0" collapsed="false">
      <c r="A76" s="8" t="n">
        <v>2022</v>
      </c>
      <c r="B76" s="8" t="s">
        <v>75</v>
      </c>
      <c r="C76" s="8" t="s">
        <v>57</v>
      </c>
      <c r="D76" s="9" t="n">
        <v>-0.1183</v>
      </c>
      <c r="E76" s="8" t="n">
        <v>0.24</v>
      </c>
      <c r="F76" s="8" t="n">
        <v>7718</v>
      </c>
    </row>
    <row r="77" customFormat="false" ht="15" hidden="false" customHeight="true" outlineLevel="0" collapsed="false">
      <c r="A77" s="8" t="n">
        <v>2024</v>
      </c>
      <c r="B77" s="8" t="s">
        <v>75</v>
      </c>
      <c r="C77" s="8" t="s">
        <v>57</v>
      </c>
      <c r="D77" s="9" t="n">
        <v>-0.1806</v>
      </c>
      <c r="E77" s="8" t="n">
        <v>0.25</v>
      </c>
      <c r="F77" s="8" t="n">
        <v>8063</v>
      </c>
    </row>
    <row r="78" customFormat="false" ht="15" hidden="false" customHeight="true" outlineLevel="0" collapsed="false">
      <c r="A78" s="8" t="n">
        <v>2018</v>
      </c>
      <c r="B78" s="8" t="s">
        <v>76</v>
      </c>
      <c r="C78" s="8" t="s">
        <v>57</v>
      </c>
      <c r="D78" s="9" t="n">
        <v>0.2244</v>
      </c>
      <c r="E78" s="8" t="n">
        <v>0.17</v>
      </c>
      <c r="F78" s="8" t="n">
        <v>2019</v>
      </c>
    </row>
    <row r="79" customFormat="false" ht="15" hidden="false" customHeight="true" outlineLevel="0" collapsed="false">
      <c r="A79" s="8" t="n">
        <v>2020</v>
      </c>
      <c r="B79" s="8" t="s">
        <v>76</v>
      </c>
      <c r="C79" s="8" t="s">
        <v>57</v>
      </c>
      <c r="D79" s="9" t="n">
        <v>0.1326</v>
      </c>
      <c r="E79" s="8" t="n">
        <v>0.09</v>
      </c>
      <c r="F79" s="8" t="n">
        <v>2142</v>
      </c>
    </row>
    <row r="80" customFormat="false" ht="15" hidden="false" customHeight="true" outlineLevel="0" collapsed="false">
      <c r="A80" s="8" t="n">
        <v>2022</v>
      </c>
      <c r="B80" s="8" t="s">
        <v>76</v>
      </c>
      <c r="C80" s="8" t="s">
        <v>57</v>
      </c>
      <c r="D80" s="9" t="n">
        <v>0.0821</v>
      </c>
      <c r="E80" s="8" t="n">
        <v>0.06</v>
      </c>
      <c r="F80" s="8" t="n">
        <v>2034</v>
      </c>
    </row>
    <row r="81" customFormat="false" ht="15" hidden="false" customHeight="true" outlineLevel="0" collapsed="false">
      <c r="A81" s="8" t="n">
        <v>2024</v>
      </c>
      <c r="B81" s="8" t="s">
        <v>76</v>
      </c>
      <c r="C81" s="8" t="s">
        <v>57</v>
      </c>
      <c r="D81" s="9" t="n">
        <v>0.0075</v>
      </c>
      <c r="E81" s="8" t="n">
        <v>0.08</v>
      </c>
      <c r="F81" s="8" t="n">
        <v>2144</v>
      </c>
    </row>
    <row r="82" customFormat="false" ht="15" hidden="false" customHeight="true" outlineLevel="0" collapsed="false">
      <c r="A82" s="8" t="n">
        <v>2018</v>
      </c>
      <c r="B82" s="8" t="s">
        <v>77</v>
      </c>
      <c r="C82" s="8" t="s">
        <v>57</v>
      </c>
      <c r="D82" s="9" t="n">
        <v>-0.1641</v>
      </c>
      <c r="E82" s="8" t="n">
        <v>0.21</v>
      </c>
      <c r="F82" s="8" t="n">
        <v>3096</v>
      </c>
    </row>
    <row r="83" customFormat="false" ht="15" hidden="false" customHeight="true" outlineLevel="0" collapsed="false">
      <c r="A83" s="8" t="n">
        <v>2020</v>
      </c>
      <c r="B83" s="8" t="s">
        <v>77</v>
      </c>
      <c r="C83" s="8" t="s">
        <v>57</v>
      </c>
      <c r="D83" s="9" t="n">
        <v>-0.218</v>
      </c>
      <c r="E83" s="8" t="n">
        <v>0.19</v>
      </c>
      <c r="F83" s="8" t="n">
        <v>3380</v>
      </c>
    </row>
    <row r="84" customFormat="false" ht="15" hidden="false" customHeight="true" outlineLevel="0" collapsed="false">
      <c r="A84" s="8" t="n">
        <v>2022</v>
      </c>
      <c r="B84" s="8" t="s">
        <v>77</v>
      </c>
      <c r="C84" s="8" t="s">
        <v>57</v>
      </c>
      <c r="D84" s="9" t="n">
        <v>-0.2781</v>
      </c>
      <c r="E84" s="8" t="n">
        <v>0.19</v>
      </c>
      <c r="F84" s="8" t="n">
        <v>3269</v>
      </c>
    </row>
    <row r="85" customFormat="false" ht="15" hidden="false" customHeight="true" outlineLevel="0" collapsed="false">
      <c r="A85" s="8" t="n">
        <v>2024</v>
      </c>
      <c r="B85" s="8" t="s">
        <v>77</v>
      </c>
      <c r="C85" s="8" t="s">
        <v>57</v>
      </c>
      <c r="D85" s="9" t="n">
        <v>-0.3169</v>
      </c>
      <c r="E85" s="8" t="n">
        <v>0.16</v>
      </c>
      <c r="F85" s="8" t="n">
        <v>3418</v>
      </c>
    </row>
    <row r="86" customFormat="false" ht="15" hidden="false" customHeight="true" outlineLevel="0" collapsed="false">
      <c r="A86" s="8" t="n">
        <v>2018</v>
      </c>
      <c r="B86" s="8" t="s">
        <v>78</v>
      </c>
      <c r="C86" s="8" t="s">
        <v>57</v>
      </c>
      <c r="D86" s="9" t="n">
        <v>-0.1577</v>
      </c>
      <c r="E86" s="8" t="n">
        <v>0.2</v>
      </c>
      <c r="F86" s="8" t="n">
        <v>1547</v>
      </c>
    </row>
    <row r="87" customFormat="false" ht="15" hidden="false" customHeight="true" outlineLevel="0" collapsed="false">
      <c r="A87" s="8" t="n">
        <v>2020</v>
      </c>
      <c r="B87" s="8" t="s">
        <v>78</v>
      </c>
      <c r="C87" s="8" t="s">
        <v>57</v>
      </c>
      <c r="D87" s="9" t="n">
        <v>-0.2148</v>
      </c>
      <c r="E87" s="8" t="n">
        <v>0.15</v>
      </c>
      <c r="F87" s="8" t="n">
        <v>1662</v>
      </c>
    </row>
    <row r="88" customFormat="false" ht="15" hidden="false" customHeight="true" outlineLevel="0" collapsed="false">
      <c r="A88" s="8" t="n">
        <v>2022</v>
      </c>
      <c r="B88" s="8" t="s">
        <v>78</v>
      </c>
      <c r="C88" s="8" t="s">
        <v>57</v>
      </c>
      <c r="D88" s="9" t="n">
        <v>-0.2481</v>
      </c>
      <c r="E88" s="8" t="n">
        <v>0.17</v>
      </c>
      <c r="F88" s="8" t="n">
        <v>1552</v>
      </c>
    </row>
    <row r="89" customFormat="false" ht="15" hidden="false" customHeight="true" outlineLevel="0" collapsed="false">
      <c r="A89" s="8" t="n">
        <v>2024</v>
      </c>
      <c r="B89" s="8" t="s">
        <v>78</v>
      </c>
      <c r="C89" s="8" t="s">
        <v>57</v>
      </c>
      <c r="D89" s="9" t="n">
        <v>-0.2923</v>
      </c>
      <c r="E89" s="8" t="n">
        <v>0.19</v>
      </c>
      <c r="F89" s="8" t="n">
        <v>1618</v>
      </c>
    </row>
    <row r="90" customFormat="false" ht="15" hidden="false" customHeight="true" outlineLevel="0" collapsed="false">
      <c r="A90" s="8" t="n">
        <v>2018</v>
      </c>
      <c r="B90" s="8" t="s">
        <v>79</v>
      </c>
      <c r="C90" s="8" t="s">
        <v>57</v>
      </c>
      <c r="D90" s="9" t="n">
        <v>0.1464</v>
      </c>
      <c r="E90" s="8" t="n">
        <v>0.04</v>
      </c>
      <c r="F90" s="8" t="n">
        <v>239</v>
      </c>
    </row>
    <row r="91" customFormat="false" ht="15" hidden="false" customHeight="true" outlineLevel="0" collapsed="false">
      <c r="A91" s="8" t="n">
        <v>2020</v>
      </c>
      <c r="B91" s="8" t="s">
        <v>79</v>
      </c>
      <c r="C91" s="8" t="s">
        <v>57</v>
      </c>
      <c r="D91" s="9" t="n">
        <v>0.0272</v>
      </c>
      <c r="E91" s="8" t="n">
        <v>0.1</v>
      </c>
      <c r="F91" s="8" t="n">
        <v>257</v>
      </c>
    </row>
    <row r="92" customFormat="false" ht="15" hidden="false" customHeight="true" outlineLevel="0" collapsed="false">
      <c r="A92" s="8" t="n">
        <v>2022</v>
      </c>
      <c r="B92" s="8" t="s">
        <v>79</v>
      </c>
      <c r="C92" s="8" t="s">
        <v>57</v>
      </c>
      <c r="D92" s="9" t="n">
        <v>-0.04</v>
      </c>
      <c r="E92" s="8" t="n">
        <v>0.09</v>
      </c>
      <c r="F92" s="8" t="n">
        <v>225</v>
      </c>
    </row>
    <row r="93" customFormat="false" ht="15" hidden="false" customHeight="true" outlineLevel="0" collapsed="false">
      <c r="A93" s="8" t="n">
        <v>2024</v>
      </c>
      <c r="B93" s="8" t="s">
        <v>79</v>
      </c>
      <c r="C93" s="8" t="s">
        <v>57</v>
      </c>
      <c r="D93" s="9" t="n">
        <v>-0.1369</v>
      </c>
      <c r="E93" s="8" t="n">
        <v>0.07</v>
      </c>
      <c r="F93" s="8" t="n">
        <v>241</v>
      </c>
    </row>
    <row r="94" customFormat="false" ht="15" hidden="false" customHeight="true" outlineLevel="0" collapsed="false">
      <c r="A94" s="8" t="n">
        <v>2018</v>
      </c>
      <c r="B94" s="8" t="s">
        <v>80</v>
      </c>
      <c r="C94" s="8" t="s">
        <v>81</v>
      </c>
      <c r="D94" s="9" t="n">
        <v>0.0302</v>
      </c>
      <c r="E94" s="8" t="n">
        <v>0.35</v>
      </c>
      <c r="F94" s="8" t="n">
        <v>1554</v>
      </c>
    </row>
    <row r="95" customFormat="false" ht="15" hidden="false" customHeight="true" outlineLevel="0" collapsed="false">
      <c r="A95" s="8" t="n">
        <v>2020</v>
      </c>
      <c r="B95" s="8" t="s">
        <v>80</v>
      </c>
      <c r="C95" s="8" t="s">
        <v>81</v>
      </c>
      <c r="D95" s="9" t="n">
        <v>0.007</v>
      </c>
      <c r="E95" s="8" t="n">
        <v>0.4</v>
      </c>
      <c r="F95" s="8" t="n">
        <v>1719</v>
      </c>
    </row>
    <row r="96" customFormat="false" ht="15" hidden="false" customHeight="true" outlineLevel="0" collapsed="false">
      <c r="A96" s="8" t="n">
        <v>2022</v>
      </c>
      <c r="B96" s="8" t="s">
        <v>80</v>
      </c>
      <c r="C96" s="8" t="s">
        <v>81</v>
      </c>
      <c r="D96" s="9" t="n">
        <v>0.0018</v>
      </c>
      <c r="E96" s="8" t="n">
        <v>0.4</v>
      </c>
      <c r="F96" s="8" t="n">
        <v>1674</v>
      </c>
    </row>
    <row r="97" customFormat="false" ht="15" hidden="false" customHeight="true" outlineLevel="0" collapsed="false">
      <c r="A97" s="8" t="n">
        <v>2024</v>
      </c>
      <c r="B97" s="8" t="s">
        <v>80</v>
      </c>
      <c r="C97" s="8" t="s">
        <v>81</v>
      </c>
      <c r="D97" s="9" t="n">
        <v>-0.0335</v>
      </c>
      <c r="E97" s="8" t="n">
        <v>0.34</v>
      </c>
      <c r="F97" s="8" t="n">
        <v>1763</v>
      </c>
    </row>
    <row r="98" customFormat="false" ht="15" hidden="false" customHeight="true" outlineLevel="0" collapsed="false">
      <c r="A98" s="8" t="n">
        <v>2018</v>
      </c>
      <c r="B98" s="8" t="s">
        <v>82</v>
      </c>
      <c r="C98" s="8" t="s">
        <v>81</v>
      </c>
      <c r="D98" s="9" t="n">
        <v>0.4366</v>
      </c>
      <c r="E98" s="8" t="n">
        <v>0.15</v>
      </c>
      <c r="F98" s="8" t="n">
        <v>70984</v>
      </c>
    </row>
    <row r="99" customFormat="false" ht="15" hidden="false" customHeight="true" outlineLevel="0" collapsed="false">
      <c r="A99" s="8" t="n">
        <v>2020</v>
      </c>
      <c r="B99" s="8" t="s">
        <v>82</v>
      </c>
      <c r="C99" s="8" t="s">
        <v>81</v>
      </c>
      <c r="D99" s="9" t="n">
        <v>0.4233</v>
      </c>
      <c r="E99" s="8" t="n">
        <v>0.17</v>
      </c>
      <c r="F99" s="8" t="n">
        <v>72701</v>
      </c>
    </row>
    <row r="100" customFormat="false" ht="15" hidden="false" customHeight="true" outlineLevel="0" collapsed="false">
      <c r="A100" s="8" t="n">
        <v>2022</v>
      </c>
      <c r="B100" s="8" t="s">
        <v>82</v>
      </c>
      <c r="C100" s="8" t="s">
        <v>81</v>
      </c>
      <c r="D100" s="9" t="n">
        <v>0.406</v>
      </c>
      <c r="E100" s="8" t="n">
        <v>0.18</v>
      </c>
      <c r="F100" s="8" t="n">
        <v>69794</v>
      </c>
    </row>
    <row r="101" customFormat="false" ht="15" hidden="false" customHeight="true" outlineLevel="0" collapsed="false">
      <c r="A101" s="8" t="n">
        <v>2024</v>
      </c>
      <c r="B101" s="8" t="s">
        <v>82</v>
      </c>
      <c r="C101" s="8" t="s">
        <v>81</v>
      </c>
      <c r="D101" s="9" t="n">
        <v>0.3488</v>
      </c>
      <c r="E101" s="8" t="n">
        <v>0.19</v>
      </c>
      <c r="F101" s="8" t="n">
        <v>74114</v>
      </c>
    </row>
    <row r="102" customFormat="false" ht="15" hidden="false" customHeight="true" outlineLevel="0" collapsed="false">
      <c r="A102" s="8" t="n">
        <v>2018</v>
      </c>
      <c r="B102" s="8" t="s">
        <v>83</v>
      </c>
      <c r="C102" s="8" t="s">
        <v>81</v>
      </c>
      <c r="D102" s="9" t="n">
        <v>0.3074</v>
      </c>
      <c r="E102" s="8" t="n">
        <v>0.26</v>
      </c>
      <c r="F102" s="8" t="n">
        <v>12803</v>
      </c>
    </row>
    <row r="103" customFormat="false" ht="15" hidden="false" customHeight="true" outlineLevel="0" collapsed="false">
      <c r="A103" s="8" t="n">
        <v>2020</v>
      </c>
      <c r="B103" s="8" t="s">
        <v>83</v>
      </c>
      <c r="C103" s="8" t="s">
        <v>81</v>
      </c>
      <c r="D103" s="9" t="n">
        <v>0.2976</v>
      </c>
      <c r="E103" s="8" t="n">
        <v>0.31</v>
      </c>
      <c r="F103" s="8" t="n">
        <v>13767</v>
      </c>
    </row>
    <row r="104" customFormat="false" ht="15" hidden="false" customHeight="true" outlineLevel="0" collapsed="false">
      <c r="A104" s="8" t="n">
        <v>2022</v>
      </c>
      <c r="B104" s="8" t="s">
        <v>83</v>
      </c>
      <c r="C104" s="8" t="s">
        <v>81</v>
      </c>
      <c r="D104" s="9" t="n">
        <v>0.2991</v>
      </c>
      <c r="E104" s="8" t="n">
        <v>0.36</v>
      </c>
      <c r="F104" s="8" t="n">
        <v>13743</v>
      </c>
    </row>
    <row r="105" customFormat="false" ht="15" hidden="false" customHeight="true" outlineLevel="0" collapsed="false">
      <c r="A105" s="8" t="n">
        <v>2024</v>
      </c>
      <c r="B105" s="8" t="s">
        <v>83</v>
      </c>
      <c r="C105" s="8" t="s">
        <v>81</v>
      </c>
      <c r="D105" s="9" t="n">
        <v>0.2584</v>
      </c>
      <c r="E105" s="8" t="n">
        <v>0.39</v>
      </c>
      <c r="F105" s="8" t="n">
        <v>14278</v>
      </c>
    </row>
    <row r="106" customFormat="false" ht="15" hidden="false" customHeight="true" outlineLevel="0" collapsed="false">
      <c r="A106" s="8" t="n">
        <v>2018</v>
      </c>
      <c r="B106" s="8" t="s">
        <v>84</v>
      </c>
      <c r="C106" s="8" t="s">
        <v>81</v>
      </c>
      <c r="D106" s="9" t="n">
        <v>0.181</v>
      </c>
      <c r="E106" s="8" t="n">
        <v>0.21</v>
      </c>
      <c r="F106" s="8" t="n">
        <v>3846</v>
      </c>
    </row>
    <row r="107" customFormat="false" ht="15" hidden="false" customHeight="true" outlineLevel="0" collapsed="false">
      <c r="A107" s="8" t="n">
        <v>2020</v>
      </c>
      <c r="B107" s="8" t="s">
        <v>84</v>
      </c>
      <c r="C107" s="8" t="s">
        <v>81</v>
      </c>
      <c r="D107" s="9" t="n">
        <v>0.161</v>
      </c>
      <c r="E107" s="8" t="n">
        <v>0.28</v>
      </c>
      <c r="F107" s="8" t="n">
        <v>4154</v>
      </c>
    </row>
    <row r="108" customFormat="false" ht="15" hidden="false" customHeight="true" outlineLevel="0" collapsed="false">
      <c r="A108" s="8" t="n">
        <v>2022</v>
      </c>
      <c r="B108" s="8" t="s">
        <v>84</v>
      </c>
      <c r="C108" s="8" t="s">
        <v>81</v>
      </c>
      <c r="D108" s="9" t="n">
        <v>0.1463</v>
      </c>
      <c r="E108" s="8" t="n">
        <v>0.28</v>
      </c>
      <c r="F108" s="8" t="n">
        <v>4013</v>
      </c>
    </row>
    <row r="109" customFormat="false" ht="15" hidden="false" customHeight="true" outlineLevel="0" collapsed="false">
      <c r="A109" s="8" t="n">
        <v>2024</v>
      </c>
      <c r="B109" s="8" t="s">
        <v>84</v>
      </c>
      <c r="C109" s="8" t="s">
        <v>81</v>
      </c>
      <c r="D109" s="9" t="n">
        <v>0.103</v>
      </c>
      <c r="E109" s="8" t="n">
        <v>0.31</v>
      </c>
      <c r="F109" s="8" t="n">
        <v>4165</v>
      </c>
    </row>
    <row r="110" customFormat="false" ht="15" hidden="false" customHeight="true" outlineLevel="0" collapsed="false">
      <c r="A110" s="8" t="n">
        <v>2018</v>
      </c>
      <c r="B110" s="8" t="s">
        <v>85</v>
      </c>
      <c r="C110" s="8" t="s">
        <v>81</v>
      </c>
      <c r="D110" s="9" t="n">
        <v>-0.0233</v>
      </c>
      <c r="E110" s="8" t="n">
        <v>0.24</v>
      </c>
      <c r="F110" s="8" t="n">
        <v>1589</v>
      </c>
    </row>
    <row r="111" customFormat="false" ht="15" hidden="false" customHeight="true" outlineLevel="0" collapsed="false">
      <c r="A111" s="8" t="n">
        <v>2020</v>
      </c>
      <c r="B111" s="8" t="s">
        <v>85</v>
      </c>
      <c r="C111" s="8" t="s">
        <v>81</v>
      </c>
      <c r="D111" s="9" t="n">
        <v>-0.0529</v>
      </c>
      <c r="E111" s="8" t="n">
        <v>0.25</v>
      </c>
      <c r="F111" s="8" t="n">
        <v>1777</v>
      </c>
    </row>
    <row r="112" customFormat="false" ht="15" hidden="false" customHeight="true" outlineLevel="0" collapsed="false">
      <c r="A112" s="8" t="n">
        <v>2022</v>
      </c>
      <c r="B112" s="8" t="s">
        <v>85</v>
      </c>
      <c r="C112" s="8" t="s">
        <v>81</v>
      </c>
      <c r="D112" s="9" t="n">
        <v>-0.0833</v>
      </c>
      <c r="E112" s="8" t="n">
        <v>0.25</v>
      </c>
      <c r="F112" s="8" t="n">
        <v>1801</v>
      </c>
    </row>
    <row r="113" customFormat="false" ht="15" hidden="false" customHeight="true" outlineLevel="0" collapsed="false">
      <c r="A113" s="8" t="n">
        <v>2024</v>
      </c>
      <c r="B113" s="8" t="s">
        <v>85</v>
      </c>
      <c r="C113" s="8" t="s">
        <v>81</v>
      </c>
      <c r="D113" s="9" t="n">
        <v>-0.1023</v>
      </c>
      <c r="E113" s="8" t="n">
        <v>0.32</v>
      </c>
      <c r="F113" s="8" t="n">
        <v>1867</v>
      </c>
    </row>
    <row r="114" customFormat="false" ht="15" hidden="false" customHeight="true" outlineLevel="0" collapsed="false">
      <c r="A114" s="8" t="n">
        <v>2018</v>
      </c>
      <c r="B114" s="8" t="s">
        <v>86</v>
      </c>
      <c r="C114" s="8" t="s">
        <v>81</v>
      </c>
      <c r="D114" s="9" t="n">
        <v>0.2404</v>
      </c>
      <c r="E114" s="8" t="n">
        <v>0.16</v>
      </c>
      <c r="F114" s="8" t="n">
        <v>2063</v>
      </c>
    </row>
    <row r="115" customFormat="false" ht="15" hidden="false" customHeight="true" outlineLevel="0" collapsed="false">
      <c r="A115" s="8" t="n">
        <v>2020</v>
      </c>
      <c r="B115" s="8" t="s">
        <v>86</v>
      </c>
      <c r="C115" s="8" t="s">
        <v>81</v>
      </c>
      <c r="D115" s="9" t="n">
        <v>0.1883</v>
      </c>
      <c r="E115" s="8" t="n">
        <v>0.18</v>
      </c>
      <c r="F115" s="8" t="n">
        <v>2230</v>
      </c>
    </row>
    <row r="116" customFormat="false" ht="15" hidden="false" customHeight="true" outlineLevel="0" collapsed="false">
      <c r="A116" s="8" t="n">
        <v>2022</v>
      </c>
      <c r="B116" s="8" t="s">
        <v>86</v>
      </c>
      <c r="C116" s="8" t="s">
        <v>81</v>
      </c>
      <c r="D116" s="9" t="n">
        <v>0.1553</v>
      </c>
      <c r="E116" s="8" t="n">
        <v>0.21</v>
      </c>
      <c r="F116" s="8" t="n">
        <v>2209</v>
      </c>
    </row>
    <row r="117" customFormat="false" ht="15" hidden="false" customHeight="true" outlineLevel="0" collapsed="false">
      <c r="A117" s="8" t="n">
        <v>2024</v>
      </c>
      <c r="B117" s="8" t="s">
        <v>86</v>
      </c>
      <c r="C117" s="8" t="s">
        <v>81</v>
      </c>
      <c r="D117" s="9" t="n">
        <v>0.0986</v>
      </c>
      <c r="E117" s="8" t="n">
        <v>0.19</v>
      </c>
      <c r="F117" s="8" t="n">
        <v>2343</v>
      </c>
    </row>
    <row r="118" customFormat="false" ht="15" hidden="false" customHeight="true" outlineLevel="0" collapsed="false">
      <c r="A118" s="8" t="n">
        <v>2018</v>
      </c>
      <c r="B118" s="8" t="s">
        <v>87</v>
      </c>
      <c r="C118" s="8" t="s">
        <v>81</v>
      </c>
      <c r="D118" s="9" t="n">
        <v>0.0693</v>
      </c>
      <c r="E118" s="8" t="n">
        <v>0.3</v>
      </c>
      <c r="F118" s="8" t="n">
        <v>7657</v>
      </c>
    </row>
    <row r="119" customFormat="false" ht="15" hidden="false" customHeight="true" outlineLevel="0" collapsed="false">
      <c r="A119" s="8" t="n">
        <v>2020</v>
      </c>
      <c r="B119" s="8" t="s">
        <v>87</v>
      </c>
      <c r="C119" s="8" t="s">
        <v>81</v>
      </c>
      <c r="D119" s="9" t="n">
        <v>0.0734</v>
      </c>
      <c r="E119" s="8" t="n">
        <v>0.27</v>
      </c>
      <c r="F119" s="8" t="n">
        <v>8267</v>
      </c>
    </row>
    <row r="120" customFormat="false" ht="15" hidden="false" customHeight="true" outlineLevel="0" collapsed="false">
      <c r="A120" s="8" t="n">
        <v>2022</v>
      </c>
      <c r="B120" s="8" t="s">
        <v>87</v>
      </c>
      <c r="C120" s="8" t="s">
        <v>81</v>
      </c>
      <c r="D120" s="9" t="n">
        <v>0.0827</v>
      </c>
      <c r="E120" s="8" t="n">
        <v>0.34</v>
      </c>
      <c r="F120" s="8" t="n">
        <v>8223</v>
      </c>
    </row>
    <row r="121" customFormat="false" ht="15" hidden="false" customHeight="true" outlineLevel="0" collapsed="false">
      <c r="A121" s="8" t="n">
        <v>2024</v>
      </c>
      <c r="B121" s="8" t="s">
        <v>87</v>
      </c>
      <c r="C121" s="8" t="s">
        <v>81</v>
      </c>
      <c r="D121" s="9" t="n">
        <v>0.0603</v>
      </c>
      <c r="E121" s="8" t="n">
        <v>0.32</v>
      </c>
      <c r="F121" s="8" t="n">
        <v>8762</v>
      </c>
    </row>
    <row r="122" customFormat="false" ht="15" hidden="false" customHeight="true" outlineLevel="0" collapsed="false">
      <c r="A122" s="8" t="n">
        <v>2018</v>
      </c>
      <c r="B122" s="8" t="s">
        <v>88</v>
      </c>
      <c r="C122" s="8" t="s">
        <v>81</v>
      </c>
      <c r="D122" s="9" t="n">
        <v>0.3753</v>
      </c>
      <c r="E122" s="8" t="n">
        <v>0.22</v>
      </c>
      <c r="F122" s="8" t="n">
        <v>2878</v>
      </c>
    </row>
    <row r="123" customFormat="false" ht="15" hidden="false" customHeight="true" outlineLevel="0" collapsed="false">
      <c r="A123" s="8" t="n">
        <v>2020</v>
      </c>
      <c r="B123" s="8" t="s">
        <v>88</v>
      </c>
      <c r="C123" s="8" t="s">
        <v>81</v>
      </c>
      <c r="D123" s="9" t="n">
        <v>0.3828</v>
      </c>
      <c r="E123" s="8" t="n">
        <v>0.21</v>
      </c>
      <c r="F123" s="8" t="n">
        <v>3059</v>
      </c>
    </row>
    <row r="124" customFormat="false" ht="15" hidden="false" customHeight="true" outlineLevel="0" collapsed="false">
      <c r="A124" s="8" t="n">
        <v>2022</v>
      </c>
      <c r="B124" s="8" t="s">
        <v>88</v>
      </c>
      <c r="C124" s="8" t="s">
        <v>81</v>
      </c>
      <c r="D124" s="9" t="n">
        <v>0.3842</v>
      </c>
      <c r="E124" s="8" t="n">
        <v>0.22</v>
      </c>
      <c r="F124" s="8" t="n">
        <v>3019</v>
      </c>
    </row>
    <row r="125" customFormat="false" ht="15" hidden="false" customHeight="true" outlineLevel="0" collapsed="false">
      <c r="A125" s="8" t="n">
        <v>2024</v>
      </c>
      <c r="B125" s="8" t="s">
        <v>88</v>
      </c>
      <c r="C125" s="8" t="s">
        <v>81</v>
      </c>
      <c r="D125" s="9" t="n">
        <v>0.323</v>
      </c>
      <c r="E125" s="8" t="n">
        <v>0.29</v>
      </c>
      <c r="F125" s="8" t="n">
        <v>3229</v>
      </c>
    </row>
    <row r="126" customFormat="false" ht="15" hidden="false" customHeight="true" outlineLevel="0" collapsed="false">
      <c r="A126" s="8" t="n">
        <v>2018</v>
      </c>
      <c r="B126" s="8" t="s">
        <v>89</v>
      </c>
      <c r="C126" s="8" t="s">
        <v>81</v>
      </c>
      <c r="D126" s="9" t="n">
        <v>0.237</v>
      </c>
      <c r="E126" s="8" t="n">
        <v>0.21</v>
      </c>
      <c r="F126" s="8" t="n">
        <v>1000</v>
      </c>
    </row>
    <row r="127" customFormat="false" ht="15" hidden="false" customHeight="true" outlineLevel="0" collapsed="false">
      <c r="A127" s="8" t="n">
        <v>2020</v>
      </c>
      <c r="B127" s="8" t="s">
        <v>89</v>
      </c>
      <c r="C127" s="8" t="s">
        <v>81</v>
      </c>
      <c r="D127" s="9" t="n">
        <v>0.2285</v>
      </c>
      <c r="E127" s="8" t="n">
        <v>0.18</v>
      </c>
      <c r="F127" s="8" t="n">
        <v>1037</v>
      </c>
    </row>
    <row r="128" customFormat="false" ht="15" hidden="false" customHeight="true" outlineLevel="0" collapsed="false">
      <c r="A128" s="8" t="n">
        <v>2022</v>
      </c>
      <c r="B128" s="8" t="s">
        <v>89</v>
      </c>
      <c r="C128" s="8" t="s">
        <v>81</v>
      </c>
      <c r="D128" s="9" t="n">
        <v>0.2082</v>
      </c>
      <c r="E128" s="8" t="n">
        <v>0.21</v>
      </c>
      <c r="F128" s="8" t="n">
        <v>994</v>
      </c>
    </row>
    <row r="129" customFormat="false" ht="15" hidden="false" customHeight="true" outlineLevel="0" collapsed="false">
      <c r="A129" s="8" t="n">
        <v>2024</v>
      </c>
      <c r="B129" s="8" t="s">
        <v>89</v>
      </c>
      <c r="C129" s="8" t="s">
        <v>81</v>
      </c>
      <c r="D129" s="9" t="n">
        <v>0.1397</v>
      </c>
      <c r="E129" s="8" t="n">
        <v>0.21</v>
      </c>
      <c r="F129" s="8" t="n">
        <v>1081</v>
      </c>
    </row>
    <row r="130" customFormat="false" ht="15" hidden="false" customHeight="true" outlineLevel="0" collapsed="false">
      <c r="A130" s="8" t="n">
        <v>2018</v>
      </c>
      <c r="B130" s="8" t="s">
        <v>90</v>
      </c>
      <c r="C130" s="8" t="s">
        <v>81</v>
      </c>
      <c r="D130" s="9" t="n">
        <v>-0.2263</v>
      </c>
      <c r="E130" s="8" t="n">
        <v>0.29</v>
      </c>
      <c r="F130" s="8" t="n">
        <v>2236</v>
      </c>
    </row>
    <row r="131" customFormat="false" ht="15" hidden="false" customHeight="true" outlineLevel="0" collapsed="false">
      <c r="A131" s="8" t="n">
        <v>2020</v>
      </c>
      <c r="B131" s="8" t="s">
        <v>90</v>
      </c>
      <c r="C131" s="8" t="s">
        <v>81</v>
      </c>
      <c r="D131" s="9" t="n">
        <v>-0.2628</v>
      </c>
      <c r="E131" s="8" t="n">
        <v>0.28</v>
      </c>
      <c r="F131" s="8" t="n">
        <v>2363</v>
      </c>
    </row>
    <row r="132" customFormat="false" ht="15" hidden="false" customHeight="true" outlineLevel="0" collapsed="false">
      <c r="A132" s="8" t="n">
        <v>2022</v>
      </c>
      <c r="B132" s="8" t="s">
        <v>90</v>
      </c>
      <c r="C132" s="8" t="s">
        <v>81</v>
      </c>
      <c r="D132" s="9" t="n">
        <v>-0.2975</v>
      </c>
      <c r="E132" s="8" t="n">
        <v>0.29</v>
      </c>
      <c r="F132" s="8" t="n">
        <v>2397</v>
      </c>
    </row>
    <row r="133" customFormat="false" ht="15" hidden="false" customHeight="true" outlineLevel="0" collapsed="false">
      <c r="A133" s="8" t="n">
        <v>2024</v>
      </c>
      <c r="B133" s="8" t="s">
        <v>90</v>
      </c>
      <c r="C133" s="8" t="s">
        <v>81</v>
      </c>
      <c r="D133" s="9" t="n">
        <v>-0.3391</v>
      </c>
      <c r="E133" s="8" t="n">
        <v>0.27</v>
      </c>
      <c r="F133" s="8" t="n">
        <v>2501</v>
      </c>
    </row>
    <row r="134" customFormat="false" ht="15" hidden="false" customHeight="true" outlineLevel="0" collapsed="false">
      <c r="A134" s="8" t="n">
        <v>2018</v>
      </c>
      <c r="B134" s="8" t="s">
        <v>91</v>
      </c>
      <c r="C134" s="8" t="s">
        <v>81</v>
      </c>
      <c r="D134" s="9" t="n">
        <v>-0.06</v>
      </c>
      <c r="E134" s="8" t="n">
        <v>0.48</v>
      </c>
      <c r="F134" s="8" t="n">
        <v>22507</v>
      </c>
    </row>
    <row r="135" customFormat="false" ht="15" hidden="false" customHeight="true" outlineLevel="0" collapsed="false">
      <c r="A135" s="8" t="n">
        <v>2020</v>
      </c>
      <c r="B135" s="8" t="s">
        <v>91</v>
      </c>
      <c r="C135" s="8" t="s">
        <v>81</v>
      </c>
      <c r="D135" s="9" t="n">
        <v>-0.0343</v>
      </c>
      <c r="E135" s="8" t="n">
        <v>0.47</v>
      </c>
      <c r="F135" s="8" t="n">
        <v>24204</v>
      </c>
    </row>
    <row r="136" customFormat="false" ht="15" hidden="false" customHeight="true" outlineLevel="0" collapsed="false">
      <c r="A136" s="8" t="n">
        <v>2022</v>
      </c>
      <c r="B136" s="8" t="s">
        <v>91</v>
      </c>
      <c r="C136" s="8" t="s">
        <v>81</v>
      </c>
      <c r="D136" s="9" t="n">
        <v>-0.0289</v>
      </c>
      <c r="E136" s="8" t="n">
        <v>0.5</v>
      </c>
      <c r="F136" s="8" t="n">
        <v>24073</v>
      </c>
    </row>
    <row r="137" customFormat="false" ht="15" hidden="false" customHeight="true" outlineLevel="0" collapsed="false">
      <c r="A137" s="8" t="n">
        <v>2024</v>
      </c>
      <c r="B137" s="8" t="s">
        <v>91</v>
      </c>
      <c r="C137" s="8" t="s">
        <v>81</v>
      </c>
      <c r="D137" s="9" t="n">
        <v>-0.0426</v>
      </c>
      <c r="E137" s="8" t="n">
        <v>0.53</v>
      </c>
      <c r="F137" s="8" t="n">
        <v>24986</v>
      </c>
    </row>
    <row r="138" customFormat="false" ht="15" hidden="false" customHeight="true" outlineLevel="0" collapsed="false">
      <c r="A138" s="8" t="n">
        <v>2018</v>
      </c>
      <c r="B138" s="8" t="s">
        <v>92</v>
      </c>
      <c r="C138" s="8" t="s">
        <v>81</v>
      </c>
      <c r="D138" s="9" t="n">
        <v>-0.2235</v>
      </c>
      <c r="E138" s="8" t="n">
        <v>0.4</v>
      </c>
      <c r="F138" s="8" t="n">
        <v>2769</v>
      </c>
    </row>
    <row r="139" customFormat="false" ht="15" hidden="false" customHeight="true" outlineLevel="0" collapsed="false">
      <c r="A139" s="8" t="n">
        <v>2020</v>
      </c>
      <c r="B139" s="8" t="s">
        <v>92</v>
      </c>
      <c r="C139" s="8" t="s">
        <v>81</v>
      </c>
      <c r="D139" s="9" t="n">
        <v>-0.2306</v>
      </c>
      <c r="E139" s="8" t="n">
        <v>0.37</v>
      </c>
      <c r="F139" s="8" t="n">
        <v>2992</v>
      </c>
    </row>
    <row r="140" customFormat="false" ht="15" hidden="false" customHeight="true" outlineLevel="0" collapsed="false">
      <c r="A140" s="8" t="n">
        <v>2022</v>
      </c>
      <c r="B140" s="8" t="s">
        <v>92</v>
      </c>
      <c r="C140" s="8" t="s">
        <v>81</v>
      </c>
      <c r="D140" s="9" t="n">
        <v>-0.2463</v>
      </c>
      <c r="E140" s="8" t="n">
        <v>0.44</v>
      </c>
      <c r="F140" s="8" t="n">
        <v>3008</v>
      </c>
    </row>
    <row r="141" customFormat="false" ht="15" hidden="false" customHeight="true" outlineLevel="0" collapsed="false">
      <c r="A141" s="8" t="n">
        <v>2024</v>
      </c>
      <c r="B141" s="8" t="s">
        <v>92</v>
      </c>
      <c r="C141" s="8" t="s">
        <v>81</v>
      </c>
      <c r="D141" s="9" t="n">
        <v>-0.2719</v>
      </c>
      <c r="E141" s="8" t="n">
        <v>0.41</v>
      </c>
      <c r="F141" s="8" t="n">
        <v>3093</v>
      </c>
    </row>
    <row r="142" customFormat="false" ht="15" hidden="false" customHeight="true" outlineLevel="0" collapsed="false">
      <c r="A142" s="8" t="n">
        <v>2018</v>
      </c>
      <c r="B142" s="8" t="s">
        <v>93</v>
      </c>
      <c r="C142" s="8" t="s">
        <v>81</v>
      </c>
      <c r="D142" s="9" t="n">
        <v>-0.2902</v>
      </c>
      <c r="E142" s="8" t="n">
        <v>0.46</v>
      </c>
      <c r="F142" s="8" t="n">
        <v>1637</v>
      </c>
    </row>
    <row r="143" customFormat="false" ht="15" hidden="false" customHeight="true" outlineLevel="0" collapsed="false">
      <c r="A143" s="8" t="n">
        <v>2020</v>
      </c>
      <c r="B143" s="8" t="s">
        <v>93</v>
      </c>
      <c r="C143" s="8" t="s">
        <v>81</v>
      </c>
      <c r="D143" s="9" t="n">
        <v>-0.2654</v>
      </c>
      <c r="E143" s="8" t="n">
        <v>0.48</v>
      </c>
      <c r="F143" s="8" t="n">
        <v>1756</v>
      </c>
    </row>
    <row r="144" customFormat="false" ht="15" hidden="false" customHeight="true" outlineLevel="0" collapsed="false">
      <c r="A144" s="8" t="n">
        <v>2022</v>
      </c>
      <c r="B144" s="8" t="s">
        <v>93</v>
      </c>
      <c r="C144" s="8" t="s">
        <v>81</v>
      </c>
      <c r="D144" s="9" t="n">
        <v>-0.2801</v>
      </c>
      <c r="E144" s="8" t="n">
        <v>0.48</v>
      </c>
      <c r="F144" s="8" t="n">
        <v>1767</v>
      </c>
    </row>
    <row r="145" customFormat="false" ht="15" hidden="false" customHeight="true" outlineLevel="0" collapsed="false">
      <c r="A145" s="8" t="n">
        <v>2024</v>
      </c>
      <c r="B145" s="8" t="s">
        <v>93</v>
      </c>
      <c r="C145" s="8" t="s">
        <v>81</v>
      </c>
      <c r="D145" s="9" t="n">
        <v>-0.3106</v>
      </c>
      <c r="E145" s="8" t="n">
        <v>0.48</v>
      </c>
      <c r="F145" s="8" t="n">
        <v>1845</v>
      </c>
    </row>
    <row r="146" customFormat="false" ht="15" hidden="false" customHeight="true" outlineLevel="0" collapsed="false">
      <c r="A146" s="8" t="n">
        <v>2018</v>
      </c>
      <c r="B146" s="8" t="s">
        <v>94</v>
      </c>
      <c r="C146" s="8" t="s">
        <v>81</v>
      </c>
      <c r="D146" s="9" t="n">
        <v>-0.2565</v>
      </c>
      <c r="E146" s="8" t="n">
        <v>0.34</v>
      </c>
      <c r="F146" s="8" t="n">
        <v>2889</v>
      </c>
    </row>
    <row r="147" customFormat="false" ht="15" hidden="false" customHeight="true" outlineLevel="0" collapsed="false">
      <c r="A147" s="8" t="n">
        <v>2020</v>
      </c>
      <c r="B147" s="8" t="s">
        <v>94</v>
      </c>
      <c r="C147" s="8" t="s">
        <v>81</v>
      </c>
      <c r="D147" s="9" t="n">
        <v>-0.2879</v>
      </c>
      <c r="E147" s="8" t="n">
        <v>0.3</v>
      </c>
      <c r="F147" s="8" t="n">
        <v>3109</v>
      </c>
    </row>
    <row r="148" customFormat="false" ht="15" hidden="false" customHeight="true" outlineLevel="0" collapsed="false">
      <c r="A148" s="8" t="n">
        <v>2022</v>
      </c>
      <c r="B148" s="8" t="s">
        <v>94</v>
      </c>
      <c r="C148" s="8" t="s">
        <v>81</v>
      </c>
      <c r="D148" s="9" t="n">
        <v>-0.318</v>
      </c>
      <c r="E148" s="8" t="n">
        <v>0.25</v>
      </c>
      <c r="F148" s="8" t="n">
        <v>3101</v>
      </c>
    </row>
    <row r="149" customFormat="false" ht="15" hidden="false" customHeight="true" outlineLevel="0" collapsed="false">
      <c r="A149" s="8" t="n">
        <v>2024</v>
      </c>
      <c r="B149" s="8" t="s">
        <v>94</v>
      </c>
      <c r="C149" s="8" t="s">
        <v>81</v>
      </c>
      <c r="D149" s="9" t="n">
        <v>-0.3559</v>
      </c>
      <c r="E149" s="8" t="n">
        <v>0.33</v>
      </c>
      <c r="F149" s="8" t="n">
        <v>3192</v>
      </c>
    </row>
    <row r="150" customFormat="false" ht="15" hidden="false" customHeight="true" outlineLevel="0" collapsed="false">
      <c r="A150" s="8" t="n">
        <v>2018</v>
      </c>
      <c r="B150" s="8" t="s">
        <v>95</v>
      </c>
      <c r="C150" s="8" t="s">
        <v>81</v>
      </c>
      <c r="D150" s="9" t="n">
        <v>0.045</v>
      </c>
      <c r="E150" s="8" t="n">
        <v>0.32</v>
      </c>
      <c r="F150" s="8" t="n">
        <v>2179</v>
      </c>
    </row>
    <row r="151" customFormat="false" ht="15" hidden="false" customHeight="true" outlineLevel="0" collapsed="false">
      <c r="A151" s="8" t="n">
        <v>2020</v>
      </c>
      <c r="B151" s="8" t="s">
        <v>95</v>
      </c>
      <c r="C151" s="8" t="s">
        <v>81</v>
      </c>
      <c r="D151" s="9" t="n">
        <v>0.0718</v>
      </c>
      <c r="E151" s="8" t="n">
        <v>0.32</v>
      </c>
      <c r="F151" s="8" t="n">
        <v>2355</v>
      </c>
    </row>
    <row r="152" customFormat="false" ht="15" hidden="false" customHeight="true" outlineLevel="0" collapsed="false">
      <c r="A152" s="8" t="n">
        <v>2022</v>
      </c>
      <c r="B152" s="8" t="s">
        <v>95</v>
      </c>
      <c r="C152" s="8" t="s">
        <v>81</v>
      </c>
      <c r="D152" s="9" t="n">
        <v>0.0544</v>
      </c>
      <c r="E152" s="8" t="n">
        <v>0.32</v>
      </c>
      <c r="F152" s="8" t="n">
        <v>2298</v>
      </c>
    </row>
    <row r="153" customFormat="false" ht="15" hidden="false" customHeight="true" outlineLevel="0" collapsed="false">
      <c r="A153" s="8" t="n">
        <v>2024</v>
      </c>
      <c r="B153" s="8" t="s">
        <v>95</v>
      </c>
      <c r="C153" s="8" t="s">
        <v>81</v>
      </c>
      <c r="D153" s="9" t="n">
        <v>0.035</v>
      </c>
      <c r="E153" s="8" t="n">
        <v>0.32</v>
      </c>
      <c r="F153" s="8" t="n">
        <v>2401</v>
      </c>
    </row>
    <row r="154" customFormat="false" ht="15" hidden="false" customHeight="true" outlineLevel="0" collapsed="false">
      <c r="A154" s="8" t="n">
        <v>2018</v>
      </c>
      <c r="B154" s="8" t="s">
        <v>96</v>
      </c>
      <c r="C154" s="8" t="s">
        <v>81</v>
      </c>
      <c r="D154" s="9" t="n">
        <v>-0.121</v>
      </c>
      <c r="E154" s="8" t="n">
        <v>0.34</v>
      </c>
      <c r="F154" s="8" t="n">
        <v>11004</v>
      </c>
    </row>
    <row r="155" customFormat="false" ht="15" hidden="false" customHeight="true" outlineLevel="0" collapsed="false">
      <c r="A155" s="8" t="n">
        <v>2020</v>
      </c>
      <c r="B155" s="8" t="s">
        <v>96</v>
      </c>
      <c r="C155" s="8" t="s">
        <v>81</v>
      </c>
      <c r="D155" s="9" t="n">
        <v>-0.136</v>
      </c>
      <c r="E155" s="8" t="n">
        <v>0.35</v>
      </c>
      <c r="F155" s="8" t="n">
        <v>11781</v>
      </c>
    </row>
    <row r="156" customFormat="false" ht="15" hidden="false" customHeight="true" outlineLevel="0" collapsed="false">
      <c r="A156" s="8" t="n">
        <v>2022</v>
      </c>
      <c r="B156" s="8" t="s">
        <v>96</v>
      </c>
      <c r="C156" s="8" t="s">
        <v>81</v>
      </c>
      <c r="D156" s="9" t="n">
        <v>-0.1519</v>
      </c>
      <c r="E156" s="8" t="n">
        <v>0.39</v>
      </c>
      <c r="F156" s="8" t="n">
        <v>11650</v>
      </c>
    </row>
    <row r="157" customFormat="false" ht="15" hidden="false" customHeight="true" outlineLevel="0" collapsed="false">
      <c r="A157" s="8" t="n">
        <v>2024</v>
      </c>
      <c r="B157" s="8" t="s">
        <v>96</v>
      </c>
      <c r="C157" s="8" t="s">
        <v>81</v>
      </c>
      <c r="D157" s="9" t="n">
        <v>-0.1715</v>
      </c>
      <c r="E157" s="8" t="n">
        <v>0.41</v>
      </c>
      <c r="F157" s="8" t="n">
        <v>12116</v>
      </c>
    </row>
    <row r="158" customFormat="false" ht="15" hidden="false" customHeight="true" outlineLevel="0" collapsed="false">
      <c r="A158" s="8" t="n">
        <v>2018</v>
      </c>
      <c r="B158" s="8" t="s">
        <v>97</v>
      </c>
      <c r="C158" s="8" t="s">
        <v>81</v>
      </c>
      <c r="D158" s="9" t="n">
        <v>0.0309</v>
      </c>
      <c r="E158" s="8" t="n">
        <v>0.33</v>
      </c>
      <c r="F158" s="8" t="n">
        <v>9382</v>
      </c>
    </row>
    <row r="159" customFormat="false" ht="15" hidden="false" customHeight="true" outlineLevel="0" collapsed="false">
      <c r="A159" s="8" t="n">
        <v>2020</v>
      </c>
      <c r="B159" s="8" t="s">
        <v>97</v>
      </c>
      <c r="C159" s="8" t="s">
        <v>81</v>
      </c>
      <c r="D159" s="9" t="n">
        <v>0.0279</v>
      </c>
      <c r="E159" s="8" t="n">
        <v>0.33</v>
      </c>
      <c r="F159" s="8" t="n">
        <v>10015</v>
      </c>
    </row>
    <row r="160" customFormat="false" ht="15" hidden="false" customHeight="true" outlineLevel="0" collapsed="false">
      <c r="A160" s="8" t="n">
        <v>2022</v>
      </c>
      <c r="B160" s="8" t="s">
        <v>97</v>
      </c>
      <c r="C160" s="8" t="s">
        <v>81</v>
      </c>
      <c r="D160" s="9" t="n">
        <v>0.0358</v>
      </c>
      <c r="E160" s="8" t="n">
        <v>0.34</v>
      </c>
      <c r="F160" s="8" t="n">
        <v>9762</v>
      </c>
    </row>
    <row r="161" customFormat="false" ht="15" hidden="false" customHeight="true" outlineLevel="0" collapsed="false">
      <c r="A161" s="8" t="n">
        <v>2024</v>
      </c>
      <c r="B161" s="8" t="s">
        <v>97</v>
      </c>
      <c r="C161" s="8" t="s">
        <v>81</v>
      </c>
      <c r="D161" s="9" t="n">
        <v>0.0167</v>
      </c>
      <c r="E161" s="8" t="n">
        <v>0.38</v>
      </c>
      <c r="F161" s="8" t="n">
        <v>10008</v>
      </c>
    </row>
    <row r="162" customFormat="false" ht="15" hidden="false" customHeight="true" outlineLevel="0" collapsed="false">
      <c r="A162" s="8" t="n">
        <v>2018</v>
      </c>
      <c r="B162" s="8" t="s">
        <v>98</v>
      </c>
      <c r="C162" s="8" t="s">
        <v>81</v>
      </c>
      <c r="D162" s="9" t="n">
        <v>0.0195</v>
      </c>
      <c r="E162" s="8" t="n">
        <v>0.13</v>
      </c>
      <c r="F162" s="8" t="n">
        <v>2262</v>
      </c>
    </row>
    <row r="163" customFormat="false" ht="15" hidden="false" customHeight="true" outlineLevel="0" collapsed="false">
      <c r="A163" s="8" t="n">
        <v>2020</v>
      </c>
      <c r="B163" s="8" t="s">
        <v>98</v>
      </c>
      <c r="C163" s="8" t="s">
        <v>81</v>
      </c>
      <c r="D163" s="9" t="n">
        <v>-0.0537</v>
      </c>
      <c r="E163" s="8" t="n">
        <v>0.15</v>
      </c>
      <c r="F163" s="8" t="n">
        <v>2550</v>
      </c>
    </row>
    <row r="164" customFormat="false" ht="15" hidden="false" customHeight="true" outlineLevel="0" collapsed="false">
      <c r="A164" s="8" t="n">
        <v>2022</v>
      </c>
      <c r="B164" s="8" t="s">
        <v>98</v>
      </c>
      <c r="C164" s="8" t="s">
        <v>81</v>
      </c>
      <c r="D164" s="9" t="n">
        <v>-0.0462</v>
      </c>
      <c r="E164" s="8" t="n">
        <v>0.14</v>
      </c>
      <c r="F164" s="8" t="n">
        <v>2553</v>
      </c>
    </row>
    <row r="165" customFormat="false" ht="15" hidden="false" customHeight="true" outlineLevel="0" collapsed="false">
      <c r="A165" s="8" t="n">
        <v>2024</v>
      </c>
      <c r="B165" s="8" t="s">
        <v>98</v>
      </c>
      <c r="C165" s="8" t="s">
        <v>81</v>
      </c>
      <c r="D165" s="9" t="n">
        <v>-0.089</v>
      </c>
      <c r="E165" s="8" t="n">
        <v>0.13</v>
      </c>
      <c r="F165" s="8" t="n">
        <v>2686</v>
      </c>
    </row>
    <row r="166" customFormat="false" ht="15" hidden="false" customHeight="true" outlineLevel="0" collapsed="false">
      <c r="A166" s="8" t="n">
        <v>2018</v>
      </c>
      <c r="B166" s="8" t="s">
        <v>99</v>
      </c>
      <c r="C166" s="8" t="s">
        <v>81</v>
      </c>
      <c r="D166" s="9" t="n">
        <v>0.0531</v>
      </c>
      <c r="E166" s="8" t="n">
        <v>0.44</v>
      </c>
      <c r="F166" s="8" t="n">
        <v>14189</v>
      </c>
    </row>
    <row r="167" customFormat="false" ht="15" hidden="false" customHeight="true" outlineLevel="0" collapsed="false">
      <c r="A167" s="8" t="n">
        <v>2020</v>
      </c>
      <c r="B167" s="8" t="s">
        <v>99</v>
      </c>
      <c r="C167" s="8" t="s">
        <v>81</v>
      </c>
      <c r="D167" s="9" t="n">
        <v>0.0624</v>
      </c>
      <c r="E167" s="8" t="n">
        <v>0.44</v>
      </c>
      <c r="F167" s="8" t="n">
        <v>15418</v>
      </c>
    </row>
    <row r="168" customFormat="false" ht="15" hidden="false" customHeight="true" outlineLevel="0" collapsed="false">
      <c r="A168" s="8" t="n">
        <v>2022</v>
      </c>
      <c r="B168" s="8" t="s">
        <v>99</v>
      </c>
      <c r="C168" s="8" t="s">
        <v>81</v>
      </c>
      <c r="D168" s="9" t="n">
        <v>0.0713</v>
      </c>
      <c r="E168" s="8" t="n">
        <v>0.43</v>
      </c>
      <c r="F168" s="8" t="n">
        <v>15489</v>
      </c>
    </row>
    <row r="169" customFormat="false" ht="15" hidden="false" customHeight="true" outlineLevel="0" collapsed="false">
      <c r="A169" s="8" t="n">
        <v>2024</v>
      </c>
      <c r="B169" s="8" t="s">
        <v>99</v>
      </c>
      <c r="C169" s="8" t="s">
        <v>81</v>
      </c>
      <c r="D169" s="9" t="n">
        <v>0.0515</v>
      </c>
      <c r="E169" s="8" t="n">
        <v>0.46</v>
      </c>
      <c r="F169" s="8" t="n">
        <v>16248</v>
      </c>
    </row>
    <row r="170" customFormat="false" ht="15" hidden="false" customHeight="true" outlineLevel="0" collapsed="false">
      <c r="A170" s="8" t="n">
        <v>2018</v>
      </c>
      <c r="B170" s="8" t="s">
        <v>100</v>
      </c>
      <c r="C170" s="8" t="s">
        <v>81</v>
      </c>
      <c r="D170" s="9" t="n">
        <v>-0.0264</v>
      </c>
      <c r="E170" s="8" t="n">
        <v>0.49</v>
      </c>
      <c r="F170" s="8" t="n">
        <v>16457</v>
      </c>
    </row>
    <row r="171" customFormat="false" ht="15" hidden="false" customHeight="true" outlineLevel="0" collapsed="false">
      <c r="A171" s="8" t="n">
        <v>2020</v>
      </c>
      <c r="B171" s="8" t="s">
        <v>100</v>
      </c>
      <c r="C171" s="8" t="s">
        <v>81</v>
      </c>
      <c r="D171" s="9" t="n">
        <v>-0.0017</v>
      </c>
      <c r="E171" s="8" t="n">
        <v>0.54</v>
      </c>
      <c r="F171" s="8" t="n">
        <v>18146</v>
      </c>
    </row>
    <row r="172" customFormat="false" ht="15" hidden="false" customHeight="true" outlineLevel="0" collapsed="false">
      <c r="A172" s="8" t="n">
        <v>2022</v>
      </c>
      <c r="B172" s="8" t="s">
        <v>100</v>
      </c>
      <c r="C172" s="8" t="s">
        <v>81</v>
      </c>
      <c r="D172" s="9" t="n">
        <v>0.0109</v>
      </c>
      <c r="E172" s="8" t="n">
        <v>0.53</v>
      </c>
      <c r="F172" s="8" t="n">
        <v>18454</v>
      </c>
    </row>
    <row r="173" customFormat="false" ht="15" hidden="false" customHeight="true" outlineLevel="0" collapsed="false">
      <c r="A173" s="8" t="n">
        <v>2024</v>
      </c>
      <c r="B173" s="8" t="s">
        <v>100</v>
      </c>
      <c r="C173" s="8" t="s">
        <v>81</v>
      </c>
      <c r="D173" s="9" t="n">
        <v>0.0055</v>
      </c>
      <c r="E173" s="8" t="n">
        <v>0.56</v>
      </c>
      <c r="F173" s="8" t="n">
        <v>19965</v>
      </c>
    </row>
    <row r="174" customFormat="false" ht="15" hidden="false" customHeight="true" outlineLevel="0" collapsed="false">
      <c r="A174" s="8" t="n">
        <v>2018</v>
      </c>
      <c r="B174" s="8" t="s">
        <v>101</v>
      </c>
      <c r="C174" s="8" t="s">
        <v>81</v>
      </c>
      <c r="D174" s="9" t="n">
        <v>-0.1212</v>
      </c>
      <c r="E174" s="8" t="n">
        <v>0.38</v>
      </c>
      <c r="F174" s="8" t="n">
        <v>5544</v>
      </c>
    </row>
    <row r="175" customFormat="false" ht="15" hidden="false" customHeight="true" outlineLevel="0" collapsed="false">
      <c r="A175" s="8" t="n">
        <v>2020</v>
      </c>
      <c r="B175" s="8" t="s">
        <v>101</v>
      </c>
      <c r="C175" s="8" t="s">
        <v>81</v>
      </c>
      <c r="D175" s="9" t="n">
        <v>-0.1249</v>
      </c>
      <c r="E175" s="8" t="n">
        <v>0.43</v>
      </c>
      <c r="F175" s="8" t="n">
        <v>6166</v>
      </c>
    </row>
    <row r="176" customFormat="false" ht="15" hidden="false" customHeight="true" outlineLevel="0" collapsed="false">
      <c r="A176" s="8" t="n">
        <v>2022</v>
      </c>
      <c r="B176" s="8" t="s">
        <v>101</v>
      </c>
      <c r="C176" s="8" t="s">
        <v>81</v>
      </c>
      <c r="D176" s="9" t="n">
        <v>-0.1386</v>
      </c>
      <c r="E176" s="8" t="n">
        <v>0.44</v>
      </c>
      <c r="F176" s="8" t="n">
        <v>6305</v>
      </c>
    </row>
    <row r="177" customFormat="false" ht="15" hidden="false" customHeight="true" outlineLevel="0" collapsed="false">
      <c r="A177" s="8" t="n">
        <v>2024</v>
      </c>
      <c r="B177" s="8" t="s">
        <v>101</v>
      </c>
      <c r="C177" s="8" t="s">
        <v>81</v>
      </c>
      <c r="D177" s="9" t="n">
        <v>-0.1603</v>
      </c>
      <c r="E177" s="8" t="n">
        <v>0.44</v>
      </c>
      <c r="F177" s="8" t="n">
        <v>6496</v>
      </c>
    </row>
    <row r="178" customFormat="false" ht="15" hidden="false" customHeight="true" outlineLevel="0" collapsed="false">
      <c r="A178" s="8" t="n">
        <v>2018</v>
      </c>
      <c r="B178" s="8" t="s">
        <v>102</v>
      </c>
      <c r="C178" s="8" t="s">
        <v>81</v>
      </c>
      <c r="D178" s="9" t="n">
        <v>-0.0926</v>
      </c>
      <c r="E178" s="8" t="n">
        <v>0.45</v>
      </c>
      <c r="F178" s="8" t="n">
        <v>11460</v>
      </c>
    </row>
    <row r="179" customFormat="false" ht="15" hidden="false" customHeight="true" outlineLevel="0" collapsed="false">
      <c r="A179" s="8" t="n">
        <v>2020</v>
      </c>
      <c r="B179" s="8" t="s">
        <v>102</v>
      </c>
      <c r="C179" s="8" t="s">
        <v>81</v>
      </c>
      <c r="D179" s="9" t="n">
        <v>-0.0806</v>
      </c>
      <c r="E179" s="8" t="n">
        <v>0.51</v>
      </c>
      <c r="F179" s="8" t="n">
        <v>12425</v>
      </c>
    </row>
    <row r="180" customFormat="false" ht="15" hidden="false" customHeight="true" outlineLevel="0" collapsed="false">
      <c r="A180" s="8" t="n">
        <v>2022</v>
      </c>
      <c r="B180" s="8" t="s">
        <v>102</v>
      </c>
      <c r="C180" s="8" t="s">
        <v>81</v>
      </c>
      <c r="D180" s="9" t="n">
        <v>-0.064</v>
      </c>
      <c r="E180" s="8" t="n">
        <v>0.51</v>
      </c>
      <c r="F180" s="8" t="n">
        <v>12493</v>
      </c>
    </row>
    <row r="181" customFormat="false" ht="15" hidden="false" customHeight="true" outlineLevel="0" collapsed="false">
      <c r="A181" s="8" t="n">
        <v>2024</v>
      </c>
      <c r="B181" s="8" t="s">
        <v>102</v>
      </c>
      <c r="C181" s="8" t="s">
        <v>81</v>
      </c>
      <c r="D181" s="9" t="n">
        <v>-0.0757</v>
      </c>
      <c r="E181" s="8" t="n">
        <v>0.53</v>
      </c>
      <c r="F181" s="8" t="n">
        <v>13470</v>
      </c>
    </row>
    <row r="182" customFormat="false" ht="15" hidden="false" customHeight="true" outlineLevel="0" collapsed="false">
      <c r="A182" s="8" t="n">
        <v>2018</v>
      </c>
      <c r="B182" s="8" t="s">
        <v>103</v>
      </c>
      <c r="C182" s="8" t="s">
        <v>81</v>
      </c>
      <c r="D182" s="9" t="n">
        <v>-0.1627</v>
      </c>
      <c r="E182" s="8" t="n">
        <v>0.23</v>
      </c>
      <c r="F182" s="8" t="n">
        <v>4328</v>
      </c>
    </row>
    <row r="183" customFormat="false" ht="15" hidden="false" customHeight="true" outlineLevel="0" collapsed="false">
      <c r="A183" s="8" t="n">
        <v>2020</v>
      </c>
      <c r="B183" s="8" t="s">
        <v>103</v>
      </c>
      <c r="C183" s="8" t="s">
        <v>81</v>
      </c>
      <c r="D183" s="9" t="n">
        <v>-0.1985</v>
      </c>
      <c r="E183" s="8" t="n">
        <v>0.21</v>
      </c>
      <c r="F183" s="8" t="n">
        <v>4700</v>
      </c>
    </row>
    <row r="184" customFormat="false" ht="15" hidden="false" customHeight="true" outlineLevel="0" collapsed="false">
      <c r="A184" s="8" t="n">
        <v>2022</v>
      </c>
      <c r="B184" s="8" t="s">
        <v>103</v>
      </c>
      <c r="C184" s="8" t="s">
        <v>81</v>
      </c>
      <c r="D184" s="9" t="n">
        <v>-0.2327</v>
      </c>
      <c r="E184" s="8" t="n">
        <v>0.26</v>
      </c>
      <c r="F184" s="8" t="n">
        <v>4655</v>
      </c>
    </row>
    <row r="185" customFormat="false" ht="15" hidden="false" customHeight="true" outlineLevel="0" collapsed="false">
      <c r="A185" s="8" t="n">
        <v>2024</v>
      </c>
      <c r="B185" s="8" t="s">
        <v>103</v>
      </c>
      <c r="C185" s="8" t="s">
        <v>81</v>
      </c>
      <c r="D185" s="9" t="n">
        <v>-0.2784</v>
      </c>
      <c r="E185" s="8" t="n">
        <v>0.24</v>
      </c>
      <c r="F185" s="8" t="n">
        <v>4853</v>
      </c>
    </row>
    <row r="186" customFormat="false" ht="15" hidden="false" customHeight="true" outlineLevel="0" collapsed="false">
      <c r="A186" s="8" t="n">
        <v>2018</v>
      </c>
      <c r="B186" s="8" t="s">
        <v>104</v>
      </c>
      <c r="C186" s="8" t="s">
        <v>81</v>
      </c>
      <c r="D186" s="9" t="n">
        <v>-0.2723</v>
      </c>
      <c r="E186" s="8" t="n">
        <v>0.31</v>
      </c>
      <c r="F186" s="8" t="n">
        <v>3515</v>
      </c>
    </row>
    <row r="187" customFormat="false" ht="15" hidden="false" customHeight="true" outlineLevel="0" collapsed="false">
      <c r="A187" s="8" t="n">
        <v>2020</v>
      </c>
      <c r="B187" s="8" t="s">
        <v>104</v>
      </c>
      <c r="C187" s="8" t="s">
        <v>81</v>
      </c>
      <c r="D187" s="9" t="n">
        <v>-0.2807</v>
      </c>
      <c r="E187" s="8" t="n">
        <v>0.35</v>
      </c>
      <c r="F187" s="8" t="n">
        <v>3758</v>
      </c>
    </row>
    <row r="188" customFormat="false" ht="15" hidden="false" customHeight="true" outlineLevel="0" collapsed="false">
      <c r="A188" s="8" t="n">
        <v>2022</v>
      </c>
      <c r="B188" s="8" t="s">
        <v>104</v>
      </c>
      <c r="C188" s="8" t="s">
        <v>81</v>
      </c>
      <c r="D188" s="9" t="n">
        <v>-0.2921</v>
      </c>
      <c r="E188" s="8" t="n">
        <v>0.37</v>
      </c>
      <c r="F188" s="8" t="n">
        <v>3797</v>
      </c>
    </row>
    <row r="189" customFormat="false" ht="15" hidden="false" customHeight="true" outlineLevel="0" collapsed="false">
      <c r="A189" s="8" t="n">
        <v>2024</v>
      </c>
      <c r="B189" s="8" t="s">
        <v>104</v>
      </c>
      <c r="C189" s="8" t="s">
        <v>81</v>
      </c>
      <c r="D189" s="9" t="n">
        <v>-0.3261</v>
      </c>
      <c r="E189" s="8" t="n">
        <v>0.44</v>
      </c>
      <c r="F189" s="8" t="n">
        <v>3931</v>
      </c>
    </row>
    <row r="190" customFormat="false" ht="15" hidden="false" customHeight="true" outlineLevel="0" collapsed="false">
      <c r="A190" s="8" t="n">
        <v>2018</v>
      </c>
      <c r="B190" s="8" t="s">
        <v>105</v>
      </c>
      <c r="C190" s="8" t="s">
        <v>81</v>
      </c>
      <c r="D190" s="9" t="n">
        <v>0.2122</v>
      </c>
      <c r="E190" s="8" t="n">
        <v>0.26</v>
      </c>
      <c r="F190" s="8" t="n">
        <v>17401</v>
      </c>
    </row>
    <row r="191" customFormat="false" ht="15" hidden="false" customHeight="true" outlineLevel="0" collapsed="false">
      <c r="A191" s="8" t="n">
        <v>2020</v>
      </c>
      <c r="B191" s="8" t="s">
        <v>105</v>
      </c>
      <c r="C191" s="8" t="s">
        <v>81</v>
      </c>
      <c r="D191" s="9" t="n">
        <v>0.1832</v>
      </c>
      <c r="E191" s="8" t="n">
        <v>0.25</v>
      </c>
      <c r="F191" s="8" t="n">
        <v>18938</v>
      </c>
    </row>
    <row r="192" customFormat="false" ht="15" hidden="false" customHeight="true" outlineLevel="0" collapsed="false">
      <c r="A192" s="8" t="n">
        <v>2022</v>
      </c>
      <c r="B192" s="8" t="s">
        <v>105</v>
      </c>
      <c r="C192" s="8" t="s">
        <v>81</v>
      </c>
      <c r="D192" s="9" t="n">
        <v>0.1685</v>
      </c>
      <c r="E192" s="8" t="n">
        <v>0.25</v>
      </c>
      <c r="F192" s="8" t="n">
        <v>18519</v>
      </c>
    </row>
    <row r="193" customFormat="false" ht="15" hidden="false" customHeight="true" outlineLevel="0" collapsed="false">
      <c r="A193" s="8" t="n">
        <v>2024</v>
      </c>
      <c r="B193" s="8" t="s">
        <v>105</v>
      </c>
      <c r="C193" s="8" t="s">
        <v>81</v>
      </c>
      <c r="D193" s="9" t="n">
        <v>0.1176</v>
      </c>
      <c r="E193" s="8" t="n">
        <v>0.27</v>
      </c>
      <c r="F193" s="8" t="n">
        <v>19327</v>
      </c>
    </row>
    <row r="194" customFormat="false" ht="15" hidden="false" customHeight="true" outlineLevel="0" collapsed="false">
      <c r="A194" s="8" t="n">
        <v>2018</v>
      </c>
      <c r="B194" s="8" t="s">
        <v>106</v>
      </c>
      <c r="C194" s="8" t="s">
        <v>107</v>
      </c>
      <c r="D194" s="9" t="n">
        <v>-0.0847</v>
      </c>
      <c r="E194" s="8" t="n">
        <v>0.18</v>
      </c>
      <c r="F194" s="8" t="n">
        <v>1760</v>
      </c>
    </row>
    <row r="195" customFormat="false" ht="15" hidden="false" customHeight="true" outlineLevel="0" collapsed="false">
      <c r="A195" s="8" t="n">
        <v>2020</v>
      </c>
      <c r="B195" s="8" t="s">
        <v>106</v>
      </c>
      <c r="C195" s="8" t="s">
        <v>107</v>
      </c>
      <c r="D195" s="9" t="n">
        <v>-0.1393</v>
      </c>
      <c r="E195" s="8" t="n">
        <v>0.19</v>
      </c>
      <c r="F195" s="8" t="n">
        <v>1931</v>
      </c>
    </row>
    <row r="196" customFormat="false" ht="15" hidden="false" customHeight="true" outlineLevel="0" collapsed="false">
      <c r="A196" s="8" t="n">
        <v>2022</v>
      </c>
      <c r="B196" s="8" t="s">
        <v>106</v>
      </c>
      <c r="C196" s="8" t="s">
        <v>107</v>
      </c>
      <c r="D196" s="9" t="n">
        <v>-0.2008</v>
      </c>
      <c r="E196" s="8" t="n">
        <v>0.22</v>
      </c>
      <c r="F196" s="8" t="n">
        <v>1917</v>
      </c>
    </row>
    <row r="197" customFormat="false" ht="15" hidden="false" customHeight="true" outlineLevel="0" collapsed="false">
      <c r="A197" s="8" t="n">
        <v>2024</v>
      </c>
      <c r="B197" s="8" t="s">
        <v>106</v>
      </c>
      <c r="C197" s="8" t="s">
        <v>107</v>
      </c>
      <c r="D197" s="9" t="n">
        <v>-0.2706</v>
      </c>
      <c r="E197" s="8" t="n">
        <v>0.22</v>
      </c>
      <c r="F197" s="8" t="n">
        <v>2029</v>
      </c>
    </row>
    <row r="198" customFormat="false" ht="15" hidden="false" customHeight="true" outlineLevel="0" collapsed="false">
      <c r="A198" s="8" t="n">
        <v>2018</v>
      </c>
      <c r="B198" s="8" t="s">
        <v>108</v>
      </c>
      <c r="C198" s="8" t="s">
        <v>107</v>
      </c>
      <c r="D198" s="9" t="n">
        <v>-0.0622</v>
      </c>
      <c r="E198" s="8" t="n">
        <v>0.17</v>
      </c>
      <c r="F198" s="8" t="n">
        <v>4760</v>
      </c>
    </row>
    <row r="199" customFormat="false" ht="15" hidden="false" customHeight="true" outlineLevel="0" collapsed="false">
      <c r="A199" s="8" t="n">
        <v>2020</v>
      </c>
      <c r="B199" s="8" t="s">
        <v>108</v>
      </c>
      <c r="C199" s="8" t="s">
        <v>107</v>
      </c>
      <c r="D199" s="9" t="n">
        <v>-0.1237</v>
      </c>
      <c r="E199" s="8" t="n">
        <v>0.15</v>
      </c>
      <c r="F199" s="8" t="n">
        <v>5334</v>
      </c>
    </row>
    <row r="200" customFormat="false" ht="15" hidden="false" customHeight="true" outlineLevel="0" collapsed="false">
      <c r="A200" s="8" t="n">
        <v>2022</v>
      </c>
      <c r="B200" s="8" t="s">
        <v>108</v>
      </c>
      <c r="C200" s="8" t="s">
        <v>107</v>
      </c>
      <c r="D200" s="9" t="n">
        <v>-0.1521</v>
      </c>
      <c r="E200" s="8" t="n">
        <v>0.14</v>
      </c>
      <c r="F200" s="8" t="n">
        <v>5351</v>
      </c>
    </row>
    <row r="201" customFormat="false" ht="15" hidden="false" customHeight="true" outlineLevel="0" collapsed="false">
      <c r="A201" s="8" t="n">
        <v>2024</v>
      </c>
      <c r="B201" s="8" t="s">
        <v>108</v>
      </c>
      <c r="C201" s="8" t="s">
        <v>107</v>
      </c>
      <c r="D201" s="9" t="n">
        <v>-0.2038</v>
      </c>
      <c r="E201" s="8" t="n">
        <v>0.19</v>
      </c>
      <c r="F201" s="8" t="n">
        <v>5678</v>
      </c>
    </row>
    <row r="202" customFormat="false" ht="15" hidden="false" customHeight="true" outlineLevel="0" collapsed="false">
      <c r="A202" s="8" t="n">
        <v>2018</v>
      </c>
      <c r="B202" s="8" t="s">
        <v>109</v>
      </c>
      <c r="C202" s="8" t="s">
        <v>107</v>
      </c>
      <c r="D202" s="9" t="n">
        <v>0</v>
      </c>
      <c r="E202" s="8" t="n">
        <v>0.15</v>
      </c>
      <c r="F202" s="8"/>
    </row>
    <row r="203" customFormat="false" ht="15" hidden="false" customHeight="true" outlineLevel="0" collapsed="false">
      <c r="A203" s="8" t="n">
        <v>2020</v>
      </c>
      <c r="B203" s="8" t="s">
        <v>109</v>
      </c>
      <c r="C203" s="8" t="s">
        <v>107</v>
      </c>
      <c r="D203" s="9" t="n">
        <v>0</v>
      </c>
      <c r="E203" s="8" t="n">
        <v>0.26</v>
      </c>
      <c r="F203" s="8"/>
    </row>
    <row r="204" customFormat="false" ht="15" hidden="false" customHeight="true" outlineLevel="0" collapsed="false">
      <c r="A204" s="8" t="n">
        <v>2022</v>
      </c>
      <c r="B204" s="8" t="s">
        <v>109</v>
      </c>
      <c r="C204" s="8" t="s">
        <v>107</v>
      </c>
      <c r="D204" s="9" t="n">
        <v>-0.1891</v>
      </c>
      <c r="E204" s="8" t="n">
        <v>0.31</v>
      </c>
      <c r="F204" s="8" t="n">
        <v>1777</v>
      </c>
    </row>
    <row r="205" customFormat="false" ht="15" hidden="false" customHeight="true" outlineLevel="0" collapsed="false">
      <c r="A205" s="8" t="n">
        <v>2024</v>
      </c>
      <c r="B205" s="8" t="s">
        <v>109</v>
      </c>
      <c r="C205" s="8" t="s">
        <v>107</v>
      </c>
      <c r="D205" s="9" t="n">
        <v>-0.239</v>
      </c>
      <c r="E205" s="8" t="n">
        <v>0.31</v>
      </c>
      <c r="F205" s="8" t="n">
        <v>1916</v>
      </c>
    </row>
    <row r="206" customFormat="false" ht="15" hidden="false" customHeight="true" outlineLevel="0" collapsed="false">
      <c r="A206" s="8" t="n">
        <v>2018</v>
      </c>
      <c r="B206" s="8" t="s">
        <v>110</v>
      </c>
      <c r="C206" s="8" t="s">
        <v>111</v>
      </c>
      <c r="D206" s="9" t="n">
        <v>-0.0243</v>
      </c>
      <c r="E206" s="8" t="n">
        <v>0.35</v>
      </c>
      <c r="F206" s="8" t="n">
        <v>3711</v>
      </c>
    </row>
    <row r="207" customFormat="false" ht="15" hidden="false" customHeight="true" outlineLevel="0" collapsed="false">
      <c r="A207" s="8" t="n">
        <v>2020</v>
      </c>
      <c r="B207" s="8" t="s">
        <v>110</v>
      </c>
      <c r="C207" s="8" t="s">
        <v>111</v>
      </c>
      <c r="D207" s="9" t="n">
        <v>-0.0328</v>
      </c>
      <c r="E207" s="8" t="n">
        <v>0.4</v>
      </c>
      <c r="F207" s="8" t="n">
        <v>4114</v>
      </c>
    </row>
    <row r="208" customFormat="false" ht="15" hidden="false" customHeight="true" outlineLevel="0" collapsed="false">
      <c r="A208" s="8" t="n">
        <v>2022</v>
      </c>
      <c r="B208" s="8" t="s">
        <v>110</v>
      </c>
      <c r="C208" s="8" t="s">
        <v>111</v>
      </c>
      <c r="D208" s="9" t="n">
        <v>-0.0478</v>
      </c>
      <c r="E208" s="8" t="n">
        <v>0.36</v>
      </c>
      <c r="F208" s="8" t="n">
        <v>4139</v>
      </c>
    </row>
    <row r="209" customFormat="false" ht="15" hidden="false" customHeight="true" outlineLevel="0" collapsed="false">
      <c r="A209" s="8" t="n">
        <v>2024</v>
      </c>
      <c r="B209" s="8" t="s">
        <v>110</v>
      </c>
      <c r="C209" s="8" t="s">
        <v>111</v>
      </c>
      <c r="D209" s="9" t="n">
        <v>-0.0833</v>
      </c>
      <c r="E209" s="8" t="n">
        <v>0.31</v>
      </c>
      <c r="F209" s="8" t="n">
        <v>4300</v>
      </c>
    </row>
    <row r="210" customFormat="false" ht="15" hidden="false" customHeight="true" outlineLevel="0" collapsed="false">
      <c r="A210" s="8" t="n">
        <v>2018</v>
      </c>
      <c r="B210" s="8" t="s">
        <v>112</v>
      </c>
      <c r="C210" s="8" t="s">
        <v>111</v>
      </c>
      <c r="D210" s="9" t="n">
        <v>0.0243</v>
      </c>
      <c r="E210" s="8" t="n">
        <v>0.15</v>
      </c>
      <c r="F210" s="8" t="n">
        <v>3171</v>
      </c>
    </row>
    <row r="211" customFormat="false" ht="15" hidden="false" customHeight="true" outlineLevel="0" collapsed="false">
      <c r="A211" s="8" t="n">
        <v>2020</v>
      </c>
      <c r="B211" s="8" t="s">
        <v>112</v>
      </c>
      <c r="C211" s="8" t="s">
        <v>111</v>
      </c>
      <c r="D211" s="9" t="n">
        <v>-0.0213</v>
      </c>
      <c r="E211" s="8" t="n">
        <v>0.16</v>
      </c>
      <c r="F211" s="8" t="n">
        <v>3382</v>
      </c>
    </row>
    <row r="212" customFormat="false" ht="15" hidden="false" customHeight="true" outlineLevel="0" collapsed="false">
      <c r="A212" s="8" t="n">
        <v>2022</v>
      </c>
      <c r="B212" s="8" t="s">
        <v>112</v>
      </c>
      <c r="C212" s="8" t="s">
        <v>111</v>
      </c>
      <c r="D212" s="9" t="n">
        <v>-0.0543</v>
      </c>
      <c r="E212" s="8" t="n">
        <v>0.18</v>
      </c>
      <c r="F212" s="8" t="n">
        <v>3370</v>
      </c>
    </row>
    <row r="213" customFormat="false" ht="15" hidden="false" customHeight="true" outlineLevel="0" collapsed="false">
      <c r="A213" s="8" t="n">
        <v>2024</v>
      </c>
      <c r="B213" s="8" t="s">
        <v>112</v>
      </c>
      <c r="C213" s="8" t="s">
        <v>111</v>
      </c>
      <c r="D213" s="9" t="n">
        <v>-0.1008</v>
      </c>
      <c r="E213" s="8" t="n">
        <v>0.23</v>
      </c>
      <c r="F213" s="8" t="n">
        <v>3424</v>
      </c>
    </row>
    <row r="214" customFormat="false" ht="15" hidden="false" customHeight="true" outlineLevel="0" collapsed="false">
      <c r="A214" s="8" t="n">
        <v>2018</v>
      </c>
      <c r="B214" s="8" t="s">
        <v>113</v>
      </c>
      <c r="C214" s="8" t="s">
        <v>111</v>
      </c>
      <c r="D214" s="9" t="n">
        <v>0.0444</v>
      </c>
      <c r="E214" s="8" t="n">
        <v>0.18</v>
      </c>
      <c r="F214" s="8" t="n">
        <v>1599</v>
      </c>
    </row>
    <row r="215" customFormat="false" ht="15" hidden="false" customHeight="true" outlineLevel="0" collapsed="false">
      <c r="A215" s="8" t="n">
        <v>2020</v>
      </c>
      <c r="B215" s="8" t="s">
        <v>113</v>
      </c>
      <c r="C215" s="8" t="s">
        <v>111</v>
      </c>
      <c r="D215" s="9" t="n">
        <v>0.0107</v>
      </c>
      <c r="E215" s="8" t="n">
        <v>0.19</v>
      </c>
      <c r="F215" s="8" t="n">
        <v>1770</v>
      </c>
    </row>
    <row r="216" customFormat="false" ht="15" hidden="false" customHeight="true" outlineLevel="0" collapsed="false">
      <c r="A216" s="8" t="n">
        <v>2022</v>
      </c>
      <c r="B216" s="8" t="s">
        <v>113</v>
      </c>
      <c r="C216" s="8" t="s">
        <v>111</v>
      </c>
      <c r="D216" s="9" t="n">
        <v>0.0017</v>
      </c>
      <c r="E216" s="8" t="n">
        <v>0.21</v>
      </c>
      <c r="F216" s="8" t="n">
        <v>1801</v>
      </c>
    </row>
    <row r="217" customFormat="false" ht="15" hidden="false" customHeight="true" outlineLevel="0" collapsed="false">
      <c r="A217" s="8" t="n">
        <v>2024</v>
      </c>
      <c r="B217" s="8" t="s">
        <v>113</v>
      </c>
      <c r="C217" s="8" t="s">
        <v>111</v>
      </c>
      <c r="D217" s="9" t="n">
        <v>-0.0347</v>
      </c>
      <c r="E217" s="8" t="n">
        <v>0.25</v>
      </c>
      <c r="F217" s="8" t="n">
        <v>1903</v>
      </c>
    </row>
    <row r="218" customFormat="false" ht="15" hidden="false" customHeight="true" outlineLevel="0" collapsed="false">
      <c r="A218" s="8" t="n">
        <v>2018</v>
      </c>
      <c r="B218" s="8" t="s">
        <v>83</v>
      </c>
      <c r="C218" s="8" t="s">
        <v>111</v>
      </c>
      <c r="D218" s="9" t="n">
        <v>0.2703</v>
      </c>
      <c r="E218" s="8" t="n">
        <v>0.37</v>
      </c>
      <c r="F218" s="8" t="n">
        <v>55293</v>
      </c>
    </row>
    <row r="219" customFormat="false" ht="15" hidden="false" customHeight="true" outlineLevel="0" collapsed="false">
      <c r="A219" s="8" t="n">
        <v>2020</v>
      </c>
      <c r="B219" s="8" t="s">
        <v>83</v>
      </c>
      <c r="C219" s="8" t="s">
        <v>111</v>
      </c>
      <c r="D219" s="9" t="n">
        <v>0.2681</v>
      </c>
      <c r="E219" s="8" t="n">
        <v>0.42</v>
      </c>
      <c r="F219" s="8" t="n">
        <v>59861</v>
      </c>
    </row>
    <row r="220" customFormat="false" ht="15" hidden="false" customHeight="true" outlineLevel="0" collapsed="false">
      <c r="A220" s="8" t="n">
        <v>2022</v>
      </c>
      <c r="B220" s="8" t="s">
        <v>83</v>
      </c>
      <c r="C220" s="8" t="s">
        <v>111</v>
      </c>
      <c r="D220" s="9" t="n">
        <v>0.2633</v>
      </c>
      <c r="E220" s="8" t="n">
        <v>0.43</v>
      </c>
      <c r="F220" s="8" t="n">
        <v>58332</v>
      </c>
    </row>
    <row r="221" customFormat="false" ht="15" hidden="false" customHeight="true" outlineLevel="0" collapsed="false">
      <c r="A221" s="8" t="n">
        <v>2024</v>
      </c>
      <c r="B221" s="8" t="s">
        <v>83</v>
      </c>
      <c r="C221" s="8" t="s">
        <v>111</v>
      </c>
      <c r="D221" s="9" t="n">
        <v>0.2407</v>
      </c>
      <c r="E221" s="8" t="n">
        <v>0.47</v>
      </c>
      <c r="F221" s="8" t="n">
        <v>61641</v>
      </c>
    </row>
    <row r="222" customFormat="false" ht="15" hidden="false" customHeight="true" outlineLevel="0" collapsed="false">
      <c r="A222" s="8" t="n">
        <v>2018</v>
      </c>
      <c r="B222" s="8" t="s">
        <v>114</v>
      </c>
      <c r="C222" s="8" t="s">
        <v>111</v>
      </c>
      <c r="D222" s="9" t="n">
        <v>0.2703</v>
      </c>
      <c r="E222" s="8" t="n">
        <v>0.37</v>
      </c>
      <c r="F222" s="8" t="n">
        <v>55293</v>
      </c>
    </row>
    <row r="223" customFormat="false" ht="15" hidden="false" customHeight="true" outlineLevel="0" collapsed="false">
      <c r="A223" s="8" t="n">
        <v>2020</v>
      </c>
      <c r="B223" s="8" t="s">
        <v>114</v>
      </c>
      <c r="C223" s="8" t="s">
        <v>111</v>
      </c>
      <c r="D223" s="9" t="n">
        <v>0.2681</v>
      </c>
      <c r="E223" s="8" t="n">
        <v>0.42</v>
      </c>
      <c r="F223" s="8" t="n">
        <v>59861</v>
      </c>
    </row>
    <row r="224" customFormat="false" ht="15" hidden="false" customHeight="true" outlineLevel="0" collapsed="false">
      <c r="A224" s="8" t="n">
        <v>2022</v>
      </c>
      <c r="B224" s="8" t="s">
        <v>114</v>
      </c>
      <c r="C224" s="8" t="s">
        <v>111</v>
      </c>
      <c r="D224" s="9" t="n">
        <v>0.2633</v>
      </c>
      <c r="E224" s="8" t="n">
        <v>0.43</v>
      </c>
      <c r="F224" s="8" t="n">
        <v>58332</v>
      </c>
    </row>
    <row r="225" customFormat="false" ht="15" hidden="false" customHeight="true" outlineLevel="0" collapsed="false">
      <c r="A225" s="8" t="n">
        <v>2024</v>
      </c>
      <c r="B225" s="8" t="s">
        <v>114</v>
      </c>
      <c r="C225" s="8" t="s">
        <v>111</v>
      </c>
      <c r="D225" s="9" t="n">
        <v>0.2407</v>
      </c>
      <c r="E225" s="8" t="n">
        <v>0.47</v>
      </c>
      <c r="F225" s="8" t="n">
        <v>61641</v>
      </c>
    </row>
    <row r="226" customFormat="false" ht="15" hidden="false" customHeight="true" outlineLevel="0" collapsed="false">
      <c r="A226" s="8" t="n">
        <v>2018</v>
      </c>
      <c r="B226" s="8" t="s">
        <v>115</v>
      </c>
      <c r="C226" s="8" t="s">
        <v>111</v>
      </c>
      <c r="D226" s="9" t="n">
        <v>-0.1323</v>
      </c>
      <c r="E226" s="8" t="n">
        <v>0.32</v>
      </c>
      <c r="F226" s="8" t="n">
        <v>6115</v>
      </c>
    </row>
    <row r="227" customFormat="false" ht="15" hidden="false" customHeight="true" outlineLevel="0" collapsed="false">
      <c r="A227" s="8" t="n">
        <v>2020</v>
      </c>
      <c r="B227" s="8" t="s">
        <v>115</v>
      </c>
      <c r="C227" s="8" t="s">
        <v>111</v>
      </c>
      <c r="D227" s="9" t="n">
        <v>-0.1637</v>
      </c>
      <c r="E227" s="8" t="n">
        <v>0.37</v>
      </c>
      <c r="F227" s="8" t="n">
        <v>6605</v>
      </c>
    </row>
    <row r="228" customFormat="false" ht="15" hidden="false" customHeight="true" outlineLevel="0" collapsed="false">
      <c r="A228" s="8" t="n">
        <v>2022</v>
      </c>
      <c r="B228" s="8" t="s">
        <v>115</v>
      </c>
      <c r="C228" s="8" t="s">
        <v>111</v>
      </c>
      <c r="D228" s="9" t="n">
        <v>-0.1881</v>
      </c>
      <c r="E228" s="8" t="n">
        <v>0.41</v>
      </c>
      <c r="F228" s="8" t="n">
        <v>6687</v>
      </c>
    </row>
    <row r="229" customFormat="false" ht="15" hidden="false" customHeight="true" outlineLevel="0" collapsed="false">
      <c r="A229" s="8" t="n">
        <v>2024</v>
      </c>
      <c r="B229" s="8" t="s">
        <v>115</v>
      </c>
      <c r="C229" s="8" t="s">
        <v>111</v>
      </c>
      <c r="D229" s="9" t="n">
        <v>-0.2228</v>
      </c>
      <c r="E229" s="8" t="n">
        <v>0.46</v>
      </c>
      <c r="F229" s="8" t="n">
        <v>6903</v>
      </c>
    </row>
    <row r="230" customFormat="false" ht="15" hidden="false" customHeight="true" outlineLevel="0" collapsed="false">
      <c r="A230" s="8" t="n">
        <v>2018</v>
      </c>
      <c r="B230" s="8" t="s">
        <v>116</v>
      </c>
      <c r="C230" s="8" t="s">
        <v>111</v>
      </c>
      <c r="D230" s="9" t="n">
        <v>-0.0152</v>
      </c>
      <c r="E230" s="8" t="n">
        <v>0.24</v>
      </c>
      <c r="F230" s="8" t="n">
        <v>132</v>
      </c>
    </row>
    <row r="231" customFormat="false" ht="15" hidden="false" customHeight="true" outlineLevel="0" collapsed="false">
      <c r="A231" s="8" t="n">
        <v>2020</v>
      </c>
      <c r="B231" s="8" t="s">
        <v>116</v>
      </c>
      <c r="C231" s="8" t="s">
        <v>111</v>
      </c>
      <c r="D231" s="9" t="n">
        <v>-0.0556</v>
      </c>
      <c r="E231" s="8" t="n">
        <v>0.27</v>
      </c>
      <c r="F231" s="8" t="n">
        <v>144</v>
      </c>
    </row>
    <row r="232" customFormat="false" ht="15" hidden="false" customHeight="true" outlineLevel="0" collapsed="false">
      <c r="A232" s="8" t="n">
        <v>2022</v>
      </c>
      <c r="B232" s="8" t="s">
        <v>116</v>
      </c>
      <c r="C232" s="8" t="s">
        <v>111</v>
      </c>
      <c r="D232" s="9" t="n">
        <v>-0.1533</v>
      </c>
      <c r="E232" s="8" t="n">
        <v>0.19</v>
      </c>
      <c r="F232" s="8" t="n">
        <v>137</v>
      </c>
    </row>
    <row r="233" customFormat="false" ht="15" hidden="false" customHeight="true" outlineLevel="0" collapsed="false">
      <c r="A233" s="8" t="n">
        <v>2024</v>
      </c>
      <c r="B233" s="8" t="s">
        <v>116</v>
      </c>
      <c r="C233" s="8" t="s">
        <v>111</v>
      </c>
      <c r="D233" s="9" t="n">
        <v>-0.2432</v>
      </c>
      <c r="E233" s="8" t="n">
        <v>0.22</v>
      </c>
      <c r="F233" s="8" t="n">
        <v>148</v>
      </c>
    </row>
    <row r="234" customFormat="false" ht="15" hidden="false" customHeight="true" outlineLevel="0" collapsed="false">
      <c r="A234" s="8" t="n">
        <v>2018</v>
      </c>
      <c r="B234" s="8" t="s">
        <v>117</v>
      </c>
      <c r="C234" s="8" t="s">
        <v>111</v>
      </c>
      <c r="D234" s="9" t="n">
        <v>-0.0336</v>
      </c>
      <c r="E234" s="8" t="n">
        <v>0.21</v>
      </c>
      <c r="F234" s="8" t="n">
        <v>3485</v>
      </c>
    </row>
    <row r="235" customFormat="false" ht="15" hidden="false" customHeight="true" outlineLevel="0" collapsed="false">
      <c r="A235" s="8" t="n">
        <v>2020</v>
      </c>
      <c r="B235" s="8" t="s">
        <v>117</v>
      </c>
      <c r="C235" s="8" t="s">
        <v>111</v>
      </c>
      <c r="D235" s="9" t="n">
        <v>-0.0699</v>
      </c>
      <c r="E235" s="8" t="n">
        <v>0.23</v>
      </c>
      <c r="F235" s="8" t="n">
        <v>3762</v>
      </c>
    </row>
    <row r="236" customFormat="false" ht="15" hidden="false" customHeight="true" outlineLevel="0" collapsed="false">
      <c r="A236" s="8" t="n">
        <v>2022</v>
      </c>
      <c r="B236" s="8" t="s">
        <v>117</v>
      </c>
      <c r="C236" s="8" t="s">
        <v>111</v>
      </c>
      <c r="D236" s="9" t="n">
        <v>-0.0884</v>
      </c>
      <c r="E236" s="8" t="n">
        <v>0.27</v>
      </c>
      <c r="F236" s="8" t="n">
        <v>3961</v>
      </c>
    </row>
    <row r="237" customFormat="false" ht="15" hidden="false" customHeight="true" outlineLevel="0" collapsed="false">
      <c r="A237" s="8" t="n">
        <v>2024</v>
      </c>
      <c r="B237" s="8" t="s">
        <v>117</v>
      </c>
      <c r="C237" s="8" t="s">
        <v>111</v>
      </c>
      <c r="D237" s="9" t="n">
        <v>-0.1188</v>
      </c>
      <c r="E237" s="8" t="n">
        <v>0.31</v>
      </c>
      <c r="F237" s="8" t="n">
        <v>4226</v>
      </c>
    </row>
    <row r="238" customFormat="false" ht="15" hidden="false" customHeight="true" outlineLevel="0" collapsed="false">
      <c r="A238" s="8" t="n">
        <v>2018</v>
      </c>
      <c r="B238" s="8" t="s">
        <v>118</v>
      </c>
      <c r="C238" s="8" t="s">
        <v>111</v>
      </c>
      <c r="D238" s="9" t="n">
        <v>-0.0321</v>
      </c>
      <c r="E238" s="8" t="n">
        <v>0.08</v>
      </c>
      <c r="F238" s="8" t="n">
        <v>654</v>
      </c>
    </row>
    <row r="239" customFormat="false" ht="15" hidden="false" customHeight="true" outlineLevel="0" collapsed="false">
      <c r="A239" s="8" t="n">
        <v>2020</v>
      </c>
      <c r="B239" s="8" t="s">
        <v>118</v>
      </c>
      <c r="C239" s="8" t="s">
        <v>111</v>
      </c>
      <c r="D239" s="9" t="n">
        <v>-0.1081</v>
      </c>
      <c r="E239" s="8" t="n">
        <v>0.12</v>
      </c>
      <c r="F239" s="8" t="n">
        <v>712</v>
      </c>
    </row>
    <row r="240" customFormat="false" ht="15" hidden="false" customHeight="true" outlineLevel="0" collapsed="false">
      <c r="A240" s="8" t="n">
        <v>2022</v>
      </c>
      <c r="B240" s="8" t="s">
        <v>118</v>
      </c>
      <c r="C240" s="8" t="s">
        <v>111</v>
      </c>
      <c r="D240" s="9" t="n">
        <v>-0.1155</v>
      </c>
      <c r="E240" s="8" t="n">
        <v>0.16</v>
      </c>
      <c r="F240" s="8" t="n">
        <v>684</v>
      </c>
    </row>
    <row r="241" customFormat="false" ht="15" hidden="false" customHeight="true" outlineLevel="0" collapsed="false">
      <c r="A241" s="8" t="n">
        <v>2024</v>
      </c>
      <c r="B241" s="8" t="s">
        <v>118</v>
      </c>
      <c r="C241" s="8" t="s">
        <v>111</v>
      </c>
      <c r="D241" s="9" t="n">
        <v>-0.1382</v>
      </c>
      <c r="E241" s="8" t="n">
        <v>0.14</v>
      </c>
      <c r="F241" s="8" t="n">
        <v>731</v>
      </c>
    </row>
    <row r="242" customFormat="false" ht="15" hidden="false" customHeight="true" outlineLevel="0" collapsed="false">
      <c r="A242" s="8" t="n">
        <v>2018</v>
      </c>
      <c r="B242" s="8" t="s">
        <v>119</v>
      </c>
      <c r="C242" s="8" t="s">
        <v>111</v>
      </c>
      <c r="D242" s="9" t="n">
        <v>0.4156</v>
      </c>
      <c r="E242" s="8" t="n">
        <v>0.21</v>
      </c>
      <c r="F242" s="8" t="n">
        <v>16368</v>
      </c>
    </row>
    <row r="243" customFormat="false" ht="15" hidden="false" customHeight="true" outlineLevel="0" collapsed="false">
      <c r="A243" s="8" t="n">
        <v>2020</v>
      </c>
      <c r="B243" s="8" t="s">
        <v>119</v>
      </c>
      <c r="C243" s="8" t="s">
        <v>111</v>
      </c>
      <c r="D243" s="9" t="n">
        <v>0.411</v>
      </c>
      <c r="E243" s="8" t="n">
        <v>0.25</v>
      </c>
      <c r="F243" s="8" t="n">
        <v>17698</v>
      </c>
    </row>
    <row r="244" customFormat="false" ht="15" hidden="false" customHeight="true" outlineLevel="0" collapsed="false">
      <c r="A244" s="8" t="n">
        <v>2022</v>
      </c>
      <c r="B244" s="8" t="s">
        <v>119</v>
      </c>
      <c r="C244" s="8" t="s">
        <v>111</v>
      </c>
      <c r="D244" s="9" t="n">
        <v>0.4134</v>
      </c>
      <c r="E244" s="8" t="n">
        <v>0.26</v>
      </c>
      <c r="F244" s="8" t="n">
        <v>17128</v>
      </c>
    </row>
    <row r="245" customFormat="false" ht="15" hidden="false" customHeight="true" outlineLevel="0" collapsed="false">
      <c r="A245" s="8" t="n">
        <v>2024</v>
      </c>
      <c r="B245" s="8" t="s">
        <v>119</v>
      </c>
      <c r="C245" s="8" t="s">
        <v>111</v>
      </c>
      <c r="D245" s="9" t="n">
        <v>0.3847</v>
      </c>
      <c r="E245" s="8" t="n">
        <v>0.28</v>
      </c>
      <c r="F245" s="8" t="n">
        <v>18548</v>
      </c>
    </row>
    <row r="246" customFormat="false" ht="15" hidden="false" customHeight="true" outlineLevel="0" collapsed="false">
      <c r="A246" s="8" t="n">
        <v>2018</v>
      </c>
      <c r="B246" s="8" t="s">
        <v>120</v>
      </c>
      <c r="C246" s="8" t="s">
        <v>111</v>
      </c>
      <c r="D246" s="9" t="n">
        <v>0.0417</v>
      </c>
      <c r="E246" s="8" t="n">
        <v>0.43</v>
      </c>
      <c r="F246" s="8" t="n">
        <v>11648</v>
      </c>
    </row>
    <row r="247" customFormat="false" ht="15" hidden="false" customHeight="true" outlineLevel="0" collapsed="false">
      <c r="A247" s="8" t="n">
        <v>2020</v>
      </c>
      <c r="B247" s="8" t="s">
        <v>120</v>
      </c>
      <c r="C247" s="8" t="s">
        <v>111</v>
      </c>
      <c r="D247" s="9" t="n">
        <v>0.0528</v>
      </c>
      <c r="E247" s="8" t="n">
        <v>0.47</v>
      </c>
      <c r="F247" s="8" t="n">
        <v>12731</v>
      </c>
    </row>
    <row r="248" customFormat="false" ht="15" hidden="false" customHeight="true" outlineLevel="0" collapsed="false">
      <c r="A248" s="8" t="n">
        <v>2022</v>
      </c>
      <c r="B248" s="8" t="s">
        <v>120</v>
      </c>
      <c r="C248" s="8" t="s">
        <v>111</v>
      </c>
      <c r="D248" s="9" t="n">
        <v>0.0579</v>
      </c>
      <c r="E248" s="8" t="n">
        <v>0.43</v>
      </c>
      <c r="F248" s="8" t="n">
        <v>12839</v>
      </c>
    </row>
    <row r="249" customFormat="false" ht="15" hidden="false" customHeight="true" outlineLevel="0" collapsed="false">
      <c r="A249" s="8" t="n">
        <v>2024</v>
      </c>
      <c r="B249" s="8" t="s">
        <v>120</v>
      </c>
      <c r="C249" s="8" t="s">
        <v>111</v>
      </c>
      <c r="D249" s="9" t="n">
        <v>0.0454</v>
      </c>
      <c r="E249" s="8" t="n">
        <v>0.42</v>
      </c>
      <c r="F249" s="8" t="n">
        <v>13281</v>
      </c>
    </row>
    <row r="250" customFormat="false" ht="15" hidden="false" customHeight="true" outlineLevel="0" collapsed="false">
      <c r="A250" s="8" t="n">
        <v>2018</v>
      </c>
      <c r="B250" s="8" t="s">
        <v>121</v>
      </c>
      <c r="C250" s="8" t="s">
        <v>111</v>
      </c>
      <c r="D250" s="9" t="n">
        <v>0.3973</v>
      </c>
      <c r="E250" s="8" t="n">
        <v>0.16</v>
      </c>
      <c r="F250" s="8" t="n">
        <v>1724</v>
      </c>
    </row>
    <row r="251" customFormat="false" ht="15" hidden="false" customHeight="true" outlineLevel="0" collapsed="false">
      <c r="A251" s="8" t="n">
        <v>2020</v>
      </c>
      <c r="B251" s="8" t="s">
        <v>121</v>
      </c>
      <c r="C251" s="8" t="s">
        <v>111</v>
      </c>
      <c r="D251" s="9" t="n">
        <v>0.3653</v>
      </c>
      <c r="E251" s="8" t="n">
        <v>0.16</v>
      </c>
      <c r="F251" s="8" t="n">
        <v>1941</v>
      </c>
    </row>
    <row r="252" customFormat="false" ht="15" hidden="false" customHeight="true" outlineLevel="0" collapsed="false">
      <c r="A252" s="8" t="n">
        <v>2022</v>
      </c>
      <c r="B252" s="8" t="s">
        <v>121</v>
      </c>
      <c r="C252" s="8" t="s">
        <v>111</v>
      </c>
      <c r="D252" s="9" t="n">
        <v>0.355</v>
      </c>
      <c r="E252" s="8" t="n">
        <v>0.17</v>
      </c>
      <c r="F252" s="8" t="n">
        <v>1910</v>
      </c>
    </row>
    <row r="253" customFormat="false" ht="15" hidden="false" customHeight="true" outlineLevel="0" collapsed="false">
      <c r="A253" s="8" t="n">
        <v>2024</v>
      </c>
      <c r="B253" s="8" t="s">
        <v>121</v>
      </c>
      <c r="C253" s="8" t="s">
        <v>111</v>
      </c>
      <c r="D253" s="9" t="n">
        <v>0.2931</v>
      </c>
      <c r="E253" s="8" t="n">
        <v>0.19</v>
      </c>
      <c r="F253" s="8" t="n">
        <v>1999</v>
      </c>
    </row>
    <row r="254" customFormat="false" ht="15" hidden="false" customHeight="true" outlineLevel="0" collapsed="false">
      <c r="A254" s="8" t="n">
        <v>2018</v>
      </c>
      <c r="B254" s="8" t="s">
        <v>122</v>
      </c>
      <c r="C254" s="8" t="s">
        <v>111</v>
      </c>
      <c r="D254" s="9" t="n">
        <v>0.2414</v>
      </c>
      <c r="E254" s="8" t="n">
        <v>0.26</v>
      </c>
      <c r="F254" s="8" t="n">
        <v>232</v>
      </c>
    </row>
    <row r="255" customFormat="false" ht="15" hidden="false" customHeight="true" outlineLevel="0" collapsed="false">
      <c r="A255" s="8" t="n">
        <v>2020</v>
      </c>
      <c r="B255" s="8" t="s">
        <v>122</v>
      </c>
      <c r="C255" s="8" t="s">
        <v>111</v>
      </c>
      <c r="D255" s="9" t="n">
        <v>0.1176</v>
      </c>
      <c r="E255" s="8" t="n">
        <v>0.21</v>
      </c>
      <c r="F255" s="8" t="n">
        <v>272</v>
      </c>
    </row>
    <row r="256" customFormat="false" ht="15" hidden="false" customHeight="true" outlineLevel="0" collapsed="false">
      <c r="A256" s="8" t="n">
        <v>2022</v>
      </c>
      <c r="B256" s="8" t="s">
        <v>122</v>
      </c>
      <c r="C256" s="8" t="s">
        <v>111</v>
      </c>
      <c r="D256" s="9" t="n">
        <v>0.1119</v>
      </c>
      <c r="E256" s="8" t="n">
        <v>0.22</v>
      </c>
      <c r="F256" s="8" t="n">
        <v>268</v>
      </c>
    </row>
    <row r="257" customFormat="false" ht="15" hidden="false" customHeight="true" outlineLevel="0" collapsed="false">
      <c r="A257" s="8" t="n">
        <v>2024</v>
      </c>
      <c r="B257" s="8" t="s">
        <v>122</v>
      </c>
      <c r="C257" s="8" t="s">
        <v>111</v>
      </c>
      <c r="D257" s="9" t="n">
        <v>0.0578</v>
      </c>
      <c r="E257" s="8" t="n">
        <v>0.19</v>
      </c>
      <c r="F257" s="8" t="n">
        <v>277</v>
      </c>
    </row>
    <row r="258" customFormat="false" ht="15" hidden="false" customHeight="true" outlineLevel="0" collapsed="false">
      <c r="A258" s="8" t="n">
        <v>2018</v>
      </c>
      <c r="B258" s="8" t="s">
        <v>89</v>
      </c>
      <c r="C258" s="8" t="s">
        <v>111</v>
      </c>
      <c r="D258" s="9" t="n">
        <v>0.0409</v>
      </c>
      <c r="E258" s="8" t="n">
        <v>0.46</v>
      </c>
      <c r="F258" s="8" t="n">
        <v>9075</v>
      </c>
    </row>
    <row r="259" customFormat="false" ht="15" hidden="false" customHeight="true" outlineLevel="0" collapsed="false">
      <c r="A259" s="8" t="n">
        <v>2020</v>
      </c>
      <c r="B259" s="8" t="s">
        <v>89</v>
      </c>
      <c r="C259" s="8" t="s">
        <v>111</v>
      </c>
      <c r="D259" s="9" t="n">
        <v>0.0667</v>
      </c>
      <c r="E259" s="8" t="n">
        <v>0.47</v>
      </c>
      <c r="F259" s="8" t="n">
        <v>9726</v>
      </c>
    </row>
    <row r="260" customFormat="false" ht="15" hidden="false" customHeight="true" outlineLevel="0" collapsed="false">
      <c r="A260" s="8" t="n">
        <v>2022</v>
      </c>
      <c r="B260" s="8" t="s">
        <v>89</v>
      </c>
      <c r="C260" s="8" t="s">
        <v>111</v>
      </c>
      <c r="D260" s="9" t="n">
        <v>0.0815</v>
      </c>
      <c r="E260" s="8" t="n">
        <v>0.46</v>
      </c>
      <c r="F260" s="8" t="n">
        <v>9584</v>
      </c>
    </row>
    <row r="261" customFormat="false" ht="15" hidden="false" customHeight="true" outlineLevel="0" collapsed="false">
      <c r="A261" s="8" t="n">
        <v>2024</v>
      </c>
      <c r="B261" s="8" t="s">
        <v>89</v>
      </c>
      <c r="C261" s="8" t="s">
        <v>111</v>
      </c>
      <c r="D261" s="9" t="n">
        <v>0.064</v>
      </c>
      <c r="E261" s="8" t="n">
        <v>0.54</v>
      </c>
      <c r="F261" s="8" t="n">
        <v>9746</v>
      </c>
    </row>
    <row r="262" customFormat="false" ht="15" hidden="false" customHeight="true" outlineLevel="0" collapsed="false">
      <c r="A262" s="8" t="n">
        <v>2018</v>
      </c>
      <c r="B262" s="8" t="s">
        <v>123</v>
      </c>
      <c r="C262" s="8" t="s">
        <v>111</v>
      </c>
      <c r="D262" s="9" t="n">
        <v>0.1494</v>
      </c>
      <c r="E262" s="8" t="n">
        <v>0.26</v>
      </c>
      <c r="F262" s="8" t="n">
        <v>3928</v>
      </c>
    </row>
    <row r="263" customFormat="false" ht="15" hidden="false" customHeight="true" outlineLevel="0" collapsed="false">
      <c r="A263" s="8" t="n">
        <v>2020</v>
      </c>
      <c r="B263" s="8" t="s">
        <v>123</v>
      </c>
      <c r="C263" s="8" t="s">
        <v>111</v>
      </c>
      <c r="D263" s="9" t="n">
        <v>0.1152</v>
      </c>
      <c r="E263" s="8" t="n">
        <v>0.26</v>
      </c>
      <c r="F263" s="8" t="n">
        <v>4297</v>
      </c>
    </row>
    <row r="264" customFormat="false" ht="15" hidden="false" customHeight="true" outlineLevel="0" collapsed="false">
      <c r="A264" s="8" t="n">
        <v>2022</v>
      </c>
      <c r="B264" s="8" t="s">
        <v>123</v>
      </c>
      <c r="C264" s="8" t="s">
        <v>111</v>
      </c>
      <c r="D264" s="9" t="n">
        <v>0.0851</v>
      </c>
      <c r="E264" s="8" t="n">
        <v>0.29</v>
      </c>
      <c r="F264" s="8" t="n">
        <v>4302</v>
      </c>
    </row>
    <row r="265" customFormat="false" ht="15" hidden="false" customHeight="true" outlineLevel="0" collapsed="false">
      <c r="A265" s="8" t="n">
        <v>2024</v>
      </c>
      <c r="B265" s="8" t="s">
        <v>123</v>
      </c>
      <c r="C265" s="8" t="s">
        <v>111</v>
      </c>
      <c r="D265" s="9" t="n">
        <v>0.0546</v>
      </c>
      <c r="E265" s="8" t="n">
        <v>0.31</v>
      </c>
      <c r="F265" s="8" t="n">
        <v>4435</v>
      </c>
    </row>
    <row r="266" customFormat="false" ht="15" hidden="false" customHeight="true" outlineLevel="0" collapsed="false">
      <c r="A266" s="8" t="n">
        <v>2018</v>
      </c>
      <c r="B266" s="8" t="s">
        <v>81</v>
      </c>
      <c r="C266" s="8" t="s">
        <v>111</v>
      </c>
      <c r="D266" s="9" t="n">
        <v>-0.0883</v>
      </c>
      <c r="E266" s="8" t="n">
        <v>0.26</v>
      </c>
      <c r="F266" s="8" t="n">
        <v>7203</v>
      </c>
    </row>
    <row r="267" customFormat="false" ht="15" hidden="false" customHeight="true" outlineLevel="0" collapsed="false">
      <c r="A267" s="8" t="n">
        <v>2020</v>
      </c>
      <c r="B267" s="8" t="s">
        <v>81</v>
      </c>
      <c r="C267" s="8" t="s">
        <v>111</v>
      </c>
      <c r="D267" s="9" t="n">
        <v>-0.1415</v>
      </c>
      <c r="E267" s="8" t="n">
        <v>0.21</v>
      </c>
      <c r="F267" s="8" t="n">
        <v>7817</v>
      </c>
    </row>
    <row r="268" customFormat="false" ht="15" hidden="false" customHeight="true" outlineLevel="0" collapsed="false">
      <c r="A268" s="8" t="n">
        <v>2022</v>
      </c>
      <c r="B268" s="8" t="s">
        <v>81</v>
      </c>
      <c r="C268" s="8" t="s">
        <v>111</v>
      </c>
      <c r="D268" s="9" t="n">
        <v>-0.1693</v>
      </c>
      <c r="E268" s="8" t="n">
        <v>0.21</v>
      </c>
      <c r="F268" s="8" t="n">
        <v>7775</v>
      </c>
    </row>
    <row r="269" customFormat="false" ht="15" hidden="false" customHeight="true" outlineLevel="0" collapsed="false">
      <c r="A269" s="8" t="n">
        <v>2024</v>
      </c>
      <c r="B269" s="8" t="s">
        <v>81</v>
      </c>
      <c r="C269" s="8" t="s">
        <v>111</v>
      </c>
      <c r="D269" s="9" t="n">
        <v>-0.2194</v>
      </c>
      <c r="E269" s="8" t="n">
        <v>0.21</v>
      </c>
      <c r="F269" s="8" t="n">
        <v>8128</v>
      </c>
    </row>
    <row r="270" customFormat="false" ht="15" hidden="false" customHeight="true" outlineLevel="0" collapsed="false">
      <c r="A270" s="8" t="n">
        <v>2018</v>
      </c>
      <c r="B270" s="8" t="s">
        <v>124</v>
      </c>
      <c r="C270" s="8" t="s">
        <v>111</v>
      </c>
      <c r="D270" s="9" t="n">
        <v>-0.0624</v>
      </c>
      <c r="E270" s="8" t="n">
        <v>0.2</v>
      </c>
      <c r="F270" s="8" t="n">
        <v>2133</v>
      </c>
    </row>
    <row r="271" customFormat="false" ht="15" hidden="false" customHeight="true" outlineLevel="0" collapsed="false">
      <c r="A271" s="8" t="n">
        <v>2020</v>
      </c>
      <c r="B271" s="8" t="s">
        <v>124</v>
      </c>
      <c r="C271" s="8" t="s">
        <v>111</v>
      </c>
      <c r="D271" s="9" t="n">
        <v>-0.1264</v>
      </c>
      <c r="E271" s="8" t="n">
        <v>0.21</v>
      </c>
      <c r="F271" s="8" t="n">
        <v>2286</v>
      </c>
    </row>
    <row r="272" customFormat="false" ht="15" hidden="false" customHeight="true" outlineLevel="0" collapsed="false">
      <c r="A272" s="8" t="n">
        <v>2022</v>
      </c>
      <c r="B272" s="8" t="s">
        <v>124</v>
      </c>
      <c r="C272" s="8" t="s">
        <v>111</v>
      </c>
      <c r="D272" s="9" t="n">
        <v>-0.1688</v>
      </c>
      <c r="E272" s="8" t="n">
        <v>0.17</v>
      </c>
      <c r="F272" s="8" t="n">
        <v>2240</v>
      </c>
    </row>
    <row r="273" customFormat="false" ht="15" hidden="false" customHeight="true" outlineLevel="0" collapsed="false">
      <c r="A273" s="8" t="n">
        <v>2024</v>
      </c>
      <c r="B273" s="8" t="s">
        <v>124</v>
      </c>
      <c r="C273" s="8" t="s">
        <v>111</v>
      </c>
      <c r="D273" s="9" t="n">
        <v>-0.2225</v>
      </c>
      <c r="E273" s="8" t="n">
        <v>0.22</v>
      </c>
      <c r="F273" s="8" t="n">
        <v>2355</v>
      </c>
    </row>
    <row r="274" customFormat="false" ht="15" hidden="false" customHeight="true" outlineLevel="0" collapsed="false">
      <c r="A274" s="8" t="n">
        <v>2018</v>
      </c>
      <c r="B274" s="8" t="s">
        <v>125</v>
      </c>
      <c r="C274" s="8" t="s">
        <v>111</v>
      </c>
      <c r="D274" s="9" t="n">
        <v>-0.0783</v>
      </c>
      <c r="E274" s="8" t="n">
        <v>0.4</v>
      </c>
      <c r="F274" s="8" t="n">
        <v>4799</v>
      </c>
    </row>
    <row r="275" customFormat="false" ht="15" hidden="false" customHeight="true" outlineLevel="0" collapsed="false">
      <c r="A275" s="8" t="n">
        <v>2020</v>
      </c>
      <c r="B275" s="8" t="s">
        <v>125</v>
      </c>
      <c r="C275" s="8" t="s">
        <v>111</v>
      </c>
      <c r="D275" s="9" t="n">
        <v>-0.0759</v>
      </c>
      <c r="E275" s="8" t="n">
        <v>0.46</v>
      </c>
      <c r="F275" s="8" t="n">
        <v>5377</v>
      </c>
    </row>
    <row r="276" customFormat="false" ht="15" hidden="false" customHeight="true" outlineLevel="0" collapsed="false">
      <c r="A276" s="8" t="n">
        <v>2022</v>
      </c>
      <c r="B276" s="8" t="s">
        <v>125</v>
      </c>
      <c r="C276" s="8" t="s">
        <v>111</v>
      </c>
      <c r="D276" s="9" t="n">
        <v>-0.0903</v>
      </c>
      <c r="E276" s="8" t="n">
        <v>0.48</v>
      </c>
      <c r="F276" s="8" t="n">
        <v>5406</v>
      </c>
    </row>
    <row r="277" customFormat="false" ht="15" hidden="false" customHeight="true" outlineLevel="0" collapsed="false">
      <c r="A277" s="8" t="n">
        <v>2024</v>
      </c>
      <c r="B277" s="8" t="s">
        <v>125</v>
      </c>
      <c r="C277" s="8" t="s">
        <v>111</v>
      </c>
      <c r="D277" s="9" t="n">
        <v>-0.1052</v>
      </c>
      <c r="E277" s="8" t="n">
        <v>0.46</v>
      </c>
      <c r="F277" s="8" t="n">
        <v>5511</v>
      </c>
    </row>
    <row r="278" customFormat="false" ht="15" hidden="false" customHeight="true" outlineLevel="0" collapsed="false">
      <c r="A278" s="8" t="n">
        <v>2018</v>
      </c>
      <c r="B278" s="8" t="s">
        <v>126</v>
      </c>
      <c r="C278" s="8" t="s">
        <v>111</v>
      </c>
      <c r="D278" s="9" t="n">
        <v>-0.0296</v>
      </c>
      <c r="E278" s="8" t="n">
        <v>0.4</v>
      </c>
      <c r="F278" s="8" t="n">
        <v>8308</v>
      </c>
    </row>
    <row r="279" customFormat="false" ht="15" hidden="false" customHeight="true" outlineLevel="0" collapsed="false">
      <c r="A279" s="8" t="n">
        <v>2020</v>
      </c>
      <c r="B279" s="8" t="s">
        <v>126</v>
      </c>
      <c r="C279" s="8" t="s">
        <v>111</v>
      </c>
      <c r="D279" s="9" t="n">
        <v>-0.0294</v>
      </c>
      <c r="E279" s="8" t="n">
        <v>0.47</v>
      </c>
      <c r="F279" s="8" t="n">
        <v>8887</v>
      </c>
    </row>
    <row r="280" customFormat="false" ht="15" hidden="false" customHeight="true" outlineLevel="0" collapsed="false">
      <c r="A280" s="8" t="n">
        <v>2022</v>
      </c>
      <c r="B280" s="8" t="s">
        <v>126</v>
      </c>
      <c r="C280" s="8" t="s">
        <v>111</v>
      </c>
      <c r="D280" s="9" t="n">
        <v>-0.0351</v>
      </c>
      <c r="E280" s="8" t="n">
        <v>0.49</v>
      </c>
      <c r="F280" s="8" t="n">
        <v>8775</v>
      </c>
    </row>
    <row r="281" customFormat="false" ht="15" hidden="false" customHeight="true" outlineLevel="0" collapsed="false">
      <c r="A281" s="8" t="n">
        <v>2024</v>
      </c>
      <c r="B281" s="8" t="s">
        <v>126</v>
      </c>
      <c r="C281" s="8" t="s">
        <v>111</v>
      </c>
      <c r="D281" s="9" t="n">
        <v>-0.0615</v>
      </c>
      <c r="E281" s="8" t="n">
        <v>0.48</v>
      </c>
      <c r="F281" s="8" t="n">
        <v>8914</v>
      </c>
    </row>
    <row r="282" customFormat="false" ht="15" hidden="false" customHeight="true" outlineLevel="0" collapsed="false">
      <c r="A282" s="8" t="n">
        <v>2018</v>
      </c>
      <c r="B282" s="8" t="s">
        <v>127</v>
      </c>
      <c r="C282" s="8" t="s">
        <v>111</v>
      </c>
      <c r="D282" s="9" t="n">
        <v>-0.1209</v>
      </c>
      <c r="E282" s="8" t="n">
        <v>0.21</v>
      </c>
      <c r="F282" s="8" t="n">
        <v>6511</v>
      </c>
    </row>
    <row r="283" customFormat="false" ht="15" hidden="false" customHeight="true" outlineLevel="0" collapsed="false">
      <c r="A283" s="8" t="n">
        <v>2020</v>
      </c>
      <c r="B283" s="8" t="s">
        <v>127</v>
      </c>
      <c r="C283" s="8" t="s">
        <v>111</v>
      </c>
      <c r="D283" s="9" t="n">
        <v>-0.1737</v>
      </c>
      <c r="E283" s="8" t="n">
        <v>0.23</v>
      </c>
      <c r="F283" s="8" t="n">
        <v>7126</v>
      </c>
    </row>
    <row r="284" customFormat="false" ht="15" hidden="false" customHeight="true" outlineLevel="0" collapsed="false">
      <c r="A284" s="8" t="n">
        <v>2022</v>
      </c>
      <c r="B284" s="8" t="s">
        <v>127</v>
      </c>
      <c r="C284" s="8" t="s">
        <v>111</v>
      </c>
      <c r="D284" s="9" t="n">
        <v>-0.2216</v>
      </c>
      <c r="E284" s="8" t="n">
        <v>0.23</v>
      </c>
      <c r="F284" s="8" t="n">
        <v>7106</v>
      </c>
    </row>
    <row r="285" customFormat="false" ht="15" hidden="false" customHeight="true" outlineLevel="0" collapsed="false">
      <c r="A285" s="8" t="n">
        <v>2024</v>
      </c>
      <c r="B285" s="8" t="s">
        <v>127</v>
      </c>
      <c r="C285" s="8" t="s">
        <v>111</v>
      </c>
      <c r="D285" s="9" t="n">
        <v>-0.2645</v>
      </c>
      <c r="E285" s="8" t="n">
        <v>0.25</v>
      </c>
      <c r="F285" s="8" t="n">
        <v>7326</v>
      </c>
    </row>
    <row r="286" customFormat="false" ht="15" hidden="false" customHeight="true" outlineLevel="0" collapsed="false">
      <c r="A286" s="8" t="n">
        <v>2018</v>
      </c>
      <c r="B286" s="8" t="s">
        <v>128</v>
      </c>
      <c r="C286" s="8" t="s">
        <v>111</v>
      </c>
      <c r="D286" s="9" t="n">
        <v>0.0859</v>
      </c>
      <c r="E286" s="8" t="n">
        <v>0.31</v>
      </c>
      <c r="F286" s="8" t="n">
        <v>3948</v>
      </c>
    </row>
    <row r="287" customFormat="false" ht="15" hidden="false" customHeight="true" outlineLevel="0" collapsed="false">
      <c r="A287" s="8" t="n">
        <v>2020</v>
      </c>
      <c r="B287" s="8" t="s">
        <v>128</v>
      </c>
      <c r="C287" s="8" t="s">
        <v>111</v>
      </c>
      <c r="D287" s="9" t="n">
        <v>0.0572</v>
      </c>
      <c r="E287" s="8" t="n">
        <v>0.24</v>
      </c>
      <c r="F287" s="8" t="n">
        <v>4215</v>
      </c>
    </row>
    <row r="288" customFormat="false" ht="15" hidden="false" customHeight="true" outlineLevel="0" collapsed="false">
      <c r="A288" s="8" t="n">
        <v>2022</v>
      </c>
      <c r="B288" s="8" t="s">
        <v>128</v>
      </c>
      <c r="C288" s="8" t="s">
        <v>111</v>
      </c>
      <c r="D288" s="9" t="n">
        <v>0.0438</v>
      </c>
      <c r="E288" s="8" t="n">
        <v>0.26</v>
      </c>
      <c r="F288" s="8" t="n">
        <v>4133</v>
      </c>
    </row>
    <row r="289" customFormat="false" ht="15" hidden="false" customHeight="true" outlineLevel="0" collapsed="false">
      <c r="A289" s="8" t="n">
        <v>2024</v>
      </c>
      <c r="B289" s="8" t="s">
        <v>128</v>
      </c>
      <c r="C289" s="8" t="s">
        <v>111</v>
      </c>
      <c r="D289" s="9" t="n">
        <v>-0.0098</v>
      </c>
      <c r="E289" s="8" t="n">
        <v>0.27</v>
      </c>
      <c r="F289" s="8" t="n">
        <v>4282</v>
      </c>
    </row>
    <row r="290" customFormat="false" ht="15" hidden="false" customHeight="true" outlineLevel="0" collapsed="false">
      <c r="A290" s="8" t="n">
        <v>2018</v>
      </c>
      <c r="B290" s="8" t="s">
        <v>129</v>
      </c>
      <c r="C290" s="8" t="s">
        <v>111</v>
      </c>
      <c r="D290" s="9" t="n">
        <v>0.145</v>
      </c>
      <c r="E290" s="8" t="n">
        <v>0.19</v>
      </c>
      <c r="F290" s="8" t="n">
        <v>1842</v>
      </c>
    </row>
    <row r="291" customFormat="false" ht="15" hidden="false" customHeight="true" outlineLevel="0" collapsed="false">
      <c r="A291" s="8" t="n">
        <v>2020</v>
      </c>
      <c r="B291" s="8" t="s">
        <v>129</v>
      </c>
      <c r="C291" s="8" t="s">
        <v>111</v>
      </c>
      <c r="D291" s="9" t="n">
        <v>0.089</v>
      </c>
      <c r="E291" s="8" t="n">
        <v>0.19</v>
      </c>
      <c r="F291" s="8" t="n">
        <v>2011</v>
      </c>
    </row>
    <row r="292" customFormat="false" ht="15" hidden="false" customHeight="true" outlineLevel="0" collapsed="false">
      <c r="A292" s="8" t="n">
        <v>2022</v>
      </c>
      <c r="B292" s="8" t="s">
        <v>129</v>
      </c>
      <c r="C292" s="8" t="s">
        <v>111</v>
      </c>
      <c r="D292" s="9" t="n">
        <v>0.0834</v>
      </c>
      <c r="E292" s="8" t="n">
        <v>0.24</v>
      </c>
      <c r="F292" s="8" t="n">
        <v>2051</v>
      </c>
    </row>
    <row r="293" customFormat="false" ht="15" hidden="false" customHeight="true" outlineLevel="0" collapsed="false">
      <c r="A293" s="8" t="n">
        <v>2024</v>
      </c>
      <c r="B293" s="8" t="s">
        <v>129</v>
      </c>
      <c r="C293" s="8" t="s">
        <v>111</v>
      </c>
      <c r="D293" s="9" t="n">
        <v>0.0454</v>
      </c>
      <c r="E293" s="8" t="n">
        <v>0.25</v>
      </c>
      <c r="F293" s="8" t="n">
        <v>2268</v>
      </c>
    </row>
    <row r="294" customFormat="false" ht="15" hidden="false" customHeight="true" outlineLevel="0" collapsed="false">
      <c r="A294" s="8" t="n">
        <v>2018</v>
      </c>
      <c r="B294" s="8" t="s">
        <v>111</v>
      </c>
      <c r="C294" s="8" t="s">
        <v>111</v>
      </c>
      <c r="D294" s="9" t="n">
        <v>0.1329</v>
      </c>
      <c r="E294" s="8" t="n">
        <v>0.19</v>
      </c>
      <c r="F294" s="8" t="n">
        <v>6255</v>
      </c>
    </row>
    <row r="295" customFormat="false" ht="15" hidden="false" customHeight="true" outlineLevel="0" collapsed="false">
      <c r="A295" s="8" t="n">
        <v>2020</v>
      </c>
      <c r="B295" s="8" t="s">
        <v>111</v>
      </c>
      <c r="C295" s="8" t="s">
        <v>111</v>
      </c>
      <c r="D295" s="9" t="n">
        <v>0.0794</v>
      </c>
      <c r="E295" s="8" t="n">
        <v>0.18</v>
      </c>
      <c r="F295" s="8" t="n">
        <v>6841</v>
      </c>
    </row>
    <row r="296" customFormat="false" ht="15" hidden="false" customHeight="true" outlineLevel="0" collapsed="false">
      <c r="A296" s="8" t="n">
        <v>2022</v>
      </c>
      <c r="B296" s="8" t="s">
        <v>111</v>
      </c>
      <c r="C296" s="8" t="s">
        <v>111</v>
      </c>
      <c r="D296" s="9" t="n">
        <v>0.0582</v>
      </c>
      <c r="E296" s="8" t="n">
        <v>0.2</v>
      </c>
      <c r="F296" s="8" t="n">
        <v>6913</v>
      </c>
    </row>
    <row r="297" customFormat="false" ht="15" hidden="false" customHeight="true" outlineLevel="0" collapsed="false">
      <c r="A297" s="8" t="n">
        <v>2024</v>
      </c>
      <c r="B297" s="8" t="s">
        <v>111</v>
      </c>
      <c r="C297" s="8" t="s">
        <v>111</v>
      </c>
      <c r="D297" s="9" t="n">
        <v>0.0141</v>
      </c>
      <c r="E297" s="8" t="n">
        <v>0.26</v>
      </c>
      <c r="F297" s="8" t="n">
        <v>7378</v>
      </c>
    </row>
    <row r="298" customFormat="false" ht="15" hidden="false" customHeight="true" outlineLevel="0" collapsed="false">
      <c r="A298" s="8" t="n">
        <v>2018</v>
      </c>
      <c r="B298" s="8" t="s">
        <v>130</v>
      </c>
      <c r="C298" s="8" t="s">
        <v>111</v>
      </c>
      <c r="D298" s="9" t="n">
        <v>0.078</v>
      </c>
      <c r="E298" s="8" t="n">
        <v>0.34</v>
      </c>
      <c r="F298" s="8" t="n">
        <v>15709</v>
      </c>
    </row>
    <row r="299" customFormat="false" ht="15" hidden="false" customHeight="true" outlineLevel="0" collapsed="false">
      <c r="A299" s="8" t="n">
        <v>2020</v>
      </c>
      <c r="B299" s="8" t="s">
        <v>130</v>
      </c>
      <c r="C299" s="8" t="s">
        <v>111</v>
      </c>
      <c r="D299" s="9" t="n">
        <v>0.0772</v>
      </c>
      <c r="E299" s="8" t="n">
        <v>0.39</v>
      </c>
      <c r="F299" s="8" t="n">
        <v>17218</v>
      </c>
    </row>
    <row r="300" customFormat="false" ht="15" hidden="false" customHeight="true" outlineLevel="0" collapsed="false">
      <c r="A300" s="8" t="n">
        <v>2022</v>
      </c>
      <c r="B300" s="8" t="s">
        <v>130</v>
      </c>
      <c r="C300" s="8" t="s">
        <v>111</v>
      </c>
      <c r="D300" s="9" t="n">
        <v>0.0685</v>
      </c>
      <c r="E300" s="8" t="n">
        <v>0.39</v>
      </c>
      <c r="F300" s="8" t="n">
        <v>17083</v>
      </c>
    </row>
    <row r="301" customFormat="false" ht="15" hidden="false" customHeight="true" outlineLevel="0" collapsed="false">
      <c r="A301" s="8" t="n">
        <v>2024</v>
      </c>
      <c r="B301" s="8" t="s">
        <v>130</v>
      </c>
      <c r="C301" s="8" t="s">
        <v>111</v>
      </c>
      <c r="D301" s="9" t="n">
        <v>0.0482</v>
      </c>
      <c r="E301" s="8" t="n">
        <v>0.42</v>
      </c>
      <c r="F301" s="8" t="n">
        <v>17820</v>
      </c>
    </row>
    <row r="302" customFormat="false" ht="15" hidden="false" customHeight="true" outlineLevel="0" collapsed="false">
      <c r="A302" s="8" t="n">
        <v>2018</v>
      </c>
      <c r="B302" s="8" t="s">
        <v>131</v>
      </c>
      <c r="C302" s="8" t="s">
        <v>111</v>
      </c>
      <c r="D302" s="9" t="n">
        <v>-0.0317</v>
      </c>
      <c r="E302" s="8" t="n">
        <v>0.2</v>
      </c>
      <c r="F302" s="8" t="n">
        <v>2242</v>
      </c>
    </row>
    <row r="303" customFormat="false" ht="15" hidden="false" customHeight="true" outlineLevel="0" collapsed="false">
      <c r="A303" s="8" t="n">
        <v>2020</v>
      </c>
      <c r="B303" s="8" t="s">
        <v>131</v>
      </c>
      <c r="C303" s="8" t="s">
        <v>111</v>
      </c>
      <c r="D303" s="9" t="n">
        <v>-0.071</v>
      </c>
      <c r="E303" s="8" t="n">
        <v>0.22</v>
      </c>
      <c r="F303" s="8" t="n">
        <v>2365</v>
      </c>
    </row>
    <row r="304" customFormat="false" ht="15" hidden="false" customHeight="true" outlineLevel="0" collapsed="false">
      <c r="A304" s="8" t="n">
        <v>2022</v>
      </c>
      <c r="B304" s="8" t="s">
        <v>131</v>
      </c>
      <c r="C304" s="8" t="s">
        <v>111</v>
      </c>
      <c r="D304" s="9" t="n">
        <v>-0.1004</v>
      </c>
      <c r="E304" s="8" t="n">
        <v>0.22</v>
      </c>
      <c r="F304" s="8" t="n">
        <v>2311</v>
      </c>
    </row>
    <row r="305" customFormat="false" ht="15" hidden="false" customHeight="true" outlineLevel="0" collapsed="false">
      <c r="A305" s="8" t="n">
        <v>2024</v>
      </c>
      <c r="B305" s="8" t="s">
        <v>131</v>
      </c>
      <c r="C305" s="8" t="s">
        <v>111</v>
      </c>
      <c r="D305" s="9" t="n">
        <v>-0.1623</v>
      </c>
      <c r="E305" s="8" t="n">
        <v>0.23</v>
      </c>
      <c r="F305" s="8" t="n">
        <v>2470</v>
      </c>
    </row>
    <row r="306" customFormat="false" ht="15" hidden="false" customHeight="true" outlineLevel="0" collapsed="false">
      <c r="A306" s="8" t="n">
        <v>2018</v>
      </c>
      <c r="B306" s="8" t="s">
        <v>132</v>
      </c>
      <c r="C306" s="8" t="s">
        <v>111</v>
      </c>
      <c r="D306" s="9" t="n">
        <v>-0.1068</v>
      </c>
      <c r="E306" s="8" t="n">
        <v>0.29</v>
      </c>
      <c r="F306" s="8" t="n">
        <v>4390</v>
      </c>
    </row>
    <row r="307" customFormat="false" ht="15" hidden="false" customHeight="true" outlineLevel="0" collapsed="false">
      <c r="A307" s="8" t="n">
        <v>2020</v>
      </c>
      <c r="B307" s="8" t="s">
        <v>132</v>
      </c>
      <c r="C307" s="8" t="s">
        <v>111</v>
      </c>
      <c r="D307" s="9" t="n">
        <v>-0.1549</v>
      </c>
      <c r="E307" s="8" t="n">
        <v>0.33</v>
      </c>
      <c r="F307" s="8" t="n">
        <v>4802</v>
      </c>
    </row>
    <row r="308" customFormat="false" ht="15" hidden="false" customHeight="true" outlineLevel="0" collapsed="false">
      <c r="A308" s="8" t="n">
        <v>2022</v>
      </c>
      <c r="B308" s="8" t="s">
        <v>132</v>
      </c>
      <c r="C308" s="8" t="s">
        <v>111</v>
      </c>
      <c r="D308" s="9" t="n">
        <v>-0.2036</v>
      </c>
      <c r="E308" s="8" t="n">
        <v>0.26</v>
      </c>
      <c r="F308" s="8" t="n">
        <v>4740</v>
      </c>
    </row>
    <row r="309" customFormat="false" ht="15" hidden="false" customHeight="true" outlineLevel="0" collapsed="false">
      <c r="A309" s="8" t="n">
        <v>2024</v>
      </c>
      <c r="B309" s="8" t="s">
        <v>132</v>
      </c>
      <c r="C309" s="8" t="s">
        <v>111</v>
      </c>
      <c r="D309" s="9" t="n">
        <v>-0.249</v>
      </c>
      <c r="E309" s="8" t="n">
        <v>0.23</v>
      </c>
      <c r="F309" s="8" t="n">
        <v>4879</v>
      </c>
    </row>
    <row r="310" customFormat="false" ht="15" hidden="false" customHeight="true" outlineLevel="0" collapsed="false">
      <c r="A310" s="8" t="n">
        <v>2018</v>
      </c>
      <c r="B310" s="8" t="s">
        <v>133</v>
      </c>
      <c r="C310" s="8" t="s">
        <v>111</v>
      </c>
      <c r="D310" s="9" t="n">
        <v>-0.113</v>
      </c>
      <c r="E310" s="8" t="n">
        <v>0.19</v>
      </c>
      <c r="F310" s="8" t="n">
        <v>345</v>
      </c>
    </row>
    <row r="311" customFormat="false" ht="15" hidden="false" customHeight="true" outlineLevel="0" collapsed="false">
      <c r="A311" s="8" t="n">
        <v>2020</v>
      </c>
      <c r="B311" s="8" t="s">
        <v>133</v>
      </c>
      <c r="C311" s="8" t="s">
        <v>111</v>
      </c>
      <c r="D311" s="9" t="n">
        <v>-0.1528</v>
      </c>
      <c r="E311" s="8" t="n">
        <v>0.07</v>
      </c>
      <c r="F311" s="8" t="n">
        <v>373</v>
      </c>
    </row>
    <row r="312" customFormat="false" ht="15" hidden="false" customHeight="true" outlineLevel="0" collapsed="false">
      <c r="A312" s="8" t="n">
        <v>2022</v>
      </c>
      <c r="B312" s="8" t="s">
        <v>133</v>
      </c>
      <c r="C312" s="8" t="s">
        <v>111</v>
      </c>
      <c r="D312" s="9" t="n">
        <v>-0.187</v>
      </c>
      <c r="E312" s="8" t="n">
        <v>0.13</v>
      </c>
      <c r="F312" s="8" t="n">
        <v>369</v>
      </c>
    </row>
    <row r="313" customFormat="false" ht="15" hidden="false" customHeight="true" outlineLevel="0" collapsed="false">
      <c r="A313" s="8" t="n">
        <v>2024</v>
      </c>
      <c r="B313" s="8" t="s">
        <v>133</v>
      </c>
      <c r="C313" s="8" t="s">
        <v>111</v>
      </c>
      <c r="D313" s="9" t="n">
        <v>-0.2289</v>
      </c>
      <c r="E313" s="8" t="n">
        <v>0.19</v>
      </c>
      <c r="F313" s="8" t="n">
        <v>367</v>
      </c>
    </row>
    <row r="314" customFormat="false" ht="15" hidden="false" customHeight="true" outlineLevel="0" collapsed="false">
      <c r="A314" s="8" t="n">
        <v>2018</v>
      </c>
      <c r="B314" s="8" t="s">
        <v>134</v>
      </c>
      <c r="C314" s="8" t="s">
        <v>111</v>
      </c>
      <c r="D314" s="9" t="n">
        <v>-0.0152</v>
      </c>
      <c r="E314" s="8" t="n">
        <v>0.19</v>
      </c>
      <c r="F314" s="8" t="n">
        <v>1050</v>
      </c>
    </row>
    <row r="315" customFormat="false" ht="15" hidden="false" customHeight="true" outlineLevel="0" collapsed="false">
      <c r="A315" s="8" t="n">
        <v>2020</v>
      </c>
      <c r="B315" s="8" t="s">
        <v>134</v>
      </c>
      <c r="C315" s="8" t="s">
        <v>111</v>
      </c>
      <c r="D315" s="9" t="n">
        <v>-0.0838</v>
      </c>
      <c r="E315" s="8" t="n">
        <v>0.22</v>
      </c>
      <c r="F315" s="8" t="n">
        <v>1181</v>
      </c>
    </row>
    <row r="316" customFormat="false" ht="15" hidden="false" customHeight="true" outlineLevel="0" collapsed="false">
      <c r="A316" s="8" t="n">
        <v>2022</v>
      </c>
      <c r="B316" s="8" t="s">
        <v>134</v>
      </c>
      <c r="C316" s="8" t="s">
        <v>111</v>
      </c>
      <c r="D316" s="9" t="n">
        <v>-0.1261</v>
      </c>
      <c r="E316" s="8" t="n">
        <v>0.23</v>
      </c>
      <c r="F316" s="8" t="n">
        <v>1190</v>
      </c>
    </row>
    <row r="317" customFormat="false" ht="15" hidden="false" customHeight="true" outlineLevel="0" collapsed="false">
      <c r="A317" s="8" t="n">
        <v>2024</v>
      </c>
      <c r="B317" s="8" t="s">
        <v>134</v>
      </c>
      <c r="C317" s="8" t="s">
        <v>111</v>
      </c>
      <c r="D317" s="9" t="n">
        <v>-0.1262</v>
      </c>
      <c r="E317" s="8" t="n">
        <v>0.27</v>
      </c>
      <c r="F317" s="8" t="n">
        <v>1220</v>
      </c>
    </row>
    <row r="318" customFormat="false" ht="15" hidden="false" customHeight="true" outlineLevel="0" collapsed="false">
      <c r="A318" s="8" t="n">
        <v>2018</v>
      </c>
      <c r="B318" s="8" t="s">
        <v>135</v>
      </c>
      <c r="C318" s="8" t="s">
        <v>111</v>
      </c>
      <c r="D318" s="9" t="n">
        <v>0.0384</v>
      </c>
      <c r="E318" s="8" t="n">
        <v>0.23</v>
      </c>
      <c r="F318" s="8" t="n">
        <v>599</v>
      </c>
    </row>
    <row r="319" customFormat="false" ht="15" hidden="false" customHeight="true" outlineLevel="0" collapsed="false">
      <c r="A319" s="8" t="n">
        <v>2020</v>
      </c>
      <c r="B319" s="8" t="s">
        <v>135</v>
      </c>
      <c r="C319" s="8" t="s">
        <v>111</v>
      </c>
      <c r="D319" s="9" t="n">
        <v>-0.0137</v>
      </c>
      <c r="E319" s="8" t="n">
        <v>0.19</v>
      </c>
      <c r="F319" s="8" t="n">
        <v>656</v>
      </c>
    </row>
    <row r="320" customFormat="false" ht="15" hidden="false" customHeight="true" outlineLevel="0" collapsed="false">
      <c r="A320" s="8" t="n">
        <v>2022</v>
      </c>
      <c r="B320" s="8" t="s">
        <v>135</v>
      </c>
      <c r="C320" s="8" t="s">
        <v>111</v>
      </c>
      <c r="D320" s="9" t="n">
        <v>-0.0643</v>
      </c>
      <c r="E320" s="8" t="n">
        <v>0.25</v>
      </c>
      <c r="F320" s="8" t="n">
        <v>638</v>
      </c>
    </row>
    <row r="321" customFormat="false" ht="15" hidden="false" customHeight="true" outlineLevel="0" collapsed="false">
      <c r="A321" s="8" t="n">
        <v>2024</v>
      </c>
      <c r="B321" s="8" t="s">
        <v>135</v>
      </c>
      <c r="C321" s="8" t="s">
        <v>111</v>
      </c>
      <c r="D321" s="9" t="n">
        <v>-0.0909</v>
      </c>
      <c r="E321" s="8" t="n">
        <v>0.32</v>
      </c>
      <c r="F321" s="8" t="n">
        <v>649</v>
      </c>
    </row>
    <row r="322" customFormat="false" ht="15" hidden="false" customHeight="true" outlineLevel="0" collapsed="false">
      <c r="A322" s="8" t="n">
        <v>2018</v>
      </c>
      <c r="B322" s="8" t="s">
        <v>136</v>
      </c>
      <c r="C322" s="8" t="s">
        <v>111</v>
      </c>
      <c r="D322" s="9" t="n">
        <v>-0.0475</v>
      </c>
      <c r="E322" s="8" t="n">
        <v>0.25</v>
      </c>
      <c r="F322" s="8" t="n">
        <v>779</v>
      </c>
    </row>
    <row r="323" customFormat="false" ht="15" hidden="false" customHeight="true" outlineLevel="0" collapsed="false">
      <c r="A323" s="8" t="n">
        <v>2020</v>
      </c>
      <c r="B323" s="8" t="s">
        <v>136</v>
      </c>
      <c r="C323" s="8" t="s">
        <v>111</v>
      </c>
      <c r="D323" s="9" t="n">
        <v>-0.1089</v>
      </c>
      <c r="E323" s="8" t="n">
        <v>0.28</v>
      </c>
      <c r="F323" s="8" t="n">
        <v>845</v>
      </c>
    </row>
    <row r="324" customFormat="false" ht="15" hidden="false" customHeight="true" outlineLevel="0" collapsed="false">
      <c r="A324" s="8" t="n">
        <v>2022</v>
      </c>
      <c r="B324" s="8" t="s">
        <v>136</v>
      </c>
      <c r="C324" s="8" t="s">
        <v>111</v>
      </c>
      <c r="D324" s="9" t="n">
        <v>-0.1093</v>
      </c>
      <c r="E324" s="8" t="n">
        <v>0.34</v>
      </c>
      <c r="F324" s="8" t="n">
        <v>915</v>
      </c>
    </row>
    <row r="325" customFormat="false" ht="15" hidden="false" customHeight="true" outlineLevel="0" collapsed="false">
      <c r="A325" s="8" t="n">
        <v>2024</v>
      </c>
      <c r="B325" s="8" t="s">
        <v>136</v>
      </c>
      <c r="C325" s="8" t="s">
        <v>111</v>
      </c>
      <c r="D325" s="9" t="n">
        <v>-0.0886</v>
      </c>
      <c r="E325" s="8" t="n">
        <v>0.37</v>
      </c>
      <c r="F325" s="8" t="n">
        <v>971</v>
      </c>
    </row>
    <row r="326" customFormat="false" ht="15" hidden="false" customHeight="true" outlineLevel="0" collapsed="false">
      <c r="A326" s="8" t="n">
        <v>2018</v>
      </c>
      <c r="B326" s="8" t="s">
        <v>137</v>
      </c>
      <c r="C326" s="8" t="s">
        <v>111</v>
      </c>
      <c r="D326" s="9" t="n">
        <v>-0.1742</v>
      </c>
      <c r="E326" s="8" t="n">
        <v>0.19</v>
      </c>
      <c r="F326" s="8" t="n">
        <v>4697</v>
      </c>
    </row>
    <row r="327" customFormat="false" ht="15" hidden="false" customHeight="true" outlineLevel="0" collapsed="false">
      <c r="A327" s="8" t="n">
        <v>2020</v>
      </c>
      <c r="B327" s="8" t="s">
        <v>137</v>
      </c>
      <c r="C327" s="8" t="s">
        <v>111</v>
      </c>
      <c r="D327" s="9" t="n">
        <v>-0.2191</v>
      </c>
      <c r="E327" s="8" t="n">
        <v>0.28</v>
      </c>
      <c r="F327" s="8" t="n">
        <v>5067</v>
      </c>
    </row>
    <row r="328" customFormat="false" ht="15" hidden="false" customHeight="true" outlineLevel="0" collapsed="false">
      <c r="A328" s="8" t="n">
        <v>2022</v>
      </c>
      <c r="B328" s="8" t="s">
        <v>137</v>
      </c>
      <c r="C328" s="8" t="s">
        <v>111</v>
      </c>
      <c r="D328" s="9" t="n">
        <v>-0.2459</v>
      </c>
      <c r="E328" s="8" t="n">
        <v>0.29</v>
      </c>
      <c r="F328" s="8" t="n">
        <v>4997</v>
      </c>
    </row>
    <row r="329" customFormat="false" ht="15" hidden="false" customHeight="true" outlineLevel="0" collapsed="false">
      <c r="A329" s="8" t="n">
        <v>2024</v>
      </c>
      <c r="B329" s="8" t="s">
        <v>137</v>
      </c>
      <c r="C329" s="8" t="s">
        <v>111</v>
      </c>
      <c r="D329" s="9" t="n">
        <v>-0.3007</v>
      </c>
      <c r="E329" s="8" t="n">
        <v>0.27</v>
      </c>
      <c r="F329" s="8" t="n">
        <v>5134</v>
      </c>
    </row>
    <row r="330" customFormat="false" ht="15" hidden="false" customHeight="true" outlineLevel="0" collapsed="false">
      <c r="A330" s="8" t="n">
        <v>2018</v>
      </c>
      <c r="B330" s="8" t="s">
        <v>138</v>
      </c>
      <c r="C330" s="8" t="s">
        <v>111</v>
      </c>
      <c r="D330" s="9" t="n">
        <v>-0.0071</v>
      </c>
      <c r="E330" s="8" t="n">
        <v>0.36</v>
      </c>
      <c r="F330" s="8" t="n">
        <v>4532</v>
      </c>
    </row>
    <row r="331" customFormat="false" ht="15" hidden="false" customHeight="true" outlineLevel="0" collapsed="false">
      <c r="A331" s="8" t="n">
        <v>2020</v>
      </c>
      <c r="B331" s="8" t="s">
        <v>138</v>
      </c>
      <c r="C331" s="8" t="s">
        <v>111</v>
      </c>
      <c r="D331" s="9" t="n">
        <v>-0.0152</v>
      </c>
      <c r="E331" s="8" t="n">
        <v>0.35</v>
      </c>
      <c r="F331" s="8" t="n">
        <v>4995</v>
      </c>
    </row>
    <row r="332" customFormat="false" ht="15" hidden="false" customHeight="true" outlineLevel="0" collapsed="false">
      <c r="A332" s="8" t="n">
        <v>2022</v>
      </c>
      <c r="B332" s="8" t="s">
        <v>138</v>
      </c>
      <c r="C332" s="8" t="s">
        <v>111</v>
      </c>
      <c r="D332" s="9" t="n">
        <v>-0.0204</v>
      </c>
      <c r="E332" s="8" t="n">
        <v>0.44</v>
      </c>
      <c r="F332" s="8" t="n">
        <v>5006</v>
      </c>
    </row>
    <row r="333" customFormat="false" ht="15" hidden="false" customHeight="true" outlineLevel="0" collapsed="false">
      <c r="A333" s="8" t="n">
        <v>2024</v>
      </c>
      <c r="B333" s="8" t="s">
        <v>138</v>
      </c>
      <c r="C333" s="8" t="s">
        <v>111</v>
      </c>
      <c r="D333" s="9" t="n">
        <v>-0.0564</v>
      </c>
      <c r="E333" s="8" t="n">
        <v>0.41</v>
      </c>
      <c r="F333" s="8" t="n">
        <v>5146</v>
      </c>
    </row>
    <row r="334" customFormat="false" ht="15" hidden="false" customHeight="true" outlineLevel="0" collapsed="false">
      <c r="A334" s="8" t="n">
        <v>2018</v>
      </c>
      <c r="B334" s="8" t="s">
        <v>139</v>
      </c>
      <c r="C334" s="8" t="s">
        <v>111</v>
      </c>
      <c r="D334" s="9" t="n">
        <v>0.0414</v>
      </c>
      <c r="E334" s="8" t="n">
        <v>0.12</v>
      </c>
      <c r="F334" s="8" t="n">
        <v>1208</v>
      </c>
    </row>
    <row r="335" customFormat="false" ht="15" hidden="false" customHeight="true" outlineLevel="0" collapsed="false">
      <c r="A335" s="8" t="n">
        <v>2020</v>
      </c>
      <c r="B335" s="8" t="s">
        <v>139</v>
      </c>
      <c r="C335" s="8" t="s">
        <v>111</v>
      </c>
      <c r="D335" s="9" t="n">
        <v>-0.0244</v>
      </c>
      <c r="E335" s="8" t="n">
        <v>0.19</v>
      </c>
      <c r="F335" s="8" t="n">
        <v>1350</v>
      </c>
    </row>
    <row r="336" customFormat="false" ht="15" hidden="false" customHeight="true" outlineLevel="0" collapsed="false">
      <c r="A336" s="8" t="n">
        <v>2022</v>
      </c>
      <c r="B336" s="8" t="s">
        <v>139</v>
      </c>
      <c r="C336" s="8" t="s">
        <v>111</v>
      </c>
      <c r="D336" s="9" t="n">
        <v>-0.0554</v>
      </c>
      <c r="E336" s="8" t="n">
        <v>0.18</v>
      </c>
      <c r="F336" s="8" t="n">
        <v>1354</v>
      </c>
    </row>
    <row r="337" customFormat="false" ht="15" hidden="false" customHeight="true" outlineLevel="0" collapsed="false">
      <c r="A337" s="8" t="n">
        <v>2024</v>
      </c>
      <c r="B337" s="8" t="s">
        <v>139</v>
      </c>
      <c r="C337" s="8" t="s">
        <v>111</v>
      </c>
      <c r="D337" s="9" t="n">
        <v>-0.1375</v>
      </c>
      <c r="E337" s="8" t="n">
        <v>0.2</v>
      </c>
      <c r="F337" s="8" t="n">
        <v>1455</v>
      </c>
    </row>
    <row r="338" customFormat="false" ht="15" hidden="false" customHeight="true" outlineLevel="0" collapsed="false">
      <c r="A338" s="8" t="n">
        <v>2018</v>
      </c>
      <c r="B338" s="8" t="s">
        <v>103</v>
      </c>
      <c r="C338" s="8" t="s">
        <v>111</v>
      </c>
      <c r="D338" s="9" t="n">
        <v>-0.0792</v>
      </c>
      <c r="E338" s="8" t="n">
        <v>0.22</v>
      </c>
      <c r="F338" s="8" t="n">
        <v>3484</v>
      </c>
    </row>
    <row r="339" customFormat="false" ht="15" hidden="false" customHeight="true" outlineLevel="0" collapsed="false">
      <c r="A339" s="8" t="n">
        <v>2020</v>
      </c>
      <c r="B339" s="8" t="s">
        <v>103</v>
      </c>
      <c r="C339" s="8" t="s">
        <v>111</v>
      </c>
      <c r="D339" s="9" t="n">
        <v>-0.1454</v>
      </c>
      <c r="E339" s="8" t="n">
        <v>0.23</v>
      </c>
      <c r="F339" s="8" t="n">
        <v>3810</v>
      </c>
    </row>
    <row r="340" customFormat="false" ht="15" hidden="false" customHeight="true" outlineLevel="0" collapsed="false">
      <c r="A340" s="8" t="n">
        <v>2022</v>
      </c>
      <c r="B340" s="8" t="s">
        <v>103</v>
      </c>
      <c r="C340" s="8" t="s">
        <v>111</v>
      </c>
      <c r="D340" s="9" t="n">
        <v>-0.1876</v>
      </c>
      <c r="E340" s="8" t="n">
        <v>0.29</v>
      </c>
      <c r="F340" s="8" t="n">
        <v>3816</v>
      </c>
    </row>
    <row r="341" customFormat="false" ht="15" hidden="false" customHeight="true" outlineLevel="0" collapsed="false">
      <c r="A341" s="8" t="n">
        <v>2024</v>
      </c>
      <c r="B341" s="8" t="s">
        <v>103</v>
      </c>
      <c r="C341" s="8" t="s">
        <v>111</v>
      </c>
      <c r="D341" s="9" t="n">
        <v>-0.2373</v>
      </c>
      <c r="E341" s="8" t="n">
        <v>0.3</v>
      </c>
      <c r="F341" s="8" t="n">
        <v>3903</v>
      </c>
    </row>
    <row r="342" customFormat="false" ht="15" hidden="false" customHeight="true" outlineLevel="0" collapsed="false">
      <c r="A342" s="8" t="n">
        <v>2018</v>
      </c>
      <c r="B342" s="8" t="s">
        <v>140</v>
      </c>
      <c r="C342" s="8" t="s">
        <v>111</v>
      </c>
      <c r="D342" s="9" t="n">
        <v>0.1488</v>
      </c>
      <c r="E342" s="8" t="n">
        <v>0.1</v>
      </c>
      <c r="F342" s="8" t="n">
        <v>773</v>
      </c>
    </row>
    <row r="343" customFormat="false" ht="15" hidden="false" customHeight="true" outlineLevel="0" collapsed="false">
      <c r="A343" s="8" t="n">
        <v>2020</v>
      </c>
      <c r="B343" s="8" t="s">
        <v>140</v>
      </c>
      <c r="C343" s="8" t="s">
        <v>111</v>
      </c>
      <c r="D343" s="9" t="n">
        <v>0.0741</v>
      </c>
      <c r="E343" s="8" t="n">
        <v>0.08</v>
      </c>
      <c r="F343" s="8" t="n">
        <v>823</v>
      </c>
    </row>
    <row r="344" customFormat="false" ht="15" hidden="false" customHeight="true" outlineLevel="0" collapsed="false">
      <c r="A344" s="8" t="n">
        <v>2022</v>
      </c>
      <c r="B344" s="8" t="s">
        <v>140</v>
      </c>
      <c r="C344" s="8" t="s">
        <v>111</v>
      </c>
      <c r="D344" s="9" t="n">
        <v>0.0487</v>
      </c>
      <c r="E344" s="8" t="n">
        <v>0.09</v>
      </c>
      <c r="F344" s="8" t="n">
        <v>801</v>
      </c>
    </row>
    <row r="345" customFormat="false" ht="15" hidden="false" customHeight="true" outlineLevel="0" collapsed="false">
      <c r="A345" s="8" t="n">
        <v>2024</v>
      </c>
      <c r="B345" s="8" t="s">
        <v>140</v>
      </c>
      <c r="C345" s="8" t="s">
        <v>111</v>
      </c>
      <c r="D345" s="9" t="n">
        <v>0.0276</v>
      </c>
      <c r="E345" s="8" t="n">
        <v>0.12</v>
      </c>
      <c r="F345" s="8" t="n">
        <v>869</v>
      </c>
    </row>
    <row r="346" customFormat="false" ht="15" hidden="false" customHeight="true" outlineLevel="0" collapsed="false">
      <c r="A346" s="8" t="n">
        <v>2018</v>
      </c>
      <c r="B346" s="8" t="s">
        <v>141</v>
      </c>
      <c r="C346" s="8" t="s">
        <v>111</v>
      </c>
      <c r="D346" s="9" t="n">
        <v>-0.0954</v>
      </c>
      <c r="E346" s="8" t="n">
        <v>0.37</v>
      </c>
      <c r="F346" s="8" t="n">
        <v>4886</v>
      </c>
    </row>
    <row r="347" customFormat="false" ht="15" hidden="false" customHeight="true" outlineLevel="0" collapsed="false">
      <c r="A347" s="8" t="n">
        <v>2020</v>
      </c>
      <c r="B347" s="8" t="s">
        <v>141</v>
      </c>
      <c r="C347" s="8" t="s">
        <v>111</v>
      </c>
      <c r="D347" s="9" t="n">
        <v>-0.0942</v>
      </c>
      <c r="E347" s="8" t="n">
        <v>0.37</v>
      </c>
      <c r="F347" s="8" t="n">
        <v>5369</v>
      </c>
    </row>
    <row r="348" customFormat="false" ht="15" hidden="false" customHeight="true" outlineLevel="0" collapsed="false">
      <c r="A348" s="8" t="n">
        <v>2022</v>
      </c>
      <c r="B348" s="8" t="s">
        <v>141</v>
      </c>
      <c r="C348" s="8" t="s">
        <v>111</v>
      </c>
      <c r="D348" s="9" t="n">
        <v>-0.0964</v>
      </c>
      <c r="E348" s="8" t="n">
        <v>0.4</v>
      </c>
      <c r="F348" s="8" t="n">
        <v>5268</v>
      </c>
    </row>
    <row r="349" customFormat="false" ht="15" hidden="false" customHeight="true" outlineLevel="0" collapsed="false">
      <c r="A349" s="8" t="n">
        <v>2024</v>
      </c>
      <c r="B349" s="8" t="s">
        <v>141</v>
      </c>
      <c r="C349" s="8" t="s">
        <v>111</v>
      </c>
      <c r="D349" s="9" t="n">
        <v>-0.1141</v>
      </c>
      <c r="E349" s="8" t="n">
        <v>0.39</v>
      </c>
      <c r="F349" s="8" t="n">
        <v>5425</v>
      </c>
    </row>
    <row r="350" customFormat="false" ht="15" hidden="false" customHeight="true" outlineLevel="0" collapsed="false">
      <c r="A350" s="8" t="n">
        <v>2018</v>
      </c>
      <c r="B350" s="8" t="s">
        <v>142</v>
      </c>
      <c r="C350" s="8" t="s">
        <v>111</v>
      </c>
      <c r="D350" s="9" t="n">
        <v>0.2772</v>
      </c>
      <c r="E350" s="8" t="n">
        <v>0.22</v>
      </c>
      <c r="F350" s="8" t="n">
        <v>4801</v>
      </c>
    </row>
    <row r="351" customFormat="false" ht="15" hidden="false" customHeight="true" outlineLevel="0" collapsed="false">
      <c r="A351" s="8" t="n">
        <v>2020</v>
      </c>
      <c r="B351" s="8" t="s">
        <v>142</v>
      </c>
      <c r="C351" s="8" t="s">
        <v>111</v>
      </c>
      <c r="D351" s="9" t="n">
        <v>0.2514</v>
      </c>
      <c r="E351" s="8" t="n">
        <v>0.24</v>
      </c>
      <c r="F351" s="8" t="n">
        <v>5190</v>
      </c>
    </row>
    <row r="352" customFormat="false" ht="15" hidden="false" customHeight="true" outlineLevel="0" collapsed="false">
      <c r="A352" s="8" t="n">
        <v>2022</v>
      </c>
      <c r="B352" s="8" t="s">
        <v>142</v>
      </c>
      <c r="C352" s="8" t="s">
        <v>111</v>
      </c>
      <c r="D352" s="9" t="n">
        <v>0.2294</v>
      </c>
      <c r="E352" s="8" t="n">
        <v>0.18</v>
      </c>
      <c r="F352" s="8" t="n">
        <v>4966</v>
      </c>
    </row>
    <row r="353" customFormat="false" ht="15" hidden="false" customHeight="true" outlineLevel="0" collapsed="false">
      <c r="A353" s="8" t="n">
        <v>2024</v>
      </c>
      <c r="B353" s="8" t="s">
        <v>142</v>
      </c>
      <c r="C353" s="8" t="s">
        <v>111</v>
      </c>
      <c r="D353" s="9" t="n">
        <v>0.1874</v>
      </c>
      <c r="E353" s="8" t="n">
        <v>0.23</v>
      </c>
      <c r="F353" s="8" t="n">
        <v>5160</v>
      </c>
    </row>
    <row r="354" customFormat="false" ht="15" hidden="false" customHeight="true" outlineLevel="0" collapsed="false">
      <c r="A354" s="8" t="n">
        <v>2018</v>
      </c>
      <c r="B354" s="8" t="s">
        <v>143</v>
      </c>
      <c r="C354" s="8" t="s">
        <v>111</v>
      </c>
      <c r="D354" s="9" t="n">
        <v>0.0077</v>
      </c>
      <c r="E354" s="8" t="n">
        <v>0.15</v>
      </c>
      <c r="F354" s="8" t="n">
        <v>1684</v>
      </c>
    </row>
    <row r="355" customFormat="false" ht="15" hidden="false" customHeight="true" outlineLevel="0" collapsed="false">
      <c r="A355" s="8" t="n">
        <v>2020</v>
      </c>
      <c r="B355" s="8" t="s">
        <v>143</v>
      </c>
      <c r="C355" s="8" t="s">
        <v>111</v>
      </c>
      <c r="D355" s="9" t="n">
        <v>-0.0491</v>
      </c>
      <c r="E355" s="8" t="n">
        <v>0.15</v>
      </c>
      <c r="F355" s="8" t="n">
        <v>1814</v>
      </c>
    </row>
    <row r="356" customFormat="false" ht="15" hidden="false" customHeight="true" outlineLevel="0" collapsed="false">
      <c r="A356" s="8" t="n">
        <v>2022</v>
      </c>
      <c r="B356" s="8" t="s">
        <v>143</v>
      </c>
      <c r="C356" s="8" t="s">
        <v>111</v>
      </c>
      <c r="D356" s="9" t="n">
        <v>-0.0309</v>
      </c>
      <c r="E356" s="8" t="n">
        <v>0.22</v>
      </c>
      <c r="F356" s="8" t="n">
        <v>2039</v>
      </c>
    </row>
    <row r="357" customFormat="false" ht="15" hidden="false" customHeight="true" outlineLevel="0" collapsed="false">
      <c r="A357" s="8" t="n">
        <v>2024</v>
      </c>
      <c r="B357" s="8" t="s">
        <v>143</v>
      </c>
      <c r="C357" s="8" t="s">
        <v>111</v>
      </c>
      <c r="D357" s="9" t="n">
        <v>-0.0779</v>
      </c>
      <c r="E357" s="8" t="n">
        <v>0.25</v>
      </c>
      <c r="F357" s="8" t="n">
        <v>2131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4" min="2" style="1" width="28"/>
  </cols>
  <sheetData>
    <row r="1" customFormat="false" ht="15.75" hidden="false" customHeight="true" outlineLevel="0" collapsed="false">
      <c r="A1" s="10" t="s">
        <v>147</v>
      </c>
      <c r="B1" s="10"/>
      <c r="C1" s="10"/>
      <c r="D1" s="10"/>
    </row>
    <row r="3" customFormat="false" ht="69.75" hidden="false" customHeight="true" outlineLevel="0" collapsed="false">
      <c r="A3" s="7" t="s">
        <v>148</v>
      </c>
      <c r="B3" s="11" t="s">
        <v>149</v>
      </c>
      <c r="C3" s="11"/>
      <c r="D3" s="11"/>
    </row>
    <row r="4" customFormat="false" ht="69.75" hidden="false" customHeight="true" outlineLevel="0" collapsed="false">
      <c r="A4" s="7" t="s">
        <v>150</v>
      </c>
      <c r="B4" s="11" t="s">
        <v>151</v>
      </c>
      <c r="C4" s="11"/>
      <c r="D4" s="11"/>
    </row>
    <row r="5" customFormat="false" ht="69.75" hidden="false" customHeight="true" outlineLevel="0" collapsed="false">
      <c r="A5" s="7" t="s">
        <v>152</v>
      </c>
      <c r="B5" s="11" t="s">
        <v>153</v>
      </c>
      <c r="C5" s="11"/>
      <c r="D5" s="11"/>
    </row>
    <row r="6" customFormat="false" ht="69.75" hidden="false" customHeight="true" outlineLevel="0" collapsed="false">
      <c r="A6" s="7" t="s">
        <v>154</v>
      </c>
      <c r="B6" s="11" t="s">
        <v>155</v>
      </c>
      <c r="C6" s="11"/>
      <c r="D6" s="11"/>
    </row>
  </sheetData>
  <mergeCells count="5">
    <mergeCell ref="A1:D1"/>
    <mergeCell ref="B3:D3"/>
    <mergeCell ref="B4:D4"/>
    <mergeCell ref="B5:D5"/>
    <mergeCell ref="B6:D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3" min="2" style="1" width="14"/>
    <col collapsed="false" customWidth="true" hidden="false" outlineLevel="0" max="4" min="4" style="1" width="17"/>
    <col collapsed="false" customWidth="true" hidden="false" outlineLevel="0" max="5" min="5" style="1" width="15"/>
    <col collapsed="false" customWidth="true" hidden="false" outlineLevel="0" max="6" min="6" style="1" width="10"/>
    <col collapsed="false" customWidth="true" hidden="false" outlineLevel="0" max="7" min="7" style="1" width="14"/>
  </cols>
  <sheetData>
    <row r="1" customFormat="false" ht="15" hidden="false" customHeight="true" outlineLevel="0" collapsed="false">
      <c r="A1" s="7" t="s">
        <v>45</v>
      </c>
      <c r="B1" s="7" t="s">
        <v>46</v>
      </c>
      <c r="C1" s="7" t="s">
        <v>156</v>
      </c>
      <c r="D1" s="7" t="s">
        <v>157</v>
      </c>
      <c r="E1" s="7" t="s">
        <v>158</v>
      </c>
      <c r="F1" s="7" t="s">
        <v>159</v>
      </c>
      <c r="G1" s="7" t="s">
        <v>160</v>
      </c>
    </row>
    <row r="2" customFormat="false" ht="15" hidden="false" customHeight="true" outlineLevel="0" collapsed="false">
      <c r="A2" s="8" t="s">
        <v>56</v>
      </c>
      <c r="B2" s="8" t="s">
        <v>57</v>
      </c>
      <c r="C2" s="9" t="n">
        <f aca="false">AVERAGE('House Vote Data'!G2:G5)</f>
        <v>0.375810510522599</v>
      </c>
      <c r="D2" s="9" t="n">
        <f aca="false">AVERAGE(ABS('House Vote Data'!G2-0.5),ABS('House Vote Data'!G3-0.5),ABS('House Vote Data'!G4-0.5),ABS('House Vote Data'!G5-0.5))</f>
        <v>0.124189489477401</v>
      </c>
      <c r="E2" s="9" t="n">
        <f aca="false">STDEV('House Vote Data'!G2:G5)</f>
        <v>0.0357231604204351</v>
      </c>
      <c r="F2" s="8" t="n">
        <f aca="false">IF(('House Vote Data'!G2&gt;0.5)&lt;&gt;('House Vote Data'!G3&gt;0.5),1,0)+IF(('House Vote Data'!G3&gt;0.5)&lt;&gt;('House Vote Data'!G4&gt;0.5),1,0)+IF(('House Vote Data'!G4&gt;0.5)&lt;&gt;('House Vote Data'!G5&gt;0.5),1,0)</f>
        <v>0</v>
      </c>
      <c r="G2" s="7" t="str">
        <f aca="false">IF(OR(F2&gt;=1,D2&lt;0.05),"Hard",IF(AND(D2&gt;=0.15,E2&lt;0.05),"Easy","Medium"))</f>
        <v>Medium</v>
      </c>
    </row>
    <row r="3" customFormat="false" ht="15" hidden="false" customHeight="true" outlineLevel="0" collapsed="false">
      <c r="A3" s="8" t="s">
        <v>58</v>
      </c>
      <c r="B3" s="8" t="s">
        <v>57</v>
      </c>
      <c r="C3" s="9" t="n">
        <f aca="false">AVERAGE('House Vote Data'!G6:G9)</f>
        <v>0.282240496265658</v>
      </c>
      <c r="D3" s="9" t="n">
        <f aca="false">AVERAGE(ABS('House Vote Data'!G6-0.5),ABS('House Vote Data'!G7-0.5),ABS('House Vote Data'!G8-0.5),ABS('House Vote Data'!G9-0.5))</f>
        <v>0.217759503734342</v>
      </c>
      <c r="E3" s="9" t="n">
        <f aca="false">STDEV('House Vote Data'!G6:G9)</f>
        <v>0.0353941605128257</v>
      </c>
      <c r="F3" s="8" t="n">
        <f aca="false">IF(('House Vote Data'!G6&gt;0.5)&lt;&gt;('House Vote Data'!G7&gt;0.5),1,0)+IF(('House Vote Data'!G7&gt;0.5)&lt;&gt;('House Vote Data'!G8&gt;0.5),1,0)+IF(('House Vote Data'!G8&gt;0.5)&lt;&gt;('House Vote Data'!G9&gt;0.5),1,0)</f>
        <v>0</v>
      </c>
      <c r="G3" s="7" t="str">
        <f aca="false">IF(OR(F3&gt;=1,D3&lt;0.05),"Hard",IF(AND(D3&gt;=0.15,E3&lt;0.05),"Easy","Medium"))</f>
        <v>Easy</v>
      </c>
    </row>
    <row r="4" customFormat="false" ht="15" hidden="false" customHeight="true" outlineLevel="0" collapsed="false">
      <c r="A4" s="8" t="s">
        <v>59</v>
      </c>
      <c r="B4" s="8" t="s">
        <v>57</v>
      </c>
      <c r="C4" s="9" t="n">
        <f aca="false">AVERAGE('House Vote Data'!G10:G13)</f>
        <v>0.330421681428041</v>
      </c>
      <c r="D4" s="9" t="n">
        <f aca="false">AVERAGE(ABS('House Vote Data'!G10-0.5),ABS('House Vote Data'!G11-0.5),ABS('House Vote Data'!G12-0.5),ABS('House Vote Data'!G13-0.5))</f>
        <v>0.169578318571959</v>
      </c>
      <c r="E4" s="9" t="n">
        <f aca="false">STDEV('House Vote Data'!G10:G13)</f>
        <v>0.0551968749666725</v>
      </c>
      <c r="F4" s="8" t="n">
        <f aca="false">IF(('House Vote Data'!G10&gt;0.5)&lt;&gt;('House Vote Data'!G11&gt;0.5),1,0)+IF(('House Vote Data'!G11&gt;0.5)&lt;&gt;('House Vote Data'!G12&gt;0.5),1,0)+IF(('House Vote Data'!G12&gt;0.5)&lt;&gt;('House Vote Data'!G13&gt;0.5),1,0)</f>
        <v>0</v>
      </c>
      <c r="G4" s="7" t="str">
        <f aca="false">IF(OR(F4&gt;=1,D4&lt;0.05),"Hard",IF(AND(D4&gt;=0.15,E4&lt;0.05),"Easy","Medium"))</f>
        <v>Medium</v>
      </c>
    </row>
    <row r="5" customFormat="false" ht="15" hidden="false" customHeight="true" outlineLevel="0" collapsed="false">
      <c r="A5" s="8" t="s">
        <v>60</v>
      </c>
      <c r="B5" s="8" t="s">
        <v>57</v>
      </c>
      <c r="C5" s="9" t="n">
        <f aca="false">AVERAGE('House Vote Data'!G14:G17)</f>
        <v>0.281593729396407</v>
      </c>
      <c r="D5" s="9" t="n">
        <f aca="false">AVERAGE(ABS('House Vote Data'!G14-0.5),ABS('House Vote Data'!G15-0.5),ABS('House Vote Data'!G16-0.5),ABS('House Vote Data'!G17-0.5))</f>
        <v>0.218406270603593</v>
      </c>
      <c r="E5" s="9" t="n">
        <f aca="false">STDEV('House Vote Data'!G14:G17)</f>
        <v>0.0373830334627329</v>
      </c>
      <c r="F5" s="8" t="n">
        <f aca="false">IF(('House Vote Data'!G14&gt;0.5)&lt;&gt;('House Vote Data'!G15&gt;0.5),1,0)+IF(('House Vote Data'!G15&gt;0.5)&lt;&gt;('House Vote Data'!G16&gt;0.5),1,0)+IF(('House Vote Data'!G16&gt;0.5)&lt;&gt;('House Vote Data'!G17&gt;0.5),1,0)</f>
        <v>0</v>
      </c>
      <c r="G5" s="7" t="str">
        <f aca="false">IF(OR(F5&gt;=1,D5&lt;0.05),"Hard",IF(AND(D5&gt;=0.15,E5&lt;0.05),"Easy","Medium"))</f>
        <v>Easy</v>
      </c>
    </row>
    <row r="6" customFormat="false" ht="15" hidden="false" customHeight="true" outlineLevel="0" collapsed="false">
      <c r="A6" s="8" t="s">
        <v>61</v>
      </c>
      <c r="B6" s="8" t="s">
        <v>57</v>
      </c>
      <c r="C6" s="9" t="n">
        <f aca="false">AVERAGE('House Vote Data'!G18:G21)</f>
        <v>0.377159557577086</v>
      </c>
      <c r="D6" s="9" t="n">
        <f aca="false">AVERAGE(ABS('House Vote Data'!G18-0.5),ABS('House Vote Data'!G19-0.5),ABS('House Vote Data'!G20-0.5),ABS('House Vote Data'!G21-0.5))</f>
        <v>0.122840442422914</v>
      </c>
      <c r="E6" s="9" t="n">
        <f aca="false">STDEV('House Vote Data'!G18:G21)</f>
        <v>0.0497082744568814</v>
      </c>
      <c r="F6" s="8" t="n">
        <f aca="false">IF(('House Vote Data'!G18&gt;0.5)&lt;&gt;('House Vote Data'!G19&gt;0.5),1,0)+IF(('House Vote Data'!G19&gt;0.5)&lt;&gt;('House Vote Data'!G20&gt;0.5),1,0)+IF(('House Vote Data'!G20&gt;0.5)&lt;&gt;('House Vote Data'!G21&gt;0.5),1,0)</f>
        <v>0</v>
      </c>
      <c r="G6" s="7" t="str">
        <f aca="false">IF(OR(F6&gt;=1,D6&lt;0.05),"Hard",IF(AND(D6&gt;=0.15,E6&lt;0.05),"Easy","Medium"))</f>
        <v>Medium</v>
      </c>
    </row>
    <row r="7" customFormat="false" ht="15" hidden="false" customHeight="true" outlineLevel="0" collapsed="false">
      <c r="A7" s="8" t="s">
        <v>62</v>
      </c>
      <c r="B7" s="8" t="s">
        <v>57</v>
      </c>
      <c r="C7" s="9" t="n">
        <f aca="false">AVERAGE('House Vote Data'!G22:G25)</f>
        <v>0.285776945935851</v>
      </c>
      <c r="D7" s="9" t="n">
        <f aca="false">AVERAGE(ABS('House Vote Data'!G22-0.5),ABS('House Vote Data'!G23-0.5),ABS('House Vote Data'!G24-0.5),ABS('House Vote Data'!G25-0.5))</f>
        <v>0.214223054064149</v>
      </c>
      <c r="E7" s="9" t="n">
        <f aca="false">STDEV('House Vote Data'!G22:G25)</f>
        <v>0.0278733516592751</v>
      </c>
      <c r="F7" s="8" t="n">
        <f aca="false">IF(('House Vote Data'!G22&gt;0.5)&lt;&gt;('House Vote Data'!G23&gt;0.5),1,0)+IF(('House Vote Data'!G23&gt;0.5)&lt;&gt;('House Vote Data'!G24&gt;0.5),1,0)+IF(('House Vote Data'!G24&gt;0.5)&lt;&gt;('House Vote Data'!G25&gt;0.5),1,0)</f>
        <v>0</v>
      </c>
      <c r="G7" s="7" t="str">
        <f aca="false">IF(OR(F7&gt;=1,D7&lt;0.05),"Hard",IF(AND(D7&gt;=0.15,E7&lt;0.05),"Easy","Medium"))</f>
        <v>Easy</v>
      </c>
    </row>
    <row r="8" customFormat="false" ht="15" hidden="false" customHeight="true" outlineLevel="0" collapsed="false">
      <c r="A8" s="8" t="s">
        <v>63</v>
      </c>
      <c r="B8" s="8" t="s">
        <v>57</v>
      </c>
      <c r="C8" s="9" t="n">
        <f aca="false">AVERAGE('House Vote Data'!G26:G29)</f>
        <v>0.446700687514864</v>
      </c>
      <c r="D8" s="9" t="n">
        <f aca="false">AVERAGE(ABS('House Vote Data'!G26-0.5),ABS('House Vote Data'!G27-0.5),ABS('House Vote Data'!G28-0.5),ABS('House Vote Data'!G29-0.5))</f>
        <v>0.0532993124851362</v>
      </c>
      <c r="E8" s="9" t="n">
        <f aca="false">STDEV('House Vote Data'!G26:G29)</f>
        <v>0.0348868849192064</v>
      </c>
      <c r="F8" s="8" t="n">
        <f aca="false">IF(('House Vote Data'!G26&gt;0.5)&lt;&gt;('House Vote Data'!G27&gt;0.5),1,0)+IF(('House Vote Data'!G27&gt;0.5)&lt;&gt;('House Vote Data'!G28&gt;0.5),1,0)+IF(('House Vote Data'!G28&gt;0.5)&lt;&gt;('House Vote Data'!G29&gt;0.5),1,0)</f>
        <v>0</v>
      </c>
      <c r="G8" s="7" t="str">
        <f aca="false">IF(OR(F8&gt;=1,D8&lt;0.05),"Hard",IF(AND(D8&gt;=0.15,E8&lt;0.05),"Easy","Medium"))</f>
        <v>Medium</v>
      </c>
    </row>
    <row r="9" customFormat="false" ht="15" hidden="false" customHeight="true" outlineLevel="0" collapsed="false">
      <c r="A9" s="8" t="s">
        <v>64</v>
      </c>
      <c r="B9" s="8" t="s">
        <v>57</v>
      </c>
      <c r="C9" s="9" t="n">
        <f aca="false">AVERAGE('House Vote Data'!G30:G33)</f>
        <v>0.330132514621399</v>
      </c>
      <c r="D9" s="9" t="n">
        <f aca="false">AVERAGE(ABS('House Vote Data'!G30-0.5),ABS('House Vote Data'!G31-0.5),ABS('House Vote Data'!G32-0.5),ABS('House Vote Data'!G33-0.5))</f>
        <v>0.169867485378601</v>
      </c>
      <c r="E9" s="9" t="n">
        <f aca="false">STDEV('House Vote Data'!G30:G33)</f>
        <v>0.0191751433481656</v>
      </c>
      <c r="F9" s="8" t="n">
        <f aca="false">IF(('House Vote Data'!G30&gt;0.5)&lt;&gt;('House Vote Data'!G31&gt;0.5),1,0)+IF(('House Vote Data'!G31&gt;0.5)&lt;&gt;('House Vote Data'!G32&gt;0.5),1,0)+IF(('House Vote Data'!G32&gt;0.5)&lt;&gt;('House Vote Data'!G33&gt;0.5),1,0)</f>
        <v>0</v>
      </c>
      <c r="G9" s="7" t="str">
        <f aca="false">IF(OR(F9&gt;=1,D9&lt;0.05),"Hard",IF(AND(D9&gt;=0.15,E9&lt;0.05),"Easy","Medium"))</f>
        <v>Easy</v>
      </c>
    </row>
    <row r="10" customFormat="false" ht="15" hidden="false" customHeight="true" outlineLevel="0" collapsed="false">
      <c r="A10" s="8" t="s">
        <v>65</v>
      </c>
      <c r="B10" s="8" t="s">
        <v>57</v>
      </c>
      <c r="C10" s="9" t="n">
        <f aca="false">AVERAGE('House Vote Data'!G34:G37)</f>
        <v>0.432307339112754</v>
      </c>
      <c r="D10" s="9" t="n">
        <f aca="false">AVERAGE(ABS('House Vote Data'!G34-0.5),ABS('House Vote Data'!G35-0.5),ABS('House Vote Data'!G36-0.5),ABS('House Vote Data'!G37-0.5))</f>
        <v>0.067692660887246</v>
      </c>
      <c r="E10" s="9" t="n">
        <f aca="false">STDEV('House Vote Data'!G34:G37)</f>
        <v>0.0424701362365808</v>
      </c>
      <c r="F10" s="8" t="n">
        <f aca="false">IF(('House Vote Data'!G34&gt;0.5)&lt;&gt;('House Vote Data'!G35&gt;0.5),1,0)+IF(('House Vote Data'!G35&gt;0.5)&lt;&gt;('House Vote Data'!G36&gt;0.5),1,0)+IF(('House Vote Data'!G36&gt;0.5)&lt;&gt;('House Vote Data'!G37&gt;0.5),1,0)</f>
        <v>0</v>
      </c>
      <c r="G10" s="7" t="str">
        <f aca="false">IF(OR(F10&gt;=1,D10&lt;0.05),"Hard",IF(AND(D10&gt;=0.15,E10&lt;0.05),"Easy","Medium"))</f>
        <v>Medium</v>
      </c>
    </row>
    <row r="11" customFormat="false" ht="15" hidden="false" customHeight="true" outlineLevel="0" collapsed="false">
      <c r="A11" s="8" t="s">
        <v>66</v>
      </c>
      <c r="B11" s="8" t="s">
        <v>57</v>
      </c>
      <c r="C11" s="9" t="n">
        <f aca="false">AVERAGE('House Vote Data'!G38:G41)</f>
        <v>0.300632559687274</v>
      </c>
      <c r="D11" s="9" t="n">
        <f aca="false">AVERAGE(ABS('House Vote Data'!G38-0.5),ABS('House Vote Data'!G39-0.5),ABS('House Vote Data'!G40-0.5),ABS('House Vote Data'!G41-0.5))</f>
        <v>0.199367440312726</v>
      </c>
      <c r="E11" s="9" t="n">
        <f aca="false">STDEV('House Vote Data'!G38:G41)</f>
        <v>0.028779367578206</v>
      </c>
      <c r="F11" s="8" t="n">
        <f aca="false">IF(('House Vote Data'!G38&gt;0.5)&lt;&gt;('House Vote Data'!G39&gt;0.5),1,0)+IF(('House Vote Data'!G39&gt;0.5)&lt;&gt;('House Vote Data'!G40&gt;0.5),1,0)+IF(('House Vote Data'!G40&gt;0.5)&lt;&gt;('House Vote Data'!G41&gt;0.5),1,0)</f>
        <v>0</v>
      </c>
      <c r="G11" s="7" t="str">
        <f aca="false">IF(OR(F11&gt;=1,D11&lt;0.05),"Hard",IF(AND(D11&gt;=0.15,E11&lt;0.05),"Easy","Medium"))</f>
        <v>Easy</v>
      </c>
    </row>
    <row r="12" customFormat="false" ht="15" hidden="false" customHeight="true" outlineLevel="0" collapsed="false">
      <c r="A12" s="8" t="s">
        <v>67</v>
      </c>
      <c r="B12" s="8" t="s">
        <v>57</v>
      </c>
      <c r="C12" s="9" t="n">
        <f aca="false">AVERAGE('House Vote Data'!G42:G45)</f>
        <v>0.203639561497434</v>
      </c>
      <c r="D12" s="9" t="n">
        <f aca="false">AVERAGE(ABS('House Vote Data'!G42-0.5),ABS('House Vote Data'!G43-0.5),ABS('House Vote Data'!G44-0.5),ABS('House Vote Data'!G45-0.5))</f>
        <v>0.296360438502566</v>
      </c>
      <c r="E12" s="9" t="n">
        <f aca="false">STDEV('House Vote Data'!G42:G45)</f>
        <v>0.0132328807158897</v>
      </c>
      <c r="F12" s="8" t="n">
        <f aca="false">IF(('House Vote Data'!G42&gt;0.5)&lt;&gt;('House Vote Data'!G43&gt;0.5),1,0)+IF(('House Vote Data'!G43&gt;0.5)&lt;&gt;('House Vote Data'!G44&gt;0.5),1,0)+IF(('House Vote Data'!G44&gt;0.5)&lt;&gt;('House Vote Data'!G45&gt;0.5),1,0)</f>
        <v>0</v>
      </c>
      <c r="G12" s="7" t="str">
        <f aca="false">IF(OR(F12&gt;=1,D12&lt;0.05),"Hard",IF(AND(D12&gt;=0.15,E12&lt;0.05),"Easy","Medium"))</f>
        <v>Easy</v>
      </c>
    </row>
    <row r="13" customFormat="false" ht="15" hidden="false" customHeight="true" outlineLevel="0" collapsed="false">
      <c r="A13" s="8" t="s">
        <v>68</v>
      </c>
      <c r="B13" s="8" t="s">
        <v>57</v>
      </c>
      <c r="C13" s="9" t="n">
        <f aca="false">AVERAGE('House Vote Data'!G46:G49)</f>
        <v>0.414808169552878</v>
      </c>
      <c r="D13" s="9" t="n">
        <f aca="false">AVERAGE(ABS('House Vote Data'!G46-0.5),ABS('House Vote Data'!G47-0.5),ABS('House Vote Data'!G48-0.5),ABS('House Vote Data'!G49-0.5))</f>
        <v>0.0851918304471217</v>
      </c>
      <c r="E13" s="9" t="n">
        <f aca="false">STDEV('House Vote Data'!G46:G49)</f>
        <v>0.0418971092122143</v>
      </c>
      <c r="F13" s="8" t="n">
        <f aca="false">IF(('House Vote Data'!G46&gt;0.5)&lt;&gt;('House Vote Data'!G47&gt;0.5),1,0)+IF(('House Vote Data'!G47&gt;0.5)&lt;&gt;('House Vote Data'!G48&gt;0.5),1,0)+IF(('House Vote Data'!G48&gt;0.5)&lt;&gt;('House Vote Data'!G49&gt;0.5),1,0)</f>
        <v>0</v>
      </c>
      <c r="G13" s="7" t="str">
        <f aca="false">IF(OR(F13&gt;=1,D13&lt;0.05),"Hard",IF(AND(D13&gt;=0.15,E13&lt;0.05),"Easy","Medium"))</f>
        <v>Medium</v>
      </c>
    </row>
    <row r="14" customFormat="false" ht="15" hidden="false" customHeight="true" outlineLevel="0" collapsed="false">
      <c r="A14" s="8" t="s">
        <v>69</v>
      </c>
      <c r="B14" s="8" t="s">
        <v>57</v>
      </c>
      <c r="C14" s="9" t="n">
        <f aca="false">AVERAGE('House Vote Data'!G50:G53)</f>
        <v>0.317405319977375</v>
      </c>
      <c r="D14" s="9" t="n">
        <f aca="false">AVERAGE(ABS('House Vote Data'!G50-0.5),ABS('House Vote Data'!G51-0.5),ABS('House Vote Data'!G52-0.5),ABS('House Vote Data'!G53-0.5))</f>
        <v>0.182594680022625</v>
      </c>
      <c r="E14" s="9" t="n">
        <f aca="false">STDEV('House Vote Data'!G50:G53)</f>
        <v>0.0376050042665545</v>
      </c>
      <c r="F14" s="8" t="n">
        <f aca="false">IF(('House Vote Data'!G50&gt;0.5)&lt;&gt;('House Vote Data'!G51&gt;0.5),1,0)+IF(('House Vote Data'!G51&gt;0.5)&lt;&gt;('House Vote Data'!G52&gt;0.5),1,0)+IF(('House Vote Data'!G52&gt;0.5)&lt;&gt;('House Vote Data'!G53&gt;0.5),1,0)</f>
        <v>0</v>
      </c>
      <c r="G14" s="7" t="str">
        <f aca="false">IF(OR(F14&gt;=1,D14&lt;0.05),"Hard",IF(AND(D14&gt;=0.15,E14&lt;0.05),"Easy","Medium"))</f>
        <v>Easy</v>
      </c>
    </row>
    <row r="15" customFormat="false" ht="15" hidden="false" customHeight="true" outlineLevel="0" collapsed="false">
      <c r="A15" s="8" t="s">
        <v>70</v>
      </c>
      <c r="B15" s="8" t="s">
        <v>57</v>
      </c>
      <c r="C15" s="9" t="n">
        <f aca="false">AVERAGE('House Vote Data'!G54:G57)</f>
        <v>0.302676313604592</v>
      </c>
      <c r="D15" s="9" t="n">
        <f aca="false">AVERAGE(ABS('House Vote Data'!G54-0.5),ABS('House Vote Data'!G55-0.5),ABS('House Vote Data'!G56-0.5),ABS('House Vote Data'!G57-0.5))</f>
        <v>0.197323686395408</v>
      </c>
      <c r="E15" s="9" t="n">
        <f aca="false">STDEV('House Vote Data'!G54:G57)</f>
        <v>0.0343080453597736</v>
      </c>
      <c r="F15" s="8" t="n">
        <f aca="false">IF(('House Vote Data'!G54&gt;0.5)&lt;&gt;('House Vote Data'!G55&gt;0.5),1,0)+IF(('House Vote Data'!G55&gt;0.5)&lt;&gt;('House Vote Data'!G56&gt;0.5),1,0)+IF(('House Vote Data'!G56&gt;0.5)&lt;&gt;('House Vote Data'!G57&gt;0.5),1,0)</f>
        <v>0</v>
      </c>
      <c r="G15" s="7" t="str">
        <f aca="false">IF(OR(F15&gt;=1,D15&lt;0.05),"Hard",IF(AND(D15&gt;=0.15,E15&lt;0.05),"Easy","Medium"))</f>
        <v>Easy</v>
      </c>
    </row>
    <row r="16" customFormat="false" ht="15" hidden="false" customHeight="true" outlineLevel="0" collapsed="false">
      <c r="A16" s="8" t="s">
        <v>71</v>
      </c>
      <c r="B16" s="8" t="s">
        <v>57</v>
      </c>
      <c r="C16" s="9" t="n">
        <f aca="false">AVERAGE('House Vote Data'!G58:G61)</f>
        <v>0.411605814676528</v>
      </c>
      <c r="D16" s="9" t="n">
        <f aca="false">AVERAGE(ABS('House Vote Data'!G58-0.5),ABS('House Vote Data'!G59-0.5),ABS('House Vote Data'!G60-0.5),ABS('House Vote Data'!G61-0.5))</f>
        <v>0.0883941853234725</v>
      </c>
      <c r="E16" s="9" t="n">
        <f aca="false">STDEV('House Vote Data'!G58:G61)</f>
        <v>0.0466071433616912</v>
      </c>
      <c r="F16" s="8" t="n">
        <f aca="false">IF(('House Vote Data'!G58&gt;0.5)&lt;&gt;('House Vote Data'!G59&gt;0.5),1,0)+IF(('House Vote Data'!G59&gt;0.5)&lt;&gt;('House Vote Data'!G60&gt;0.5),1,0)+IF(('House Vote Data'!G60&gt;0.5)&lt;&gt;('House Vote Data'!G61&gt;0.5),1,0)</f>
        <v>0</v>
      </c>
      <c r="G16" s="7" t="str">
        <f aca="false">IF(OR(F16&gt;=1,D16&lt;0.05),"Hard",IF(AND(D16&gt;=0.15,E16&lt;0.05),"Easy","Medium"))</f>
        <v>Medium</v>
      </c>
    </row>
    <row r="17" customFormat="false" ht="15" hidden="false" customHeight="true" outlineLevel="0" collapsed="false">
      <c r="A17" s="8" t="s">
        <v>72</v>
      </c>
      <c r="B17" s="8" t="s">
        <v>57</v>
      </c>
      <c r="C17" s="9" t="n">
        <f aca="false">AVERAGE('House Vote Data'!G62:G65)</f>
        <v>0.196901650695234</v>
      </c>
      <c r="D17" s="9" t="n">
        <f aca="false">AVERAGE(ABS('House Vote Data'!G62-0.5),ABS('House Vote Data'!G63-0.5),ABS('House Vote Data'!G64-0.5),ABS('House Vote Data'!G65-0.5))</f>
        <v>0.303098349304766</v>
      </c>
      <c r="E17" s="9" t="n">
        <f aca="false">STDEV('House Vote Data'!G62:G65)</f>
        <v>0.0278075047347347</v>
      </c>
      <c r="F17" s="8" t="n">
        <f aca="false">IF(('House Vote Data'!G62&gt;0.5)&lt;&gt;('House Vote Data'!G63&gt;0.5),1,0)+IF(('House Vote Data'!G63&gt;0.5)&lt;&gt;('House Vote Data'!G64&gt;0.5),1,0)+IF(('House Vote Data'!G64&gt;0.5)&lt;&gt;('House Vote Data'!G65&gt;0.5),1,0)</f>
        <v>0</v>
      </c>
      <c r="G17" s="7" t="str">
        <f aca="false">IF(OR(F17&gt;=1,D17&lt;0.05),"Hard",IF(AND(D17&gt;=0.15,E17&lt;0.05),"Easy","Medium"))</f>
        <v>Easy</v>
      </c>
    </row>
    <row r="18" customFormat="false" ht="15" hidden="false" customHeight="true" outlineLevel="0" collapsed="false">
      <c r="A18" s="8" t="s">
        <v>73</v>
      </c>
      <c r="B18" s="8" t="s">
        <v>57</v>
      </c>
      <c r="C18" s="9" t="n">
        <f aca="false">AVERAGE('House Vote Data'!G66:G69)</f>
        <v>0.374776357608625</v>
      </c>
      <c r="D18" s="9" t="n">
        <f aca="false">AVERAGE(ABS('House Vote Data'!G66-0.5),ABS('House Vote Data'!G67-0.5),ABS('House Vote Data'!G68-0.5),ABS('House Vote Data'!G69-0.5))</f>
        <v>0.125223642391375</v>
      </c>
      <c r="E18" s="9" t="n">
        <f aca="false">STDEV('House Vote Data'!G66:G69)</f>
        <v>0.0315095075969768</v>
      </c>
      <c r="F18" s="8" t="n">
        <f aca="false">IF(('House Vote Data'!G66&gt;0.5)&lt;&gt;('House Vote Data'!G67&gt;0.5),1,0)+IF(('House Vote Data'!G67&gt;0.5)&lt;&gt;('House Vote Data'!G68&gt;0.5),1,0)+IF(('House Vote Data'!G68&gt;0.5)&lt;&gt;('House Vote Data'!G69&gt;0.5),1,0)</f>
        <v>0</v>
      </c>
      <c r="G18" s="7" t="str">
        <f aca="false">IF(OR(F18&gt;=1,D18&lt;0.05),"Hard",IF(AND(D18&gt;=0.15,E18&lt;0.05),"Easy","Medium"))</f>
        <v>Medium</v>
      </c>
    </row>
    <row r="19" customFormat="false" ht="15" hidden="false" customHeight="true" outlineLevel="0" collapsed="false">
      <c r="A19" s="8" t="s">
        <v>74</v>
      </c>
      <c r="B19" s="8" t="s">
        <v>57</v>
      </c>
      <c r="C19" s="9" t="n">
        <f aca="false">AVERAGE('House Vote Data'!G70:G73)</f>
        <v>0.28623540958693</v>
      </c>
      <c r="D19" s="9" t="n">
        <f aca="false">AVERAGE(ABS('House Vote Data'!G70-0.5),ABS('House Vote Data'!G71-0.5),ABS('House Vote Data'!G72-0.5),ABS('House Vote Data'!G73-0.5))</f>
        <v>0.21376459041307</v>
      </c>
      <c r="E19" s="9" t="n">
        <f aca="false">STDEV('House Vote Data'!G70:G73)</f>
        <v>0.0388721970793293</v>
      </c>
      <c r="F19" s="8" t="n">
        <f aca="false">IF(('House Vote Data'!G70&gt;0.5)&lt;&gt;('House Vote Data'!G71&gt;0.5),1,0)+IF(('House Vote Data'!G71&gt;0.5)&lt;&gt;('House Vote Data'!G72&gt;0.5),1,0)+IF(('House Vote Data'!G72&gt;0.5)&lt;&gt;('House Vote Data'!G73&gt;0.5),1,0)</f>
        <v>0</v>
      </c>
      <c r="G19" s="7" t="str">
        <f aca="false">IF(OR(F19&gt;=1,D19&lt;0.05),"Hard",IF(AND(D19&gt;=0.15,E19&lt;0.05),"Easy","Medium"))</f>
        <v>Easy</v>
      </c>
    </row>
    <row r="20" customFormat="false" ht="15" hidden="false" customHeight="true" outlineLevel="0" collapsed="false">
      <c r="A20" s="8" t="s">
        <v>75</v>
      </c>
      <c r="B20" s="8" t="s">
        <v>57</v>
      </c>
      <c r="C20" s="9" t="n">
        <f aca="false">AVERAGE('House Vote Data'!G74:G77)</f>
        <v>0.374089368771831</v>
      </c>
      <c r="D20" s="9" t="n">
        <f aca="false">AVERAGE(ABS('House Vote Data'!G74-0.5),ABS('House Vote Data'!G75-0.5),ABS('House Vote Data'!G76-0.5),ABS('House Vote Data'!G77-0.5))</f>
        <v>0.125910631228169</v>
      </c>
      <c r="E20" s="9" t="n">
        <f aca="false">STDEV('House Vote Data'!G74:G77)</f>
        <v>0.025105534344259</v>
      </c>
      <c r="F20" s="8" t="n">
        <f aca="false">IF(('House Vote Data'!G74&gt;0.5)&lt;&gt;('House Vote Data'!G75&gt;0.5),1,0)+IF(('House Vote Data'!G75&gt;0.5)&lt;&gt;('House Vote Data'!G76&gt;0.5),1,0)+IF(('House Vote Data'!G76&gt;0.5)&lt;&gt;('House Vote Data'!G77&gt;0.5),1,0)</f>
        <v>0</v>
      </c>
      <c r="G20" s="7" t="str">
        <f aca="false">IF(OR(F20&gt;=1,D20&lt;0.05),"Hard",IF(AND(D20&gt;=0.15,E20&lt;0.05),"Easy","Medium"))</f>
        <v>Medium</v>
      </c>
    </row>
    <row r="21" customFormat="false" ht="15" hidden="false" customHeight="true" outlineLevel="0" collapsed="false">
      <c r="A21" s="8" t="s">
        <v>76</v>
      </c>
      <c r="B21" s="8" t="s">
        <v>57</v>
      </c>
      <c r="C21" s="9" t="n">
        <f aca="false">AVERAGE('House Vote Data'!G78:G81)</f>
        <v>0.444814367380901</v>
      </c>
      <c r="D21" s="9" t="n">
        <f aca="false">AVERAGE(ABS('House Vote Data'!G78-0.5),ABS('House Vote Data'!G79-0.5),ABS('House Vote Data'!G80-0.5),ABS('House Vote Data'!G81-0.5))</f>
        <v>0.0578264776895217</v>
      </c>
      <c r="E21" s="9" t="n">
        <f aca="false">STDEV('House Vote Data'!G78:G81)</f>
        <v>0.0448998966817801</v>
      </c>
      <c r="F21" s="8" t="n">
        <f aca="false">IF(('House Vote Data'!G78&gt;0.5)&lt;&gt;('House Vote Data'!G79&gt;0.5),1,0)+IF(('House Vote Data'!G79&gt;0.5)&lt;&gt;('House Vote Data'!G80&gt;0.5),1,0)+IF(('House Vote Data'!G80&gt;0.5)&lt;&gt;('House Vote Data'!G81&gt;0.5),1,0)</f>
        <v>1</v>
      </c>
      <c r="G21" s="7" t="str">
        <f aca="false">IF(OR(F21&gt;=1,D21&lt;0.05),"Hard",IF(AND(D21&gt;=0.15,E21&lt;0.05),"Easy","Medium"))</f>
        <v>Hard</v>
      </c>
    </row>
    <row r="22" customFormat="false" ht="15" hidden="false" customHeight="true" outlineLevel="0" collapsed="false">
      <c r="A22" s="8" t="s">
        <v>77</v>
      </c>
      <c r="B22" s="8" t="s">
        <v>57</v>
      </c>
      <c r="C22" s="9" t="n">
        <f aca="false">AVERAGE('House Vote Data'!G82:G85)</f>
        <v>0.302788316082723</v>
      </c>
      <c r="D22" s="9" t="n">
        <f aca="false">AVERAGE(ABS('House Vote Data'!G82-0.5),ABS('House Vote Data'!G83-0.5),ABS('House Vote Data'!G84-0.5),ABS('House Vote Data'!G85-0.5))</f>
        <v>0.197211683917277</v>
      </c>
      <c r="E22" s="9" t="n">
        <f aca="false">STDEV('House Vote Data'!G82:G85)</f>
        <v>0.0326535121491152</v>
      </c>
      <c r="F22" s="8" t="n">
        <f aca="false">IF(('House Vote Data'!G82&gt;0.5)&lt;&gt;('House Vote Data'!G83&gt;0.5),1,0)+IF(('House Vote Data'!G83&gt;0.5)&lt;&gt;('House Vote Data'!G84&gt;0.5),1,0)+IF(('House Vote Data'!G84&gt;0.5)&lt;&gt;('House Vote Data'!G85&gt;0.5),1,0)</f>
        <v>0</v>
      </c>
      <c r="G22" s="7" t="str">
        <f aca="false">IF(OR(F22&gt;=1,D22&lt;0.05),"Hard",IF(AND(D22&gt;=0.15,E22&lt;0.05),"Easy","Medium"))</f>
        <v>Easy</v>
      </c>
    </row>
    <row r="23" customFormat="false" ht="15" hidden="false" customHeight="true" outlineLevel="0" collapsed="false">
      <c r="A23" s="8" t="s">
        <v>78</v>
      </c>
      <c r="B23" s="8" t="s">
        <v>57</v>
      </c>
      <c r="C23" s="9" t="n">
        <f aca="false">AVERAGE('House Vote Data'!G86:G89)</f>
        <v>0.287817850728569</v>
      </c>
      <c r="D23" s="9" t="n">
        <f aca="false">AVERAGE(ABS('House Vote Data'!G86-0.5),ABS('House Vote Data'!G87-0.5),ABS('House Vote Data'!G88-0.5),ABS('House Vote Data'!G89-0.5))</f>
        <v>0.212182149271431</v>
      </c>
      <c r="E23" s="9" t="n">
        <f aca="false">STDEV('House Vote Data'!G86:G89)</f>
        <v>0.0258626808711171</v>
      </c>
      <c r="F23" s="8" t="n">
        <f aca="false">IF(('House Vote Data'!G86&gt;0.5)&lt;&gt;('House Vote Data'!G87&gt;0.5),1,0)+IF(('House Vote Data'!G87&gt;0.5)&lt;&gt;('House Vote Data'!G88&gt;0.5),1,0)+IF(('House Vote Data'!G88&gt;0.5)&lt;&gt;('House Vote Data'!G89&gt;0.5),1,0)</f>
        <v>0</v>
      </c>
      <c r="G23" s="7" t="str">
        <f aca="false">IF(OR(F23&gt;=1,D23&lt;0.05),"Hard",IF(AND(D23&gt;=0.15,E23&lt;0.05),"Easy","Medium"))</f>
        <v>Easy</v>
      </c>
    </row>
    <row r="24" customFormat="false" ht="15" hidden="false" customHeight="true" outlineLevel="0" collapsed="false">
      <c r="A24" s="8" t="s">
        <v>79</v>
      </c>
      <c r="B24" s="8" t="s">
        <v>57</v>
      </c>
      <c r="C24" s="9" t="n">
        <f aca="false">AVERAGE('House Vote Data'!G90:G93)</f>
        <v>0.432815265165371</v>
      </c>
      <c r="D24" s="9" t="n">
        <f aca="false">AVERAGE(ABS('House Vote Data'!G90-0.5),ABS('House Vote Data'!G91-0.5),ABS('House Vote Data'!G92-0.5),ABS('House Vote Data'!G93-0.5))</f>
        <v>0.0722867756509557</v>
      </c>
      <c r="E24" s="9" t="n">
        <f aca="false">STDEV('House Vote Data'!G90:G93)</f>
        <v>0.066873161237007</v>
      </c>
      <c r="F24" s="8" t="n">
        <f aca="false">IF(('House Vote Data'!G90&gt;0.5)&lt;&gt;('House Vote Data'!G91&gt;0.5),1,0)+IF(('House Vote Data'!G91&gt;0.5)&lt;&gt;('House Vote Data'!G92&gt;0.5),1,0)+IF(('House Vote Data'!G92&gt;0.5)&lt;&gt;('House Vote Data'!G93&gt;0.5),1,0)</f>
        <v>1</v>
      </c>
      <c r="G24" s="7" t="str">
        <f aca="false">IF(OR(F24&gt;=1,D24&lt;0.05),"Hard",IF(AND(D24&gt;=0.15,E24&lt;0.05),"Easy","Medium"))</f>
        <v>Hard</v>
      </c>
    </row>
    <row r="25" customFormat="false" ht="15" hidden="false" customHeight="true" outlineLevel="0" collapsed="false">
      <c r="A25" s="8" t="s">
        <v>80</v>
      </c>
      <c r="B25" s="8" t="s">
        <v>81</v>
      </c>
      <c r="C25" s="9" t="n">
        <f aca="false">AVERAGE('House Vote Data'!G94:G97)</f>
        <v>0.48055533340665</v>
      </c>
      <c r="D25" s="9" t="n">
        <f aca="false">AVERAGE(ABS('House Vote Data'!G94-0.5),ABS('House Vote Data'!G95-0.5),ABS('House Vote Data'!G96-0.5),ABS('House Vote Data'!G97-0.5))</f>
        <v>0.0333981549654432</v>
      </c>
      <c r="E25" s="9" t="n">
        <f aca="false">STDEV('House Vote Data'!G94:G97)</f>
        <v>0.0371914364813788</v>
      </c>
      <c r="F25" s="8" t="n">
        <f aca="false">IF(('House Vote Data'!G94&gt;0.5)&lt;&gt;('House Vote Data'!G95&gt;0.5),1,0)+IF(('House Vote Data'!G95&gt;0.5)&lt;&gt;('House Vote Data'!G96&gt;0.5),1,0)+IF(('House Vote Data'!G96&gt;0.5)&lt;&gt;('House Vote Data'!G97&gt;0.5),1,0)</f>
        <v>1</v>
      </c>
      <c r="G25" s="7" t="str">
        <f aca="false">IF(OR(F25&gt;=1,D25&lt;0.05),"Hard",IF(AND(D25&gt;=0.15,E25&lt;0.05),"Easy","Medium"))</f>
        <v>Hard</v>
      </c>
    </row>
    <row r="26" customFormat="false" ht="15" hidden="false" customHeight="true" outlineLevel="0" collapsed="false">
      <c r="A26" s="8" t="s">
        <v>82</v>
      </c>
      <c r="B26" s="8" t="s">
        <v>81</v>
      </c>
      <c r="C26" s="9" t="n">
        <f aca="false">AVERAGE('House Vote Data'!G98:G101)</f>
        <v>0.685303652241092</v>
      </c>
      <c r="D26" s="9" t="n">
        <f aca="false">AVERAGE(ABS('House Vote Data'!G98-0.5),ABS('House Vote Data'!G99-0.5),ABS('House Vote Data'!G100-0.5),ABS('House Vote Data'!G101-0.5))</f>
        <v>0.185303652241092</v>
      </c>
      <c r="E26" s="9" t="n">
        <f aca="false">STDEV('House Vote Data'!G98:G101)</f>
        <v>0.0349037694419582</v>
      </c>
      <c r="F26" s="8" t="n">
        <f aca="false">IF(('House Vote Data'!G98&gt;0.5)&lt;&gt;('House Vote Data'!G99&gt;0.5),1,0)+IF(('House Vote Data'!G99&gt;0.5)&lt;&gt;('House Vote Data'!G100&gt;0.5),1,0)+IF(('House Vote Data'!G100&gt;0.5)&lt;&gt;('House Vote Data'!G101&gt;0.5),1,0)</f>
        <v>0</v>
      </c>
      <c r="G26" s="7" t="str">
        <f aca="false">IF(OR(F26&gt;=1,D26&lt;0.05),"Hard",IF(AND(D26&gt;=0.15,E26&lt;0.05),"Easy","Medium"))</f>
        <v>Easy</v>
      </c>
    </row>
    <row r="27" customFormat="false" ht="15" hidden="false" customHeight="true" outlineLevel="0" collapsed="false">
      <c r="A27" s="8" t="s">
        <v>83</v>
      </c>
      <c r="B27" s="8" t="s">
        <v>81</v>
      </c>
      <c r="C27" s="9" t="n">
        <f aca="false">AVERAGE('House Vote Data'!G102:G105)</f>
        <v>0.648188918268791</v>
      </c>
      <c r="D27" s="9" t="n">
        <f aca="false">AVERAGE(ABS('House Vote Data'!G102-0.5),ABS('House Vote Data'!G103-0.5),ABS('House Vote Data'!G104-0.5),ABS('House Vote Data'!G105-0.5))</f>
        <v>0.148188918268791</v>
      </c>
      <c r="E27" s="9" t="n">
        <f aca="false">STDEV('House Vote Data'!G102:G105)</f>
        <v>0.0195209926180855</v>
      </c>
      <c r="F27" s="8" t="n">
        <f aca="false">IF(('House Vote Data'!G102&gt;0.5)&lt;&gt;('House Vote Data'!G103&gt;0.5),1,0)+IF(('House Vote Data'!G103&gt;0.5)&lt;&gt;('House Vote Data'!G104&gt;0.5),1,0)+IF(('House Vote Data'!G104&gt;0.5)&lt;&gt;('House Vote Data'!G105&gt;0.5),1,0)</f>
        <v>0</v>
      </c>
      <c r="G27" s="7" t="str">
        <f aca="false">IF(OR(F27&gt;=1,D27&lt;0.05),"Hard",IF(AND(D27&gt;=0.15,E27&lt;0.05),"Easy","Medium"))</f>
        <v>Medium</v>
      </c>
    </row>
    <row r="28" customFormat="false" ht="15" hidden="false" customHeight="true" outlineLevel="0" collapsed="false">
      <c r="A28" s="8" t="s">
        <v>84</v>
      </c>
      <c r="B28" s="8" t="s">
        <v>81</v>
      </c>
      <c r="C28" s="9" t="n">
        <f aca="false">AVERAGE('House Vote Data'!G106:G109)</f>
        <v>0.535971789165492</v>
      </c>
      <c r="D28" s="9" t="n">
        <f aca="false">AVERAGE(ABS('House Vote Data'!G106-0.5),ABS('House Vote Data'!G107-0.5),ABS('House Vote Data'!G108-0.5),ABS('House Vote Data'!G109-0.5))</f>
        <v>0.0359717891654916</v>
      </c>
      <c r="E28" s="9" t="n">
        <f aca="false">STDEV('House Vote Data'!G106:G109)</f>
        <v>0.0321262678838274</v>
      </c>
      <c r="F28" s="8" t="n">
        <f aca="false">IF(('House Vote Data'!G106&gt;0.5)&lt;&gt;('House Vote Data'!G107&gt;0.5),1,0)+IF(('House Vote Data'!G107&gt;0.5)&lt;&gt;('House Vote Data'!G108&gt;0.5),1,0)+IF(('House Vote Data'!G108&gt;0.5)&lt;&gt;('House Vote Data'!G109&gt;0.5),1,0)</f>
        <v>0</v>
      </c>
      <c r="G28" s="7" t="str">
        <f aca="false">IF(OR(F28&gt;=1,D28&lt;0.05),"Hard",IF(AND(D28&gt;=0.15,E28&lt;0.05),"Easy","Medium"))</f>
        <v>Hard</v>
      </c>
    </row>
    <row r="29" customFormat="false" ht="15" hidden="false" customHeight="true" outlineLevel="0" collapsed="false">
      <c r="A29" s="8" t="s">
        <v>85</v>
      </c>
      <c r="B29" s="8" t="s">
        <v>81</v>
      </c>
      <c r="C29" s="9" t="n">
        <f aca="false">AVERAGE('House Vote Data'!G110:G113)</f>
        <v>0.498213009841276</v>
      </c>
      <c r="D29" s="9" t="n">
        <f aca="false">AVERAGE(ABS('House Vote Data'!G110-0.5),ABS('House Vote Data'!G111-0.5),ABS('House Vote Data'!G112-0.5),ABS('House Vote Data'!G113-0.5))</f>
        <v>0.0239700818226039</v>
      </c>
      <c r="E29" s="9" t="n">
        <f aca="false">STDEV('House Vote Data'!G110:G113)</f>
        <v>0.0296965205342726</v>
      </c>
      <c r="F29" s="8" t="n">
        <f aca="false">IF(('House Vote Data'!G110&gt;0.5)&lt;&gt;('House Vote Data'!G111&gt;0.5),1,0)+IF(('House Vote Data'!G111&gt;0.5)&lt;&gt;('House Vote Data'!G112&gt;0.5),1,0)+IF(('House Vote Data'!G112&gt;0.5)&lt;&gt;('House Vote Data'!G113&gt;0.5),1,0)</f>
        <v>3</v>
      </c>
      <c r="G29" s="7" t="str">
        <f aca="false">IF(OR(F29&gt;=1,D29&lt;0.05),"Hard",IF(AND(D29&gt;=0.15,E29&lt;0.05),"Easy","Medium"))</f>
        <v>Hard</v>
      </c>
    </row>
    <row r="30" customFormat="false" ht="15" hidden="false" customHeight="true" outlineLevel="0" collapsed="false">
      <c r="A30" s="8" t="s">
        <v>86</v>
      </c>
      <c r="B30" s="8" t="s">
        <v>81</v>
      </c>
      <c r="C30" s="9" t="n">
        <f aca="false">AVERAGE('House Vote Data'!G114:G117)</f>
        <v>0.524259156168924</v>
      </c>
      <c r="D30" s="9" t="n">
        <f aca="false">AVERAGE(ABS('House Vote Data'!G114-0.5),ABS('House Vote Data'!G115-0.5),ABS('House Vote Data'!G116-0.5),ABS('House Vote Data'!G117-0.5))</f>
        <v>0.0242591561689242</v>
      </c>
      <c r="E30" s="9" t="n">
        <f aca="false">STDEV('House Vote Data'!G114:G117)</f>
        <v>0.0290526921825658</v>
      </c>
      <c r="F30" s="8" t="n">
        <f aca="false">IF(('House Vote Data'!G114&gt;0.5)&lt;&gt;('House Vote Data'!G115&gt;0.5),1,0)+IF(('House Vote Data'!G115&gt;0.5)&lt;&gt;('House Vote Data'!G116&gt;0.5),1,0)+IF(('House Vote Data'!G116&gt;0.5)&lt;&gt;('House Vote Data'!G117&gt;0.5),1,0)</f>
        <v>0</v>
      </c>
      <c r="G30" s="7" t="str">
        <f aca="false">IF(OR(F30&gt;=1,D30&lt;0.05),"Hard",IF(AND(D30&gt;=0.15,E30&lt;0.05),"Easy","Medium"))</f>
        <v>Hard</v>
      </c>
    </row>
    <row r="31" customFormat="false" ht="15" hidden="false" customHeight="true" outlineLevel="0" collapsed="false">
      <c r="A31" s="8" t="s">
        <v>87</v>
      </c>
      <c r="B31" s="8" t="s">
        <v>81</v>
      </c>
      <c r="C31" s="9" t="n">
        <f aca="false">AVERAGE('House Vote Data'!G118:G121)</f>
        <v>0.541822300867192</v>
      </c>
      <c r="D31" s="9" t="n">
        <f aca="false">AVERAGE(ABS('House Vote Data'!G118-0.5),ABS('House Vote Data'!G119-0.5),ABS('House Vote Data'!G120-0.5),ABS('House Vote Data'!G121-0.5))</f>
        <v>0.041822300867192</v>
      </c>
      <c r="E31" s="9" t="n">
        <f aca="false">STDEV('House Vote Data'!G118:G121)</f>
        <v>0.0166348438182627</v>
      </c>
      <c r="F31" s="8" t="n">
        <f aca="false">IF(('House Vote Data'!G118&gt;0.5)&lt;&gt;('House Vote Data'!G119&gt;0.5),1,0)+IF(('House Vote Data'!G119&gt;0.5)&lt;&gt;('House Vote Data'!G120&gt;0.5),1,0)+IF(('House Vote Data'!G120&gt;0.5)&lt;&gt;('House Vote Data'!G121&gt;0.5),1,0)</f>
        <v>0</v>
      </c>
      <c r="G31" s="7" t="str">
        <f aca="false">IF(OR(F31&gt;=1,D31&lt;0.05),"Hard",IF(AND(D31&gt;=0.15,E31&lt;0.05),"Easy","Medium"))</f>
        <v>Hard</v>
      </c>
    </row>
    <row r="32" customFormat="false" ht="15" hidden="false" customHeight="true" outlineLevel="0" collapsed="false">
      <c r="A32" s="8" t="s">
        <v>88</v>
      </c>
      <c r="B32" s="8" t="s">
        <v>81</v>
      </c>
      <c r="C32" s="9" t="n">
        <f aca="false">AVERAGE('House Vote Data'!G122:G125)</f>
        <v>0.675398291960347</v>
      </c>
      <c r="D32" s="9" t="n">
        <f aca="false">AVERAGE(ABS('House Vote Data'!G122-0.5),ABS('House Vote Data'!G123-0.5),ABS('House Vote Data'!G124-0.5),ABS('House Vote Data'!G125-0.5))</f>
        <v>0.175398291960347</v>
      </c>
      <c r="E32" s="9" t="n">
        <f aca="false">STDEV('House Vote Data'!G122:G125)</f>
        <v>0.0249678879916935</v>
      </c>
      <c r="F32" s="8" t="n">
        <f aca="false">IF(('House Vote Data'!G122&gt;0.5)&lt;&gt;('House Vote Data'!G123&gt;0.5),1,0)+IF(('House Vote Data'!G123&gt;0.5)&lt;&gt;('House Vote Data'!G124&gt;0.5),1,0)+IF(('House Vote Data'!G124&gt;0.5)&lt;&gt;('House Vote Data'!G125&gt;0.5),1,0)</f>
        <v>0</v>
      </c>
      <c r="G32" s="7" t="str">
        <f aca="false">IF(OR(F32&gt;=1,D32&lt;0.05),"Hard",IF(AND(D32&gt;=0.15,E32&lt;0.05),"Easy","Medium"))</f>
        <v>Easy</v>
      </c>
    </row>
    <row r="33" customFormat="false" ht="15" hidden="false" customHeight="true" outlineLevel="0" collapsed="false">
      <c r="A33" s="8" t="s">
        <v>89</v>
      </c>
      <c r="B33" s="8" t="s">
        <v>81</v>
      </c>
      <c r="C33" s="9" t="n">
        <f aca="false">AVERAGE('House Vote Data'!G126:G129)</f>
        <v>0.566092901383646</v>
      </c>
      <c r="D33" s="9" t="n">
        <f aca="false">AVERAGE(ABS('House Vote Data'!G126-0.5),ABS('House Vote Data'!G127-0.5),ABS('House Vote Data'!G128-0.5),ABS('House Vote Data'!G129-0.5))</f>
        <v>0.0660929013836458</v>
      </c>
      <c r="E33" s="9" t="n">
        <f aca="false">STDEV('House Vote Data'!G126:G129)</f>
        <v>0.0260566604495199</v>
      </c>
      <c r="F33" s="8" t="n">
        <f aca="false">IF(('House Vote Data'!G126&gt;0.5)&lt;&gt;('House Vote Data'!G127&gt;0.5),1,0)+IF(('House Vote Data'!G127&gt;0.5)&lt;&gt;('House Vote Data'!G128&gt;0.5),1,0)+IF(('House Vote Data'!G128&gt;0.5)&lt;&gt;('House Vote Data'!G129&gt;0.5),1,0)</f>
        <v>0</v>
      </c>
      <c r="G33" s="7" t="str">
        <f aca="false">IF(OR(F33&gt;=1,D33&lt;0.05),"Hard",IF(AND(D33&gt;=0.15,E33&lt;0.05),"Easy","Medium"))</f>
        <v>Medium</v>
      </c>
    </row>
    <row r="34" customFormat="false" ht="15" hidden="false" customHeight="true" outlineLevel="0" collapsed="false">
      <c r="A34" s="8" t="s">
        <v>90</v>
      </c>
      <c r="B34" s="8" t="s">
        <v>81</v>
      </c>
      <c r="C34" s="9" t="n">
        <f aca="false">AVERAGE('House Vote Data'!G130:G133)</f>
        <v>0.329391240231538</v>
      </c>
      <c r="D34" s="9" t="n">
        <f aca="false">AVERAGE(ABS('House Vote Data'!G130-0.5),ABS('House Vote Data'!G131-0.5),ABS('House Vote Data'!G132-0.5),ABS('House Vote Data'!G133-0.5))</f>
        <v>0.170608759768462</v>
      </c>
      <c r="E34" s="9" t="n">
        <f aca="false">STDEV('House Vote Data'!G130:G133)</f>
        <v>0.0242130450702428</v>
      </c>
      <c r="F34" s="8" t="n">
        <f aca="false">IF(('House Vote Data'!G130&gt;0.5)&lt;&gt;('House Vote Data'!G131&gt;0.5),1,0)+IF(('House Vote Data'!G131&gt;0.5)&lt;&gt;('House Vote Data'!G132&gt;0.5),1,0)+IF(('House Vote Data'!G132&gt;0.5)&lt;&gt;('House Vote Data'!G133&gt;0.5),1,0)</f>
        <v>0</v>
      </c>
      <c r="G34" s="7" t="str">
        <f aca="false">IF(OR(F34&gt;=1,D34&lt;0.05),"Hard",IF(AND(D34&gt;=0.15,E34&lt;0.05),"Easy","Medium"))</f>
        <v>Easy</v>
      </c>
    </row>
    <row r="35" customFormat="false" ht="15" hidden="false" customHeight="true" outlineLevel="0" collapsed="false">
      <c r="A35" s="8" t="s">
        <v>91</v>
      </c>
      <c r="B35" s="8" t="s">
        <v>81</v>
      </c>
      <c r="C35" s="9" t="n">
        <f aca="false">AVERAGE('House Vote Data'!G134:G137)</f>
        <v>0.50687502749352</v>
      </c>
      <c r="D35" s="9" t="n">
        <f aca="false">AVERAGE(ABS('House Vote Data'!G134-0.5),ABS('House Vote Data'!G135-0.5),ABS('House Vote Data'!G136-0.5),ABS('House Vote Data'!G137-0.5))</f>
        <v>0.0120057036144844</v>
      </c>
      <c r="E35" s="9" t="n">
        <f aca="false">STDEV('House Vote Data'!G134:G137)</f>
        <v>0.0144715625778979</v>
      </c>
      <c r="F35" s="8" t="n">
        <f aca="false">IF(('House Vote Data'!G134&gt;0.5)&lt;&gt;('House Vote Data'!G135&gt;0.5),1,0)+IF(('House Vote Data'!G135&gt;0.5)&lt;&gt;('House Vote Data'!G136&gt;0.5),1,0)+IF(('House Vote Data'!G136&gt;0.5)&lt;&gt;('House Vote Data'!G137&gt;0.5),1,0)</f>
        <v>3</v>
      </c>
      <c r="G35" s="7" t="str">
        <f aca="false">IF(OR(F35&gt;=1,D35&lt;0.05),"Hard",IF(AND(D35&gt;=0.15,E35&lt;0.05),"Easy","Medium"))</f>
        <v>Hard</v>
      </c>
    </row>
    <row r="36" customFormat="false" ht="15" hidden="false" customHeight="true" outlineLevel="0" collapsed="false">
      <c r="A36" s="8" t="s">
        <v>92</v>
      </c>
      <c r="B36" s="8" t="s">
        <v>81</v>
      </c>
      <c r="C36" s="9" t="n">
        <f aca="false">AVERAGE('House Vote Data'!G138:G141)</f>
        <v>0.385150931372503</v>
      </c>
      <c r="D36" s="9" t="n">
        <f aca="false">AVERAGE(ABS('House Vote Data'!G138-0.5),ABS('House Vote Data'!G139-0.5),ABS('House Vote Data'!G140-0.5),ABS('House Vote Data'!G141-0.5))</f>
        <v>0.114849068627497</v>
      </c>
      <c r="E36" s="9" t="n">
        <f aca="false">STDEV('House Vote Data'!G138:G141)</f>
        <v>0.0144788925532878</v>
      </c>
      <c r="F36" s="8" t="n">
        <f aca="false">IF(('House Vote Data'!G138&gt;0.5)&lt;&gt;('House Vote Data'!G139&gt;0.5),1,0)+IF(('House Vote Data'!G139&gt;0.5)&lt;&gt;('House Vote Data'!G140&gt;0.5),1,0)+IF(('House Vote Data'!G140&gt;0.5)&lt;&gt;('House Vote Data'!G141&gt;0.5),1,0)</f>
        <v>0</v>
      </c>
      <c r="G36" s="7" t="str">
        <f aca="false">IF(OR(F36&gt;=1,D36&lt;0.05),"Hard",IF(AND(D36&gt;=0.15,E36&lt;0.05),"Easy","Medium"))</f>
        <v>Medium</v>
      </c>
    </row>
    <row r="37" customFormat="false" ht="15" hidden="false" customHeight="true" outlineLevel="0" collapsed="false">
      <c r="A37" s="8" t="s">
        <v>93</v>
      </c>
      <c r="B37" s="8" t="s">
        <v>81</v>
      </c>
      <c r="C37" s="9" t="n">
        <f aca="false">AVERAGE('House Vote Data'!G142:G145)</f>
        <v>0.366159631460626</v>
      </c>
      <c r="D37" s="9" t="n">
        <f aca="false">AVERAGE(ABS('House Vote Data'!G142-0.5),ABS('House Vote Data'!G143-0.5),ABS('House Vote Data'!G144-0.5),ABS('House Vote Data'!G145-0.5))</f>
        <v>0.133840368539374</v>
      </c>
      <c r="E37" s="9" t="n">
        <f aca="false">STDEV('House Vote Data'!G142:G145)</f>
        <v>0.0116220439776283</v>
      </c>
      <c r="F37" s="8" t="n">
        <f aca="false">IF(('House Vote Data'!G142&gt;0.5)&lt;&gt;('House Vote Data'!G143&gt;0.5),1,0)+IF(('House Vote Data'!G143&gt;0.5)&lt;&gt;('House Vote Data'!G144&gt;0.5),1,0)+IF(('House Vote Data'!G144&gt;0.5)&lt;&gt;('House Vote Data'!G145&gt;0.5),1,0)</f>
        <v>0</v>
      </c>
      <c r="G37" s="7" t="str">
        <f aca="false">IF(OR(F37&gt;=1,D37&lt;0.05),"Hard",IF(AND(D37&gt;=0.15,E37&lt;0.05),"Easy","Medium"))</f>
        <v>Medium</v>
      </c>
    </row>
    <row r="38" customFormat="false" ht="15" hidden="false" customHeight="true" outlineLevel="0" collapsed="false">
      <c r="A38" s="8" t="s">
        <v>94</v>
      </c>
      <c r="B38" s="8" t="s">
        <v>81</v>
      </c>
      <c r="C38" s="9" t="n">
        <f aca="false">AVERAGE('House Vote Data'!G146:G149)</f>
        <v>0.326383216169298</v>
      </c>
      <c r="D38" s="9" t="n">
        <f aca="false">AVERAGE(ABS('House Vote Data'!G146-0.5),ABS('House Vote Data'!G147-0.5),ABS('House Vote Data'!G148-0.5),ABS('House Vote Data'!G149-0.5))</f>
        <v>0.173616783830703</v>
      </c>
      <c r="E38" s="9" t="n">
        <f aca="false">STDEV('House Vote Data'!G146:G149)</f>
        <v>0.0102472600649559</v>
      </c>
      <c r="F38" s="8" t="n">
        <f aca="false">IF(('House Vote Data'!G146&gt;0.5)&lt;&gt;('House Vote Data'!G147&gt;0.5),1,0)+IF(('House Vote Data'!G147&gt;0.5)&lt;&gt;('House Vote Data'!G148&gt;0.5),1,0)+IF(('House Vote Data'!G148&gt;0.5)&lt;&gt;('House Vote Data'!G149&gt;0.5),1,0)</f>
        <v>0</v>
      </c>
      <c r="G38" s="7" t="str">
        <f aca="false">IF(OR(F38&gt;=1,D38&lt;0.05),"Hard",IF(AND(D38&gt;=0.15,E38&lt;0.05),"Easy","Medium"))</f>
        <v>Easy</v>
      </c>
    </row>
    <row r="39" customFormat="false" ht="15" hidden="false" customHeight="true" outlineLevel="0" collapsed="false">
      <c r="A39" s="8" t="s">
        <v>95</v>
      </c>
      <c r="B39" s="8" t="s">
        <v>81</v>
      </c>
      <c r="C39" s="9" t="n">
        <f aca="false">AVERAGE('House Vote Data'!G150:G153)</f>
        <v>0.541125769930642</v>
      </c>
      <c r="D39" s="9" t="n">
        <f aca="false">AVERAGE(ABS('House Vote Data'!G150-0.5),ABS('House Vote Data'!G151-0.5),ABS('House Vote Data'!G152-0.5),ABS('House Vote Data'!G153-0.5))</f>
        <v>0.0411257699306421</v>
      </c>
      <c r="E39" s="9" t="n">
        <f aca="false">STDEV('House Vote Data'!G150:G153)</f>
        <v>0.0115206504024483</v>
      </c>
      <c r="F39" s="8" t="n">
        <f aca="false">IF(('House Vote Data'!G150&gt;0.5)&lt;&gt;('House Vote Data'!G151&gt;0.5),1,0)+IF(('House Vote Data'!G151&gt;0.5)&lt;&gt;('House Vote Data'!G152&gt;0.5),1,0)+IF(('House Vote Data'!G152&gt;0.5)&lt;&gt;('House Vote Data'!G153&gt;0.5),1,0)</f>
        <v>0</v>
      </c>
      <c r="G39" s="7" t="str">
        <f aca="false">IF(OR(F39&gt;=1,D39&lt;0.05),"Hard",IF(AND(D39&gt;=0.15,E39&lt;0.05),"Easy","Medium"))</f>
        <v>Hard</v>
      </c>
    </row>
    <row r="40" customFormat="false" ht="15" hidden="false" customHeight="true" outlineLevel="0" collapsed="false">
      <c r="A40" s="8" t="s">
        <v>96</v>
      </c>
      <c r="B40" s="8" t="s">
        <v>81</v>
      </c>
      <c r="C40" s="9" t="n">
        <f aca="false">AVERAGE('House Vote Data'!G154:G157)</f>
        <v>0.411386626579685</v>
      </c>
      <c r="D40" s="9" t="n">
        <f aca="false">AVERAGE(ABS('House Vote Data'!G154-0.5),ABS('House Vote Data'!G155-0.5),ABS('House Vote Data'!G156-0.5),ABS('House Vote Data'!G157-0.5))</f>
        <v>0.0886133734203151</v>
      </c>
      <c r="E40" s="9" t="n">
        <f aca="false">STDEV('House Vote Data'!G154:G157)</f>
        <v>0.0108676743228383</v>
      </c>
      <c r="F40" s="8" t="n">
        <f aca="false">IF(('House Vote Data'!G154&gt;0.5)&lt;&gt;('House Vote Data'!G155&gt;0.5),1,0)+IF(('House Vote Data'!G155&gt;0.5)&lt;&gt;('House Vote Data'!G156&gt;0.5),1,0)+IF(('House Vote Data'!G156&gt;0.5)&lt;&gt;('House Vote Data'!G157&gt;0.5),1,0)</f>
        <v>0</v>
      </c>
      <c r="G40" s="7" t="str">
        <f aca="false">IF(OR(F40&gt;=1,D40&lt;0.05),"Hard",IF(AND(D40&gt;=0.15,E40&lt;0.05),"Easy","Medium"))</f>
        <v>Medium</v>
      </c>
    </row>
    <row r="41" customFormat="false" ht="15" hidden="false" customHeight="true" outlineLevel="0" collapsed="false">
      <c r="A41" s="8" t="s">
        <v>97</v>
      </c>
      <c r="B41" s="8" t="s">
        <v>81</v>
      </c>
      <c r="C41" s="9" t="n">
        <f aca="false">AVERAGE('House Vote Data'!G158:G161)</f>
        <v>0.50114822037264</v>
      </c>
      <c r="D41" s="9" t="n">
        <f aca="false">AVERAGE(ABS('House Vote Data'!G158-0.5),ABS('House Vote Data'!G159-0.5),ABS('House Vote Data'!G160-0.5),ABS('House Vote Data'!G161-0.5))</f>
        <v>0.00753196746844835</v>
      </c>
      <c r="E41" s="9" t="n">
        <f aca="false">STDEV('House Vote Data'!G158:G161)</f>
        <v>0.00871062807290604</v>
      </c>
      <c r="F41" s="8" t="n">
        <f aca="false">IF(('House Vote Data'!G158&gt;0.5)&lt;&gt;('House Vote Data'!G159&gt;0.5),1,0)+IF(('House Vote Data'!G159&gt;0.5)&lt;&gt;('House Vote Data'!G160&gt;0.5),1,0)+IF(('House Vote Data'!G160&gt;0.5)&lt;&gt;('House Vote Data'!G161&gt;0.5),1,0)</f>
        <v>3</v>
      </c>
      <c r="G41" s="7" t="str">
        <f aca="false">IF(OR(F41&gt;=1,D41&lt;0.05),"Hard",IF(AND(D41&gt;=0.15,E41&lt;0.05),"Easy","Medium"))</f>
        <v>Hard</v>
      </c>
    </row>
    <row r="42" customFormat="false" ht="15" hidden="false" customHeight="true" outlineLevel="0" collapsed="false">
      <c r="A42" s="8" t="s">
        <v>98</v>
      </c>
      <c r="B42" s="8" t="s">
        <v>81</v>
      </c>
      <c r="C42" s="9" t="n">
        <f aca="false">AVERAGE('House Vote Data'!G162:G165)</f>
        <v>0.429324807388493</v>
      </c>
      <c r="D42" s="9" t="n">
        <f aca="false">AVERAGE(ABS('House Vote Data'!G162-0.5),ABS('House Vote Data'!G163-0.5),ABS('House Vote Data'!G164-0.5),ABS('House Vote Data'!G165-0.5))</f>
        <v>0.070675192611507</v>
      </c>
      <c r="E42" s="9" t="n">
        <f aca="false">STDEV('House Vote Data'!G162:G165)</f>
        <v>0.0327408870876144</v>
      </c>
      <c r="F42" s="8" t="n">
        <f aca="false">IF(('House Vote Data'!G162&gt;0.5)&lt;&gt;('House Vote Data'!G163&gt;0.5),1,0)+IF(('House Vote Data'!G163&gt;0.5)&lt;&gt;('House Vote Data'!G164&gt;0.5),1,0)+IF(('House Vote Data'!G164&gt;0.5)&lt;&gt;('House Vote Data'!G165&gt;0.5),1,0)</f>
        <v>0</v>
      </c>
      <c r="G42" s="7" t="str">
        <f aca="false">IF(OR(F42&gt;=1,D42&lt;0.05),"Hard",IF(AND(D42&gt;=0.15,E42&lt;0.05),"Easy","Medium"))</f>
        <v>Medium</v>
      </c>
    </row>
    <row r="43" customFormat="false" ht="15" hidden="false" customHeight="true" outlineLevel="0" collapsed="false">
      <c r="A43" s="8" t="s">
        <v>99</v>
      </c>
      <c r="B43" s="8" t="s">
        <v>81</v>
      </c>
      <c r="C43" s="9" t="n">
        <f aca="false">AVERAGE('House Vote Data'!G166:G169)</f>
        <v>0.549087590017066</v>
      </c>
      <c r="D43" s="9" t="n">
        <f aca="false">AVERAGE(ABS('House Vote Data'!G166-0.5),ABS('House Vote Data'!G167-0.5),ABS('House Vote Data'!G168-0.5),ABS('House Vote Data'!G169-0.5))</f>
        <v>0.0490875900170665</v>
      </c>
      <c r="E43" s="9" t="n">
        <f aca="false">STDEV('House Vote Data'!G166:G169)</f>
        <v>0.0180401612404449</v>
      </c>
      <c r="F43" s="8" t="n">
        <f aca="false">IF(('House Vote Data'!G166&gt;0.5)&lt;&gt;('House Vote Data'!G167&gt;0.5),1,0)+IF(('House Vote Data'!G167&gt;0.5)&lt;&gt;('House Vote Data'!G168&gt;0.5),1,0)+IF(('House Vote Data'!G168&gt;0.5)&lt;&gt;('House Vote Data'!G169&gt;0.5),1,0)</f>
        <v>0</v>
      </c>
      <c r="G43" s="7" t="str">
        <f aca="false">IF(OR(F43&gt;=1,D43&lt;0.05),"Hard",IF(AND(D43&gt;=0.15,E43&lt;0.05),"Easy","Medium"))</f>
        <v>Hard</v>
      </c>
    </row>
    <row r="44" customFormat="false" ht="15" hidden="false" customHeight="true" outlineLevel="0" collapsed="false">
      <c r="A44" s="8" t="s">
        <v>100</v>
      </c>
      <c r="B44" s="8" t="s">
        <v>81</v>
      </c>
      <c r="C44" s="9" t="n">
        <f aca="false">AVERAGE('House Vote Data'!G170:G173)</f>
        <v>0.524149557099014</v>
      </c>
      <c r="D44" s="9" t="n">
        <f aca="false">AVERAGE(ABS('House Vote Data'!G170-0.5),ABS('House Vote Data'!G171-0.5),ABS('House Vote Data'!G172-0.5),ABS('House Vote Data'!G173-0.5))</f>
        <v>0.0241495570990141</v>
      </c>
      <c r="E44" s="9" t="n">
        <f aca="false">STDEV('House Vote Data'!G170:G173)</f>
        <v>0.0107183922526913</v>
      </c>
      <c r="F44" s="8" t="n">
        <f aca="false">IF(('House Vote Data'!G170&gt;0.5)&lt;&gt;('House Vote Data'!G171&gt;0.5),1,0)+IF(('House Vote Data'!G171&gt;0.5)&lt;&gt;('House Vote Data'!G172&gt;0.5),1,0)+IF(('House Vote Data'!G172&gt;0.5)&lt;&gt;('House Vote Data'!G173&gt;0.5),1,0)</f>
        <v>0</v>
      </c>
      <c r="G44" s="7" t="str">
        <f aca="false">IF(OR(F44&gt;=1,D44&lt;0.05),"Hard",IF(AND(D44&gt;=0.15,E44&lt;0.05),"Easy","Medium"))</f>
        <v>Hard</v>
      </c>
    </row>
    <row r="45" customFormat="false" ht="15" hidden="false" customHeight="true" outlineLevel="0" collapsed="false">
      <c r="A45" s="8" t="s">
        <v>101</v>
      </c>
      <c r="B45" s="8" t="s">
        <v>81</v>
      </c>
      <c r="C45" s="9" t="n">
        <f aca="false">AVERAGE('House Vote Data'!G174:G177)</f>
        <v>0.442842608762003</v>
      </c>
      <c r="D45" s="9" t="n">
        <f aca="false">AVERAGE(ABS('House Vote Data'!G174-0.5),ABS('House Vote Data'!G175-0.5),ABS('House Vote Data'!G176-0.5),ABS('House Vote Data'!G177-0.5))</f>
        <v>0.057157391237997</v>
      </c>
      <c r="E45" s="9" t="n">
        <f aca="false">STDEV('House Vote Data'!G174:G177)</f>
        <v>0.0145109619304353</v>
      </c>
      <c r="F45" s="8" t="n">
        <f aca="false">IF(('House Vote Data'!G174&gt;0.5)&lt;&gt;('House Vote Data'!G175&gt;0.5),1,0)+IF(('House Vote Data'!G175&gt;0.5)&lt;&gt;('House Vote Data'!G176&gt;0.5),1,0)+IF(('House Vote Data'!G176&gt;0.5)&lt;&gt;('House Vote Data'!G177&gt;0.5),1,0)</f>
        <v>0</v>
      </c>
      <c r="G45" s="7" t="str">
        <f aca="false">IF(OR(F45&gt;=1,D45&lt;0.05),"Hard",IF(AND(D45&gt;=0.15,E45&lt;0.05),"Easy","Medium"))</f>
        <v>Medium</v>
      </c>
    </row>
    <row r="46" customFormat="false" ht="15" hidden="false" customHeight="true" outlineLevel="0" collapsed="false">
      <c r="A46" s="8" t="s">
        <v>102</v>
      </c>
      <c r="B46" s="8" t="s">
        <v>81</v>
      </c>
      <c r="C46" s="9" t="n">
        <f aca="false">AVERAGE('House Vote Data'!G178:G181)</f>
        <v>0.487184273379115</v>
      </c>
      <c r="D46" s="9" t="n">
        <f aca="false">AVERAGE(ABS('House Vote Data'!G178-0.5),ABS('House Vote Data'!G179-0.5),ABS('House Vote Data'!G180-0.5),ABS('House Vote Data'!G181-0.5))</f>
        <v>0.0138698576750163</v>
      </c>
      <c r="E46" s="9" t="n">
        <f aca="false">STDEV('House Vote Data'!G178:G181)</f>
        <v>0.0148458720935645</v>
      </c>
      <c r="F46" s="8" t="n">
        <f aca="false">IF(('House Vote Data'!G178&gt;0.5)&lt;&gt;('House Vote Data'!G179&gt;0.5),1,0)+IF(('House Vote Data'!G179&gt;0.5)&lt;&gt;('House Vote Data'!G180&gt;0.5),1,0)+IF(('House Vote Data'!G180&gt;0.5)&lt;&gt;('House Vote Data'!G181&gt;0.5),1,0)</f>
        <v>2</v>
      </c>
      <c r="G46" s="7" t="str">
        <f aca="false">IF(OR(F46&gt;=1,D46&lt;0.05),"Hard",IF(AND(D46&gt;=0.15,E46&lt;0.05),"Easy","Medium"))</f>
        <v>Hard</v>
      </c>
    </row>
    <row r="47" customFormat="false" ht="15" hidden="false" customHeight="true" outlineLevel="0" collapsed="false">
      <c r="A47" s="8" t="s">
        <v>103</v>
      </c>
      <c r="B47" s="8" t="s">
        <v>81</v>
      </c>
      <c r="C47" s="9" t="n">
        <f aca="false">AVERAGE('House Vote Data'!G182:G185)</f>
        <v>0.337555971947404</v>
      </c>
      <c r="D47" s="9" t="n">
        <f aca="false">AVERAGE(ABS('House Vote Data'!G182-0.5),ABS('House Vote Data'!G183-0.5),ABS('House Vote Data'!G184-0.5),ABS('House Vote Data'!G185-0.5))</f>
        <v>0.162444028052596</v>
      </c>
      <c r="E47" s="9" t="n">
        <f aca="false">STDEV('House Vote Data'!G182:G185)</f>
        <v>0.0175253462626152</v>
      </c>
      <c r="F47" s="8" t="n">
        <f aca="false">IF(('House Vote Data'!G182&gt;0.5)&lt;&gt;('House Vote Data'!G183&gt;0.5),1,0)+IF(('House Vote Data'!G183&gt;0.5)&lt;&gt;('House Vote Data'!G184&gt;0.5),1,0)+IF(('House Vote Data'!G184&gt;0.5)&lt;&gt;('House Vote Data'!G185&gt;0.5),1,0)</f>
        <v>0</v>
      </c>
      <c r="G47" s="7" t="str">
        <f aca="false">IF(OR(F47&gt;=1,D47&lt;0.05),"Hard",IF(AND(D47&gt;=0.15,E47&lt;0.05),"Easy","Medium"))</f>
        <v>Easy</v>
      </c>
    </row>
    <row r="48" customFormat="false" ht="15" hidden="false" customHeight="true" outlineLevel="0" collapsed="false">
      <c r="A48" s="8" t="s">
        <v>104</v>
      </c>
      <c r="B48" s="8" t="s">
        <v>81</v>
      </c>
      <c r="C48" s="9" t="n">
        <f aca="false">AVERAGE('House Vote Data'!G186:G189)</f>
        <v>0.348827814296064</v>
      </c>
      <c r="D48" s="9" t="n">
        <f aca="false">AVERAGE(ABS('House Vote Data'!G186-0.5),ABS('House Vote Data'!G187-0.5),ABS('House Vote Data'!G188-0.5),ABS('House Vote Data'!G189-0.5))</f>
        <v>0.151172185703936</v>
      </c>
      <c r="E48" s="9" t="n">
        <f aca="false">STDEV('House Vote Data'!G186:G189)</f>
        <v>0.0132060756472128</v>
      </c>
      <c r="F48" s="8" t="n">
        <f aca="false">IF(('House Vote Data'!G186&gt;0.5)&lt;&gt;('House Vote Data'!G187&gt;0.5),1,0)+IF(('House Vote Data'!G187&gt;0.5)&lt;&gt;('House Vote Data'!G188&gt;0.5),1,0)+IF(('House Vote Data'!G188&gt;0.5)&lt;&gt;('House Vote Data'!G189&gt;0.5),1,0)</f>
        <v>0</v>
      </c>
      <c r="G48" s="7" t="str">
        <f aca="false">IF(OR(F48&gt;=1,D48&lt;0.05),"Hard",IF(AND(D48&gt;=0.15,E48&lt;0.05),"Easy","Medium"))</f>
        <v>Easy</v>
      </c>
    </row>
    <row r="49" customFormat="false" ht="15" hidden="false" customHeight="true" outlineLevel="0" collapsed="false">
      <c r="A49" s="8" t="s">
        <v>105</v>
      </c>
      <c r="B49" s="8" t="s">
        <v>81</v>
      </c>
      <c r="C49" s="9" t="n">
        <f aca="false">AVERAGE('House Vote Data'!G190:G193)</f>
        <v>0.533384119901341</v>
      </c>
      <c r="D49" s="9" t="n">
        <f aca="false">AVERAGE(ABS('House Vote Data'!G190-0.5),ABS('House Vote Data'!G191-0.5),ABS('House Vote Data'!G192-0.5),ABS('House Vote Data'!G193-0.5))</f>
        <v>0.0333841199013413</v>
      </c>
      <c r="E49" s="9" t="n">
        <f aca="false">STDEV('House Vote Data'!G190:G193)</f>
        <v>0.0205444235524733</v>
      </c>
      <c r="F49" s="8" t="n">
        <f aca="false">IF(('House Vote Data'!G190&gt;0.5)&lt;&gt;('House Vote Data'!G191&gt;0.5),1,0)+IF(('House Vote Data'!G191&gt;0.5)&lt;&gt;('House Vote Data'!G192&gt;0.5),1,0)+IF(('House Vote Data'!G192&gt;0.5)&lt;&gt;('House Vote Data'!G193&gt;0.5),1,0)</f>
        <v>0</v>
      </c>
      <c r="G49" s="7" t="str">
        <f aca="false">IF(OR(F49&gt;=1,D49&lt;0.05),"Hard",IF(AND(D49&gt;=0.15,E49&lt;0.05),"Easy","Medium"))</f>
        <v>Hard</v>
      </c>
    </row>
    <row r="50" customFormat="false" ht="15" hidden="false" customHeight="true" outlineLevel="0" collapsed="false">
      <c r="A50" s="8" t="s">
        <v>106</v>
      </c>
      <c r="B50" s="8" t="s">
        <v>107</v>
      </c>
      <c r="C50" s="9" t="n">
        <f aca="false">AVERAGE('House Vote Data'!G194:G197)</f>
        <v>0.317772215600385</v>
      </c>
      <c r="D50" s="9" t="n">
        <f aca="false">AVERAGE(ABS('House Vote Data'!G194-0.5),ABS('House Vote Data'!G195-0.5),ABS('House Vote Data'!G196-0.5),ABS('House Vote Data'!G197-0.5))</f>
        <v>0.182227784399615</v>
      </c>
      <c r="E50" s="9" t="n">
        <f aca="false">STDEV('House Vote Data'!G194:G197)</f>
        <v>0.0217769324443469</v>
      </c>
      <c r="F50" s="8" t="n">
        <f aca="false">IF(('House Vote Data'!G194&gt;0.5)&lt;&gt;('House Vote Data'!G195&gt;0.5),1,0)+IF(('House Vote Data'!G195&gt;0.5)&lt;&gt;('House Vote Data'!G196&gt;0.5),1,0)+IF(('House Vote Data'!G196&gt;0.5)&lt;&gt;('House Vote Data'!G197&gt;0.5),1,0)</f>
        <v>0</v>
      </c>
      <c r="G50" s="7" t="str">
        <f aca="false">IF(OR(F50&gt;=1,D50&lt;0.05),"Hard",IF(AND(D50&gt;=0.15,E50&lt;0.05),"Easy","Medium"))</f>
        <v>Easy</v>
      </c>
    </row>
    <row r="51" customFormat="false" ht="15" hidden="false" customHeight="true" outlineLevel="0" collapsed="false">
      <c r="A51" s="8" t="s">
        <v>108</v>
      </c>
      <c r="B51" s="8" t="s">
        <v>107</v>
      </c>
      <c r="C51" s="9" t="n">
        <f aca="false">AVERAGE('House Vote Data'!G198:G201)</f>
        <v>0.359685043778874</v>
      </c>
      <c r="D51" s="9" t="n">
        <f aca="false">AVERAGE(ABS('House Vote Data'!G198-0.5),ABS('House Vote Data'!G199-0.5),ABS('House Vote Data'!G200-0.5),ABS('House Vote Data'!G201-0.5))</f>
        <v>0.140314956221127</v>
      </c>
      <c r="E51" s="9" t="n">
        <f aca="false">STDEV('House Vote Data'!G198:G201)</f>
        <v>0.0347804950733796</v>
      </c>
      <c r="F51" s="8" t="n">
        <f aca="false">IF(('House Vote Data'!G198&gt;0.5)&lt;&gt;('House Vote Data'!G199&gt;0.5),1,0)+IF(('House Vote Data'!G199&gt;0.5)&lt;&gt;('House Vote Data'!G200&gt;0.5),1,0)+IF(('House Vote Data'!G200&gt;0.5)&lt;&gt;('House Vote Data'!G201&gt;0.5),1,0)</f>
        <v>0</v>
      </c>
      <c r="G51" s="7" t="str">
        <f aca="false">IF(OR(F51&gt;=1,D51&lt;0.05),"Hard",IF(AND(D51&gt;=0.15,E51&lt;0.05),"Easy","Medium"))</f>
        <v>Medium</v>
      </c>
    </row>
    <row r="52" customFormat="false" ht="15" hidden="false" customHeight="true" outlineLevel="0" collapsed="false">
      <c r="A52" s="8" t="s">
        <v>109</v>
      </c>
      <c r="B52" s="8" t="s">
        <v>107</v>
      </c>
      <c r="C52" s="9" t="n">
        <f aca="false">AVERAGE('House Vote Data'!G202:G205)</f>
        <v>0.372021991755633</v>
      </c>
      <c r="D52" s="9" t="n">
        <f aca="false">AVERAGE(ABS('House Vote Data'!G202-0.5),ABS('House Vote Data'!G203-0.5),ABS('House Vote Data'!G204-0.5),ABS('House Vote Data'!G205-0.5))</f>
        <v>0.127978008244367</v>
      </c>
      <c r="E52" s="9" t="n">
        <f aca="false">STDEV('House Vote Data'!G202:G205)</f>
        <v>0.0361050775501113</v>
      </c>
      <c r="F52" s="8" t="n">
        <f aca="false">IF(('House Vote Data'!G202&gt;0.5)&lt;&gt;('House Vote Data'!G203&gt;0.5),1,0)+IF(('House Vote Data'!G203&gt;0.5)&lt;&gt;('House Vote Data'!G204&gt;0.5),1,0)+IF(('House Vote Data'!G204&gt;0.5)&lt;&gt;('House Vote Data'!G205&gt;0.5),1,0)</f>
        <v>0</v>
      </c>
      <c r="G52" s="7" t="str">
        <f aca="false">IF(OR(F52&gt;=1,D52&lt;0.05),"Hard",IF(AND(D52&gt;=0.15,E52&lt;0.05),"Easy","Medium"))</f>
        <v>Medium</v>
      </c>
    </row>
    <row r="53" customFormat="false" ht="15" hidden="false" customHeight="true" outlineLevel="0" collapsed="false">
      <c r="A53" s="8" t="s">
        <v>110</v>
      </c>
      <c r="B53" s="8" t="s">
        <v>111</v>
      </c>
      <c r="C53" s="9" t="n">
        <f aca="false">AVERAGE('House Vote Data'!G206:G209)</f>
        <v>0.43584255809793</v>
      </c>
      <c r="D53" s="9" t="n">
        <f aca="false">AVERAGE(ABS('House Vote Data'!G206-0.5),ABS('House Vote Data'!G207-0.5),ABS('House Vote Data'!G208-0.5),ABS('House Vote Data'!G209-0.5))</f>
        <v>0.0641574419020698</v>
      </c>
      <c r="E53" s="9" t="n">
        <f aca="false">STDEV('House Vote Data'!G206:G209)</f>
        <v>0.010608033036926</v>
      </c>
      <c r="F53" s="8" t="n">
        <f aca="false">IF(('House Vote Data'!G206&gt;0.5)&lt;&gt;('House Vote Data'!G207&gt;0.5),1,0)+IF(('House Vote Data'!G207&gt;0.5)&lt;&gt;('House Vote Data'!G208&gt;0.5),1,0)+IF(('House Vote Data'!G208&gt;0.5)&lt;&gt;('House Vote Data'!G209&gt;0.5),1,0)</f>
        <v>0</v>
      </c>
      <c r="G53" s="7" t="str">
        <f aca="false">IF(OR(F53&gt;=1,D53&lt;0.05),"Hard",IF(AND(D53&gt;=0.15,E53&lt;0.05),"Easy","Medium"))</f>
        <v>Medium</v>
      </c>
    </row>
    <row r="54" customFormat="false" ht="15" hidden="false" customHeight="true" outlineLevel="0" collapsed="false">
      <c r="A54" s="8" t="s">
        <v>112</v>
      </c>
      <c r="B54" s="8" t="s">
        <v>111</v>
      </c>
      <c r="C54" s="9" t="n">
        <f aca="false">AVERAGE('House Vote Data'!G210:G213)</f>
        <v>0.436100236376213</v>
      </c>
      <c r="D54" s="9" t="n">
        <f aca="false">AVERAGE(ABS('House Vote Data'!G210-0.5),ABS('House Vote Data'!G211-0.5),ABS('House Vote Data'!G212-0.5),ABS('House Vote Data'!G213-0.5))</f>
        <v>0.063899763623787</v>
      </c>
      <c r="E54" s="9" t="n">
        <f aca="false">STDEV('House Vote Data'!G210:G213)</f>
        <v>0.0274439785802883</v>
      </c>
      <c r="F54" s="8" t="n">
        <f aca="false">IF(('House Vote Data'!G210&gt;0.5)&lt;&gt;('House Vote Data'!G211&gt;0.5),1,0)+IF(('House Vote Data'!G211&gt;0.5)&lt;&gt;('House Vote Data'!G212&gt;0.5),1,0)+IF(('House Vote Data'!G212&gt;0.5)&lt;&gt;('House Vote Data'!G213&gt;0.5),1,0)</f>
        <v>0</v>
      </c>
      <c r="G54" s="7" t="str">
        <f aca="false">IF(OR(F54&gt;=1,D54&lt;0.05),"Hard",IF(AND(D54&gt;=0.15,E54&lt;0.05),"Easy","Medium"))</f>
        <v>Medium</v>
      </c>
    </row>
    <row r="55" customFormat="false" ht="15" hidden="false" customHeight="true" outlineLevel="0" collapsed="false">
      <c r="A55" s="8" t="s">
        <v>113</v>
      </c>
      <c r="B55" s="8" t="s">
        <v>111</v>
      </c>
      <c r="C55" s="9" t="n">
        <f aca="false">AVERAGE('House Vote Data'!G214:G217)</f>
        <v>0.463197156353849</v>
      </c>
      <c r="D55" s="9" t="n">
        <f aca="false">AVERAGE(ABS('House Vote Data'!G214-0.5),ABS('House Vote Data'!G215-0.5),ABS('House Vote Data'!G216-0.5),ABS('House Vote Data'!G217-0.5))</f>
        <v>0.0368028436461507</v>
      </c>
      <c r="E55" s="9" t="n">
        <f aca="false">STDEV('House Vote Data'!G214:G217)</f>
        <v>0.00817520884377912</v>
      </c>
      <c r="F55" s="8" t="n">
        <f aca="false">IF(('House Vote Data'!G214&gt;0.5)&lt;&gt;('House Vote Data'!G215&gt;0.5),1,0)+IF(('House Vote Data'!G215&gt;0.5)&lt;&gt;('House Vote Data'!G216&gt;0.5),1,0)+IF(('House Vote Data'!G216&gt;0.5)&lt;&gt;('House Vote Data'!G217&gt;0.5),1,0)</f>
        <v>0</v>
      </c>
      <c r="G55" s="7" t="str">
        <f aca="false">IF(OR(F55&gt;=1,D55&lt;0.05),"Hard",IF(AND(D55&gt;=0.15,E55&lt;0.05),"Easy","Medium"))</f>
        <v>Hard</v>
      </c>
    </row>
    <row r="56" customFormat="false" ht="15" hidden="false" customHeight="true" outlineLevel="0" collapsed="false">
      <c r="A56" s="8" t="s">
        <v>83</v>
      </c>
      <c r="B56" s="8" t="s">
        <v>111</v>
      </c>
      <c r="C56" s="9" t="n">
        <f aca="false">AVERAGE('House Vote Data'!G218:G221)</f>
        <v>0.68396921577818</v>
      </c>
      <c r="D56" s="9" t="n">
        <f aca="false">AVERAGE(ABS('House Vote Data'!G218-0.5),ABS('House Vote Data'!G219-0.5),ABS('House Vote Data'!G220-0.5),ABS('House Vote Data'!G221-0.5))</f>
        <v>0.18396921577818</v>
      </c>
      <c r="E56" s="9" t="n">
        <f aca="false">STDEV('House Vote Data'!G218:G221)</f>
        <v>0.0193908438938567</v>
      </c>
      <c r="F56" s="8" t="n">
        <f aca="false">IF(('House Vote Data'!G218&gt;0.5)&lt;&gt;('House Vote Data'!G219&gt;0.5),1,0)+IF(('House Vote Data'!G219&gt;0.5)&lt;&gt;('House Vote Data'!G220&gt;0.5),1,0)+IF(('House Vote Data'!G220&gt;0.5)&lt;&gt;('House Vote Data'!G221&gt;0.5),1,0)</f>
        <v>0</v>
      </c>
      <c r="G56" s="7" t="str">
        <f aca="false">IF(OR(F56&gt;=1,D56&lt;0.05),"Hard",IF(AND(D56&gt;=0.15,E56&lt;0.05),"Easy","Medium"))</f>
        <v>Easy</v>
      </c>
    </row>
    <row r="57" customFormat="false" ht="15" hidden="false" customHeight="true" outlineLevel="0" collapsed="false">
      <c r="A57" s="8" t="s">
        <v>114</v>
      </c>
      <c r="B57" s="8" t="s">
        <v>111</v>
      </c>
      <c r="C57" s="9" t="n">
        <f aca="false">AVERAGE('House Vote Data'!G222:G225)</f>
        <v>0.538622465514914</v>
      </c>
      <c r="D57" s="9" t="n">
        <f aca="false">AVERAGE(ABS('House Vote Data'!G222-0.5),ABS('House Vote Data'!G223-0.5),ABS('House Vote Data'!G224-0.5),ABS('House Vote Data'!G225-0.5))</f>
        <v>0.0386224655149142</v>
      </c>
      <c r="E57" s="9" t="n">
        <f aca="false">STDEV('House Vote Data'!G222:G225)</f>
        <v>0.00783987254365819</v>
      </c>
      <c r="F57" s="8" t="n">
        <f aca="false">IF(('House Vote Data'!G222&gt;0.5)&lt;&gt;('House Vote Data'!G223&gt;0.5),1,0)+IF(('House Vote Data'!G223&gt;0.5)&lt;&gt;('House Vote Data'!G224&gt;0.5),1,0)+IF(('House Vote Data'!G224&gt;0.5)&lt;&gt;('House Vote Data'!G225&gt;0.5),1,0)</f>
        <v>0</v>
      </c>
      <c r="G57" s="7" t="str">
        <f aca="false">IF(OR(F57&gt;=1,D57&lt;0.05),"Hard",IF(AND(D57&gt;=0.15,E57&lt;0.05),"Easy","Medium"))</f>
        <v>Hard</v>
      </c>
    </row>
    <row r="58" customFormat="false" ht="15" hidden="false" customHeight="true" outlineLevel="0" collapsed="false">
      <c r="A58" s="8" t="s">
        <v>115</v>
      </c>
      <c r="B58" s="8" t="s">
        <v>111</v>
      </c>
      <c r="C58" s="9" t="n">
        <f aca="false">AVERAGE('House Vote Data'!G226:G229)</f>
        <v>0.385058784471513</v>
      </c>
      <c r="D58" s="9" t="n">
        <f aca="false">AVERAGE(ABS('House Vote Data'!G226-0.5),ABS('House Vote Data'!G227-0.5),ABS('House Vote Data'!G228-0.5),ABS('House Vote Data'!G229-0.5))</f>
        <v>0.114941215528487</v>
      </c>
      <c r="E58" s="9" t="n">
        <f aca="false">STDEV('House Vote Data'!G226:G229)</f>
        <v>0.0107589813390064</v>
      </c>
      <c r="F58" s="8" t="n">
        <f aca="false">IF(('House Vote Data'!G226&gt;0.5)&lt;&gt;('House Vote Data'!G227&gt;0.5),1,0)+IF(('House Vote Data'!G227&gt;0.5)&lt;&gt;('House Vote Data'!G228&gt;0.5),1,0)+IF(('House Vote Data'!G228&gt;0.5)&lt;&gt;('House Vote Data'!G229&gt;0.5),1,0)</f>
        <v>0</v>
      </c>
      <c r="G58" s="7" t="str">
        <f aca="false">IF(OR(F58&gt;=1,D58&lt;0.05),"Hard",IF(AND(D58&gt;=0.15,E58&lt;0.05),"Easy","Medium"))</f>
        <v>Medium</v>
      </c>
    </row>
    <row r="59" customFormat="false" ht="15" hidden="false" customHeight="true" outlineLevel="0" collapsed="false">
      <c r="A59" s="8" t="s">
        <v>116</v>
      </c>
      <c r="B59" s="8" t="s">
        <v>111</v>
      </c>
      <c r="C59" s="9" t="n">
        <f aca="false">AVERAGE('House Vote Data'!G230:G233)</f>
        <v>0.367680574358329</v>
      </c>
      <c r="D59" s="9" t="n">
        <f aca="false">AVERAGE(ABS('House Vote Data'!G230-0.5),ABS('House Vote Data'!G231-0.5),ABS('House Vote Data'!G232-0.5),ABS('House Vote Data'!G233-0.5))</f>
        <v>0.132319425641671</v>
      </c>
      <c r="E59" s="9" t="n">
        <f aca="false">STDEV('House Vote Data'!G230:G233)</f>
        <v>0.059954588813521</v>
      </c>
      <c r="F59" s="8" t="n">
        <f aca="false">IF(('House Vote Data'!G230&gt;0.5)&lt;&gt;('House Vote Data'!G231&gt;0.5),1,0)+IF(('House Vote Data'!G231&gt;0.5)&lt;&gt;('House Vote Data'!G232&gt;0.5),1,0)+IF(('House Vote Data'!G232&gt;0.5)&lt;&gt;('House Vote Data'!G233&gt;0.5),1,0)</f>
        <v>0</v>
      </c>
      <c r="G59" s="7" t="str">
        <f aca="false">IF(OR(F59&gt;=1,D59&lt;0.05),"Hard",IF(AND(D59&gt;=0.15,E59&lt;0.05),"Easy","Medium"))</f>
        <v>Medium</v>
      </c>
    </row>
    <row r="60" customFormat="false" ht="15" hidden="false" customHeight="true" outlineLevel="0" collapsed="false">
      <c r="A60" s="8" t="s">
        <v>117</v>
      </c>
      <c r="B60" s="8" t="s">
        <v>111</v>
      </c>
      <c r="C60" s="9" t="n">
        <f aca="false">AVERAGE('House Vote Data'!G234:G237)</f>
        <v>0.4246642354395</v>
      </c>
      <c r="D60" s="9" t="n">
        <f aca="false">AVERAGE(ABS('House Vote Data'!G234-0.5),ABS('House Vote Data'!G235-0.5),ABS('House Vote Data'!G236-0.5),ABS('House Vote Data'!G237-0.5))</f>
        <v>0.0753357645605001</v>
      </c>
      <c r="E60" s="9" t="n">
        <f aca="false">STDEV('House Vote Data'!G234:G237)</f>
        <v>0.0150941479502117</v>
      </c>
      <c r="F60" s="8" t="n">
        <f aca="false">IF(('House Vote Data'!G234&gt;0.5)&lt;&gt;('House Vote Data'!G235&gt;0.5),1,0)+IF(('House Vote Data'!G235&gt;0.5)&lt;&gt;('House Vote Data'!G236&gt;0.5),1,0)+IF(('House Vote Data'!G236&gt;0.5)&lt;&gt;('House Vote Data'!G237&gt;0.5),1,0)</f>
        <v>0</v>
      </c>
      <c r="G60" s="7" t="str">
        <f aca="false">IF(OR(F60&gt;=1,D60&lt;0.05),"Hard",IF(AND(D60&gt;=0.15,E60&lt;0.05),"Easy","Medium"))</f>
        <v>Medium</v>
      </c>
    </row>
    <row r="61" customFormat="false" ht="15" hidden="false" customHeight="true" outlineLevel="0" collapsed="false">
      <c r="A61" s="8" t="s">
        <v>118</v>
      </c>
      <c r="B61" s="8" t="s">
        <v>111</v>
      </c>
      <c r="C61" s="9" t="n">
        <f aca="false">AVERAGE('House Vote Data'!G238:G241)</f>
        <v>0.381646160638556</v>
      </c>
      <c r="D61" s="9" t="n">
        <f aca="false">AVERAGE(ABS('House Vote Data'!G238-0.5),ABS('House Vote Data'!G239-0.5),ABS('House Vote Data'!G240-0.5),ABS('House Vote Data'!G241-0.5))</f>
        <v>0.118353839361444</v>
      </c>
      <c r="E61" s="9" t="n">
        <f aca="false">STDEV('House Vote Data'!G238:G241)</f>
        <v>0.0338654506499825</v>
      </c>
      <c r="F61" s="8" t="n">
        <f aca="false">IF(('House Vote Data'!G238&gt;0.5)&lt;&gt;('House Vote Data'!G239&gt;0.5),1,0)+IF(('House Vote Data'!G239&gt;0.5)&lt;&gt;('House Vote Data'!G240&gt;0.5),1,0)+IF(('House Vote Data'!G240&gt;0.5)&lt;&gt;('House Vote Data'!G241&gt;0.5),1,0)</f>
        <v>0</v>
      </c>
      <c r="G61" s="7" t="str">
        <f aca="false">IF(OR(F61&gt;=1,D61&lt;0.05),"Hard",IF(AND(D61&gt;=0.15,E61&lt;0.05),"Easy","Medium"))</f>
        <v>Medium</v>
      </c>
    </row>
    <row r="62" customFormat="false" ht="15" hidden="false" customHeight="true" outlineLevel="0" collapsed="false">
      <c r="A62" s="8" t="s">
        <v>119</v>
      </c>
      <c r="B62" s="8" t="s">
        <v>111</v>
      </c>
      <c r="C62" s="9" t="n">
        <f aca="false">AVERAGE('House Vote Data'!G242:G245)</f>
        <v>0.724868199119088</v>
      </c>
      <c r="D62" s="9" t="n">
        <f aca="false">AVERAGE(ABS('House Vote Data'!G242-0.5),ABS('House Vote Data'!G243-0.5),ABS('House Vote Data'!G244-0.5),ABS('House Vote Data'!G245-0.5))</f>
        <v>0.224868199119088</v>
      </c>
      <c r="E62" s="9" t="n">
        <f aca="false">STDEV('House Vote Data'!G242:G245)</f>
        <v>0.029250266010115</v>
      </c>
      <c r="F62" s="8" t="n">
        <f aca="false">IF(('House Vote Data'!G242&gt;0.5)&lt;&gt;('House Vote Data'!G243&gt;0.5),1,0)+IF(('House Vote Data'!G243&gt;0.5)&lt;&gt;('House Vote Data'!G244&gt;0.5),1,0)+IF(('House Vote Data'!G244&gt;0.5)&lt;&gt;('House Vote Data'!G245&gt;0.5),1,0)</f>
        <v>0</v>
      </c>
      <c r="G62" s="7" t="str">
        <f aca="false">IF(OR(F62&gt;=1,D62&lt;0.05),"Hard",IF(AND(D62&gt;=0.15,E62&lt;0.05),"Easy","Medium"))</f>
        <v>Easy</v>
      </c>
    </row>
    <row r="63" customFormat="false" ht="15" hidden="false" customHeight="true" outlineLevel="0" collapsed="false">
      <c r="A63" s="8" t="s">
        <v>120</v>
      </c>
      <c r="B63" s="8" t="s">
        <v>111</v>
      </c>
      <c r="C63" s="9" t="n">
        <f aca="false">AVERAGE('House Vote Data'!G246:G249)</f>
        <v>0.523139765825721</v>
      </c>
      <c r="D63" s="9" t="n">
        <f aca="false">AVERAGE(ABS('House Vote Data'!G246-0.5),ABS('House Vote Data'!G247-0.5),ABS('House Vote Data'!G248-0.5),ABS('House Vote Data'!G249-0.5))</f>
        <v>0.0231397658257207</v>
      </c>
      <c r="E63" s="9" t="n">
        <f aca="false">STDEV('House Vote Data'!G246:G249)</f>
        <v>0.0133392942168014</v>
      </c>
      <c r="F63" s="8" t="n">
        <f aca="false">IF(('House Vote Data'!G246&gt;0.5)&lt;&gt;('House Vote Data'!G247&gt;0.5),1,0)+IF(('House Vote Data'!G247&gt;0.5)&lt;&gt;('House Vote Data'!G248&gt;0.5),1,0)+IF(('House Vote Data'!G248&gt;0.5)&lt;&gt;('House Vote Data'!G249&gt;0.5),1,0)</f>
        <v>0</v>
      </c>
      <c r="G63" s="7" t="str">
        <f aca="false">IF(OR(F63&gt;=1,D63&lt;0.05),"Hard",IF(AND(D63&gt;=0.15,E63&lt;0.05),"Easy","Medium"))</f>
        <v>Hard</v>
      </c>
    </row>
    <row r="64" customFormat="false" ht="15" hidden="false" customHeight="true" outlineLevel="0" collapsed="false">
      <c r="A64" s="8" t="s">
        <v>121</v>
      </c>
      <c r="B64" s="8" t="s">
        <v>111</v>
      </c>
      <c r="C64" s="9" t="n">
        <f aca="false">AVERAGE('House Vote Data'!G250:G253)</f>
        <v>0.619164936896678</v>
      </c>
      <c r="D64" s="9" t="n">
        <f aca="false">AVERAGE(ABS('House Vote Data'!G250-0.5),ABS('House Vote Data'!G251-0.5),ABS('House Vote Data'!G252-0.5),ABS('House Vote Data'!G253-0.5))</f>
        <v>0.119164936896678</v>
      </c>
      <c r="E64" s="9" t="n">
        <f aca="false">STDEV('House Vote Data'!G250:G253)</f>
        <v>0.0325288545141117</v>
      </c>
      <c r="F64" s="8" t="n">
        <f aca="false">IF(('House Vote Data'!G250&gt;0.5)&lt;&gt;('House Vote Data'!G251&gt;0.5),1,0)+IF(('House Vote Data'!G251&gt;0.5)&lt;&gt;('House Vote Data'!G252&gt;0.5),1,0)+IF(('House Vote Data'!G252&gt;0.5)&lt;&gt;('House Vote Data'!G253&gt;0.5),1,0)</f>
        <v>0</v>
      </c>
      <c r="G64" s="7" t="str">
        <f aca="false">IF(OR(F64&gt;=1,D64&lt;0.05),"Hard",IF(AND(D64&gt;=0.15,E64&lt;0.05),"Easy","Medium"))</f>
        <v>Medium</v>
      </c>
    </row>
    <row r="65" customFormat="false" ht="15" hidden="false" customHeight="true" outlineLevel="0" collapsed="false">
      <c r="A65" s="8" t="s">
        <v>122</v>
      </c>
      <c r="B65" s="8" t="s">
        <v>111</v>
      </c>
      <c r="C65" s="9" t="n">
        <f aca="false">AVERAGE('House Vote Data'!G254:G257)</f>
        <v>0.547725180575569</v>
      </c>
      <c r="D65" s="9" t="n">
        <f aca="false">AVERAGE(ABS('House Vote Data'!G254-0.5),ABS('House Vote Data'!G255-0.5),ABS('House Vote Data'!G256-0.5),ABS('House Vote Data'!G257-0.5))</f>
        <v>0.0477251805755692</v>
      </c>
      <c r="E65" s="9" t="n">
        <f aca="false">STDEV('House Vote Data'!G254:G257)</f>
        <v>0.0681990883777588</v>
      </c>
      <c r="F65" s="8" t="n">
        <f aca="false">IF(('House Vote Data'!G254&gt;0.5)&lt;&gt;('House Vote Data'!G255&gt;0.5),1,0)+IF(('House Vote Data'!G255&gt;0.5)&lt;&gt;('House Vote Data'!G256&gt;0.5),1,0)+IF(('House Vote Data'!G256&gt;0.5)&lt;&gt;('House Vote Data'!G257&gt;0.5),1,0)</f>
        <v>0</v>
      </c>
      <c r="G65" s="7" t="str">
        <f aca="false">IF(OR(F65&gt;=1,D65&lt;0.05),"Hard",IF(AND(D65&gt;=0.15,E65&lt;0.05),"Easy","Medium"))</f>
        <v>Hard</v>
      </c>
    </row>
    <row r="66" customFormat="false" ht="15" hidden="false" customHeight="true" outlineLevel="0" collapsed="false">
      <c r="A66" s="8" t="s">
        <v>89</v>
      </c>
      <c r="B66" s="8" t="s">
        <v>111</v>
      </c>
      <c r="C66" s="9" t="n">
        <f aca="false">AVERAGE('House Vote Data'!G258:G261)</f>
        <v>0.543282828254617</v>
      </c>
      <c r="D66" s="9" t="n">
        <f aca="false">AVERAGE(ABS('House Vote Data'!G258-0.5),ABS('House Vote Data'!G259-0.5),ABS('House Vote Data'!G260-0.5),ABS('House Vote Data'!G261-0.5))</f>
        <v>0.0432828282546171</v>
      </c>
      <c r="E66" s="9" t="n">
        <f aca="false">STDEV('House Vote Data'!G258:G261)</f>
        <v>0.00816721412345</v>
      </c>
      <c r="F66" s="8" t="n">
        <f aca="false">IF(('House Vote Data'!G258&gt;0.5)&lt;&gt;('House Vote Data'!G259&gt;0.5),1,0)+IF(('House Vote Data'!G259&gt;0.5)&lt;&gt;('House Vote Data'!G260&gt;0.5),1,0)+IF(('House Vote Data'!G260&gt;0.5)&lt;&gt;('House Vote Data'!G261&gt;0.5),1,0)</f>
        <v>0</v>
      </c>
      <c r="G66" s="7" t="str">
        <f aca="false">IF(OR(F66&gt;=1,D66&lt;0.05),"Hard",IF(AND(D66&gt;=0.15,E66&lt;0.05),"Easy","Medium"))</f>
        <v>Hard</v>
      </c>
    </row>
    <row r="67" customFormat="false" ht="15" hidden="false" customHeight="true" outlineLevel="0" collapsed="false">
      <c r="A67" s="8" t="s">
        <v>123</v>
      </c>
      <c r="B67" s="8" t="s">
        <v>111</v>
      </c>
      <c r="C67" s="9" t="n">
        <f aca="false">AVERAGE('House Vote Data'!G262:G265)</f>
        <v>0.527092441845504</v>
      </c>
      <c r="D67" s="9" t="n">
        <f aca="false">AVERAGE(ABS('House Vote Data'!G262-0.5),ABS('House Vote Data'!G263-0.5),ABS('House Vote Data'!G264-0.5),ABS('House Vote Data'!G265-0.5))</f>
        <v>0.0270924418455042</v>
      </c>
      <c r="E67" s="9" t="n">
        <f aca="false">STDEV('House Vote Data'!G262:G265)</f>
        <v>0.0273507613135238</v>
      </c>
      <c r="F67" s="8" t="n">
        <f aca="false">IF(('House Vote Data'!G262&gt;0.5)&lt;&gt;('House Vote Data'!G263&gt;0.5),1,0)+IF(('House Vote Data'!G263&gt;0.5)&lt;&gt;('House Vote Data'!G264&gt;0.5),1,0)+IF(('House Vote Data'!G264&gt;0.5)&lt;&gt;('House Vote Data'!G265&gt;0.5),1,0)</f>
        <v>0</v>
      </c>
      <c r="G67" s="7" t="str">
        <f aca="false">IF(OR(F67&gt;=1,D67&lt;0.05),"Hard",IF(AND(D67&gt;=0.15,E67&lt;0.05),"Easy","Medium"))</f>
        <v>Hard</v>
      </c>
    </row>
    <row r="68" customFormat="false" ht="15" hidden="false" customHeight="true" outlineLevel="0" collapsed="false">
      <c r="A68" s="8" t="s">
        <v>81</v>
      </c>
      <c r="B68" s="8" t="s">
        <v>111</v>
      </c>
      <c r="C68" s="9" t="n">
        <f aca="false">AVERAGE('House Vote Data'!G266:G269)</f>
        <v>0.346508016322232</v>
      </c>
      <c r="D68" s="9" t="n">
        <f aca="false">AVERAGE(ABS('House Vote Data'!G266-0.5),ABS('House Vote Data'!G267-0.5),ABS('House Vote Data'!G268-0.5),ABS('House Vote Data'!G269-0.5))</f>
        <v>0.153491983677768</v>
      </c>
      <c r="E68" s="9" t="n">
        <f aca="false">STDEV('House Vote Data'!G266:G269)</f>
        <v>0.0139306422677827</v>
      </c>
      <c r="F68" s="8" t="n">
        <f aca="false">IF(('House Vote Data'!G266&gt;0.5)&lt;&gt;('House Vote Data'!G267&gt;0.5),1,0)+IF(('House Vote Data'!G267&gt;0.5)&lt;&gt;('House Vote Data'!G268&gt;0.5),1,0)+IF(('House Vote Data'!G268&gt;0.5)&lt;&gt;('House Vote Data'!G269&gt;0.5),1,0)</f>
        <v>0</v>
      </c>
      <c r="G68" s="7" t="str">
        <f aca="false">IF(OR(F68&gt;=1,D68&lt;0.05),"Hard",IF(AND(D68&gt;=0.15,E68&lt;0.05),"Easy","Medium"))</f>
        <v>Easy</v>
      </c>
    </row>
    <row r="69" customFormat="false" ht="15" hidden="false" customHeight="true" outlineLevel="0" collapsed="false">
      <c r="A69" s="8" t="s">
        <v>124</v>
      </c>
      <c r="B69" s="8" t="s">
        <v>111</v>
      </c>
      <c r="C69" s="9" t="n">
        <f aca="false">AVERAGE('House Vote Data'!G270:G273)</f>
        <v>0.362460491630996</v>
      </c>
      <c r="D69" s="9" t="n">
        <f aca="false">AVERAGE(ABS('House Vote Data'!G270-0.5),ABS('House Vote Data'!G271-0.5),ABS('House Vote Data'!G272-0.5),ABS('House Vote Data'!G273-0.5))</f>
        <v>0.137539508369004</v>
      </c>
      <c r="E69" s="9" t="n">
        <f aca="false">STDEV('House Vote Data'!G270:G273)</f>
        <v>0.0353805223864919</v>
      </c>
      <c r="F69" s="8" t="n">
        <f aca="false">IF(('House Vote Data'!G270&gt;0.5)&lt;&gt;('House Vote Data'!G271&gt;0.5),1,0)+IF(('House Vote Data'!G271&gt;0.5)&lt;&gt;('House Vote Data'!G272&gt;0.5),1,0)+IF(('House Vote Data'!G272&gt;0.5)&lt;&gt;('House Vote Data'!G273&gt;0.5),1,0)</f>
        <v>0</v>
      </c>
      <c r="G69" s="7" t="str">
        <f aca="false">IF(OR(F69&gt;=1,D69&lt;0.05),"Hard",IF(AND(D69&gt;=0.15,E69&lt;0.05),"Easy","Medium"))</f>
        <v>Medium</v>
      </c>
    </row>
    <row r="70" customFormat="false" ht="15" hidden="false" customHeight="true" outlineLevel="0" collapsed="false">
      <c r="A70" s="8" t="s">
        <v>125</v>
      </c>
      <c r="B70" s="8" t="s">
        <v>111</v>
      </c>
      <c r="C70" s="9" t="n">
        <f aca="false">AVERAGE('House Vote Data'!G274:G277)</f>
        <v>0.439687004067185</v>
      </c>
      <c r="D70" s="9" t="n">
        <f aca="false">AVERAGE(ABS('House Vote Data'!G274-0.5),ABS('House Vote Data'!G275-0.5),ABS('House Vote Data'!G276-0.5),ABS('House Vote Data'!G277-0.5))</f>
        <v>0.0603129959328154</v>
      </c>
      <c r="E70" s="9" t="n">
        <f aca="false">STDEV('House Vote Data'!G274:G277)</f>
        <v>0.0118581743474252</v>
      </c>
      <c r="F70" s="8" t="n">
        <f aca="false">IF(('House Vote Data'!G274&gt;0.5)&lt;&gt;('House Vote Data'!G275&gt;0.5),1,0)+IF(('House Vote Data'!G275&gt;0.5)&lt;&gt;('House Vote Data'!G276&gt;0.5),1,0)+IF(('House Vote Data'!G276&gt;0.5)&lt;&gt;('House Vote Data'!G277&gt;0.5),1,0)</f>
        <v>0</v>
      </c>
      <c r="G70" s="7" t="str">
        <f aca="false">IF(OR(F70&gt;=1,D70&lt;0.05),"Hard",IF(AND(D70&gt;=0.15,E70&lt;0.05),"Easy","Medium"))</f>
        <v>Medium</v>
      </c>
    </row>
    <row r="71" customFormat="false" ht="15" hidden="false" customHeight="true" outlineLevel="0" collapsed="false">
      <c r="A71" s="8" t="s">
        <v>126</v>
      </c>
      <c r="B71" s="8" t="s">
        <v>111</v>
      </c>
      <c r="C71" s="9" t="n">
        <f aca="false">AVERAGE('House Vote Data'!G278:G281)</f>
        <v>0.482097242784183</v>
      </c>
      <c r="D71" s="9" t="n">
        <f aca="false">AVERAGE(ABS('House Vote Data'!G278-0.5),ABS('House Vote Data'!G279-0.5),ABS('House Vote Data'!G280-0.5),ABS('House Vote Data'!G281-0.5))</f>
        <v>0.0179027572158172</v>
      </c>
      <c r="E71" s="9" t="n">
        <f aca="false">STDEV('House Vote Data'!G278:G281)</f>
        <v>0.0120994112648422</v>
      </c>
      <c r="F71" s="8" t="n">
        <f aca="false">IF(('House Vote Data'!G278&gt;0.5)&lt;&gt;('House Vote Data'!G279&gt;0.5),1,0)+IF(('House Vote Data'!G279&gt;0.5)&lt;&gt;('House Vote Data'!G280&gt;0.5),1,0)+IF(('House Vote Data'!G280&gt;0.5)&lt;&gt;('House Vote Data'!G281&gt;0.5),1,0)</f>
        <v>0</v>
      </c>
      <c r="G71" s="7" t="str">
        <f aca="false">IF(OR(F71&gt;=1,D71&lt;0.05),"Hard",IF(AND(D71&gt;=0.15,E71&lt;0.05),"Easy","Medium"))</f>
        <v>Hard</v>
      </c>
    </row>
    <row r="72" customFormat="false" ht="15" hidden="false" customHeight="true" outlineLevel="0" collapsed="false">
      <c r="A72" s="8" t="s">
        <v>127</v>
      </c>
      <c r="B72" s="8" t="s">
        <v>111</v>
      </c>
      <c r="C72" s="9" t="n">
        <f aca="false">AVERAGE('House Vote Data'!G282:G285)</f>
        <v>0.342704571305577</v>
      </c>
      <c r="D72" s="9" t="n">
        <f aca="false">AVERAGE(ABS('House Vote Data'!G282-0.5),ABS('House Vote Data'!G283-0.5),ABS('House Vote Data'!G284-0.5),ABS('House Vote Data'!G285-0.5))</f>
        <v>0.157295428694423</v>
      </c>
      <c r="E72" s="9" t="n">
        <f aca="false">STDEV('House Vote Data'!G282:G285)</f>
        <v>0.013592923252692</v>
      </c>
      <c r="F72" s="8" t="n">
        <f aca="false">IF(('House Vote Data'!G282&gt;0.5)&lt;&gt;('House Vote Data'!G283&gt;0.5),1,0)+IF(('House Vote Data'!G283&gt;0.5)&lt;&gt;('House Vote Data'!G284&gt;0.5),1,0)+IF(('House Vote Data'!G284&gt;0.5)&lt;&gt;('House Vote Data'!G285&gt;0.5),1,0)</f>
        <v>0</v>
      </c>
      <c r="G72" s="7" t="str">
        <f aca="false">IF(OR(F72&gt;=1,D72&lt;0.05),"Hard",IF(AND(D72&gt;=0.15,E72&lt;0.05),"Easy","Medium"))</f>
        <v>Easy</v>
      </c>
    </row>
    <row r="73" customFormat="false" ht="15" hidden="false" customHeight="true" outlineLevel="0" collapsed="false">
      <c r="A73" s="8" t="s">
        <v>128</v>
      </c>
      <c r="B73" s="8" t="s">
        <v>111</v>
      </c>
      <c r="C73" s="9" t="n">
        <f aca="false">AVERAGE('House Vote Data'!G286:G289)</f>
        <v>0.503810327814116</v>
      </c>
      <c r="D73" s="9" t="n">
        <f aca="false">AVERAGE(ABS('House Vote Data'!G286-0.5),ABS('House Vote Data'!G287-0.5),ABS('House Vote Data'!G288-0.5),ABS('House Vote Data'!G289-0.5))</f>
        <v>0.0200131813523024</v>
      </c>
      <c r="E73" s="9" t="n">
        <f aca="false">STDEV('House Vote Data'!G286:G289)</f>
        <v>0.0242205716677914</v>
      </c>
      <c r="F73" s="8" t="n">
        <f aca="false">IF(('House Vote Data'!G286&gt;0.5)&lt;&gt;('House Vote Data'!G287&gt;0.5),1,0)+IF(('House Vote Data'!G287&gt;0.5)&lt;&gt;('House Vote Data'!G288&gt;0.5),1,0)+IF(('House Vote Data'!G288&gt;0.5)&lt;&gt;('House Vote Data'!G289&gt;0.5),1,0)</f>
        <v>3</v>
      </c>
      <c r="G73" s="7" t="str">
        <f aca="false">IF(OR(F73&gt;=1,D73&lt;0.05),"Hard",IF(AND(D73&gt;=0.15,E73&lt;0.05),"Easy","Medium"))</f>
        <v>Hard</v>
      </c>
    </row>
    <row r="74" customFormat="false" ht="15" hidden="false" customHeight="true" outlineLevel="0" collapsed="false">
      <c r="A74" s="8" t="s">
        <v>129</v>
      </c>
      <c r="B74" s="8" t="s">
        <v>111</v>
      </c>
      <c r="C74" s="9" t="n">
        <f aca="false">AVERAGE('House Vote Data'!G290:G293)</f>
        <v>0.49083324936826</v>
      </c>
      <c r="D74" s="9" t="n">
        <f aca="false">AVERAGE(ABS('House Vote Data'!G290-0.5),ABS('House Vote Data'!G291-0.5),ABS('House Vote Data'!G292-0.5),ABS('House Vote Data'!G293-0.5))</f>
        <v>0.0146707088919715</v>
      </c>
      <c r="E74" s="9" t="n">
        <f aca="false">STDEV('House Vote Data'!G290:G293)</f>
        <v>0.0195078832965213</v>
      </c>
      <c r="F74" s="8" t="n">
        <f aca="false">IF(('House Vote Data'!G290&gt;0.5)&lt;&gt;('House Vote Data'!G291&gt;0.5),1,0)+IF(('House Vote Data'!G291&gt;0.5)&lt;&gt;('House Vote Data'!G292&gt;0.5),1,0)+IF(('House Vote Data'!G292&gt;0.5)&lt;&gt;('House Vote Data'!G293&gt;0.5),1,0)</f>
        <v>3</v>
      </c>
      <c r="G74" s="7" t="str">
        <f aca="false">IF(OR(F74&gt;=1,D74&lt;0.05),"Hard",IF(AND(D74&gt;=0.15,E74&lt;0.05),"Easy","Medium"))</f>
        <v>Hard</v>
      </c>
    </row>
    <row r="75" customFormat="false" ht="15" hidden="false" customHeight="true" outlineLevel="0" collapsed="false">
      <c r="A75" s="8" t="s">
        <v>111</v>
      </c>
      <c r="B75" s="8" t="s">
        <v>111</v>
      </c>
      <c r="C75" s="9" t="n">
        <f aca="false">AVERAGE('House Vote Data'!G294:G297)</f>
        <v>0.476459327524166</v>
      </c>
      <c r="D75" s="9" t="n">
        <f aca="false">AVERAGE(ABS('House Vote Data'!G294-0.5),ABS('House Vote Data'!G295-0.5),ABS('House Vote Data'!G296-0.5),ABS('House Vote Data'!G297-0.5))</f>
        <v>0.0247586992724239</v>
      </c>
      <c r="E75" s="9" t="n">
        <f aca="false">STDEV('House Vote Data'!G294:G297)</f>
        <v>0.0283119750322057</v>
      </c>
      <c r="F75" s="8" t="n">
        <f aca="false">IF(('House Vote Data'!G294&gt;0.5)&lt;&gt;('House Vote Data'!G295&gt;0.5),1,0)+IF(('House Vote Data'!G295&gt;0.5)&lt;&gt;('House Vote Data'!G296&gt;0.5),1,0)+IF(('House Vote Data'!G296&gt;0.5)&lt;&gt;('House Vote Data'!G297&gt;0.5),1,0)</f>
        <v>1</v>
      </c>
      <c r="G75" s="7" t="str">
        <f aca="false">IF(OR(F75&gt;=1,D75&lt;0.05),"Hard",IF(AND(D75&gt;=0.15,E75&lt;0.05),"Easy","Medium"))</f>
        <v>Hard</v>
      </c>
    </row>
    <row r="76" customFormat="false" ht="15" hidden="false" customHeight="true" outlineLevel="0" collapsed="false">
      <c r="A76" s="8" t="s">
        <v>130</v>
      </c>
      <c r="B76" s="8" t="s">
        <v>111</v>
      </c>
      <c r="C76" s="9" t="n">
        <f aca="false">AVERAGE('House Vote Data'!G298:G301)</f>
        <v>0.518742156056046</v>
      </c>
      <c r="D76" s="9" t="n">
        <f aca="false">AVERAGE(ABS('House Vote Data'!G298-0.5),ABS('House Vote Data'!G299-0.5),ABS('House Vote Data'!G300-0.5),ABS('House Vote Data'!G301-0.5))</f>
        <v>0.0187421560560457</v>
      </c>
      <c r="E76" s="9" t="n">
        <f aca="false">STDEV('House Vote Data'!G298:G301)</f>
        <v>0.0166830673574064</v>
      </c>
      <c r="F76" s="8" t="n">
        <f aca="false">IF(('House Vote Data'!G298&gt;0.5)&lt;&gt;('House Vote Data'!G299&gt;0.5),1,0)+IF(('House Vote Data'!G299&gt;0.5)&lt;&gt;('House Vote Data'!G300&gt;0.5),1,0)+IF(('House Vote Data'!G300&gt;0.5)&lt;&gt;('House Vote Data'!G301&gt;0.5),1,0)</f>
        <v>0</v>
      </c>
      <c r="G76" s="7" t="str">
        <f aca="false">IF(OR(F76&gt;=1,D76&lt;0.05),"Hard",IF(AND(D76&gt;=0.15,E76&lt;0.05),"Easy","Medium"))</f>
        <v>Hard</v>
      </c>
    </row>
    <row r="77" customFormat="false" ht="15" hidden="false" customHeight="true" outlineLevel="0" collapsed="false">
      <c r="A77" s="8" t="s">
        <v>131</v>
      </c>
      <c r="B77" s="8" t="s">
        <v>111</v>
      </c>
      <c r="C77" s="9" t="n">
        <f aca="false">AVERAGE('House Vote Data'!G302:G305)</f>
        <v>0.391875507375266</v>
      </c>
      <c r="D77" s="9" t="n">
        <f aca="false">AVERAGE(ABS('House Vote Data'!G302-0.5),ABS('House Vote Data'!G303-0.5),ABS('House Vote Data'!G304-0.5),ABS('House Vote Data'!G305-0.5))</f>
        <v>0.108124492624734</v>
      </c>
      <c r="E77" s="9" t="n">
        <f aca="false">STDEV('House Vote Data'!G302:G305)</f>
        <v>0.0175300293366473</v>
      </c>
      <c r="F77" s="8" t="n">
        <f aca="false">IF(('House Vote Data'!G302&gt;0.5)&lt;&gt;('House Vote Data'!G303&gt;0.5),1,0)+IF(('House Vote Data'!G303&gt;0.5)&lt;&gt;('House Vote Data'!G304&gt;0.5),1,0)+IF(('House Vote Data'!G304&gt;0.5)&lt;&gt;('House Vote Data'!G305&gt;0.5),1,0)</f>
        <v>0</v>
      </c>
      <c r="G77" s="7" t="str">
        <f aca="false">IF(OR(F77&gt;=1,D77&lt;0.05),"Hard",IF(AND(D77&gt;=0.15,E77&lt;0.05),"Easy","Medium"))</f>
        <v>Medium</v>
      </c>
    </row>
    <row r="78" customFormat="false" ht="15" hidden="false" customHeight="true" outlineLevel="0" collapsed="false">
      <c r="A78" s="8" t="s">
        <v>132</v>
      </c>
      <c r="B78" s="8" t="s">
        <v>111</v>
      </c>
      <c r="C78" s="9" t="n">
        <f aca="false">AVERAGE('House Vote Data'!G306:G309)</f>
        <v>0.361950469589255</v>
      </c>
      <c r="D78" s="9" t="n">
        <f aca="false">AVERAGE(ABS('House Vote Data'!G306-0.5),ABS('House Vote Data'!G307-0.5),ABS('House Vote Data'!G308-0.5),ABS('House Vote Data'!G309-0.5))</f>
        <v>0.138049530410745</v>
      </c>
      <c r="E78" s="9" t="n">
        <f aca="false">STDEV('House Vote Data'!G306:G309)</f>
        <v>0.0247140318541312</v>
      </c>
      <c r="F78" s="8" t="n">
        <f aca="false">IF(('House Vote Data'!G306&gt;0.5)&lt;&gt;('House Vote Data'!G307&gt;0.5),1,0)+IF(('House Vote Data'!G307&gt;0.5)&lt;&gt;('House Vote Data'!G308&gt;0.5),1,0)+IF(('House Vote Data'!G308&gt;0.5)&lt;&gt;('House Vote Data'!G309&gt;0.5),1,0)</f>
        <v>0</v>
      </c>
      <c r="G78" s="7" t="str">
        <f aca="false">IF(OR(F78&gt;=1,D78&lt;0.05),"Hard",IF(AND(D78&gt;=0.15,E78&lt;0.05),"Easy","Medium"))</f>
        <v>Medium</v>
      </c>
    </row>
    <row r="79" customFormat="false" ht="15" hidden="false" customHeight="true" outlineLevel="0" collapsed="false">
      <c r="A79" s="8" t="s">
        <v>133</v>
      </c>
      <c r="B79" s="8" t="s">
        <v>111</v>
      </c>
      <c r="C79" s="9" t="n">
        <f aca="false">AVERAGE('House Vote Data'!G310:G313)</f>
        <v>0.34696713736112</v>
      </c>
      <c r="D79" s="9" t="n">
        <f aca="false">AVERAGE(ABS('House Vote Data'!G310-0.5),ABS('House Vote Data'!G311-0.5),ABS('House Vote Data'!G312-0.5),ABS('House Vote Data'!G313-0.5))</f>
        <v>0.15303286263888</v>
      </c>
      <c r="E79" s="9" t="n">
        <f aca="false">STDEV('House Vote Data'!G310:G313)</f>
        <v>0.0218788794679418</v>
      </c>
      <c r="F79" s="8" t="n">
        <f aca="false">IF(('House Vote Data'!G310&gt;0.5)&lt;&gt;('House Vote Data'!G311&gt;0.5),1,0)+IF(('House Vote Data'!G311&gt;0.5)&lt;&gt;('House Vote Data'!G312&gt;0.5),1,0)+IF(('House Vote Data'!G312&gt;0.5)&lt;&gt;('House Vote Data'!G313&gt;0.5),1,0)</f>
        <v>0</v>
      </c>
      <c r="G79" s="7" t="str">
        <f aca="false">IF(OR(F79&gt;=1,D79&lt;0.05),"Hard",IF(AND(D79&gt;=0.15,E79&lt;0.05),"Easy","Medium"))</f>
        <v>Easy</v>
      </c>
    </row>
    <row r="80" customFormat="false" ht="15" hidden="false" customHeight="true" outlineLevel="0" collapsed="false">
      <c r="A80" s="8" t="s">
        <v>134</v>
      </c>
      <c r="B80" s="8" t="s">
        <v>111</v>
      </c>
      <c r="C80" s="9" t="n">
        <f aca="false">AVERAGE('House Vote Data'!G314:G317)</f>
        <v>0.383688714912847</v>
      </c>
      <c r="D80" s="9" t="n">
        <f aca="false">AVERAGE(ABS('House Vote Data'!G314-0.5),ABS('House Vote Data'!G315-0.5),ABS('House Vote Data'!G316-0.5),ABS('House Vote Data'!G317-0.5))</f>
        <v>0.116311285087153</v>
      </c>
      <c r="E80" s="9" t="n">
        <f aca="false">STDEV('House Vote Data'!G314:G317)</f>
        <v>0.025531639426545</v>
      </c>
      <c r="F80" s="8" t="n">
        <f aca="false">IF(('House Vote Data'!G314&gt;0.5)&lt;&gt;('House Vote Data'!G315&gt;0.5),1,0)+IF(('House Vote Data'!G315&gt;0.5)&lt;&gt;('House Vote Data'!G316&gt;0.5),1,0)+IF(('House Vote Data'!G316&gt;0.5)&lt;&gt;('House Vote Data'!G317&gt;0.5),1,0)</f>
        <v>0</v>
      </c>
      <c r="G80" s="7" t="str">
        <f aca="false">IF(OR(F80&gt;=1,D80&lt;0.05),"Hard",IF(AND(D80&gt;=0.15,E80&lt;0.05),"Easy","Medium"))</f>
        <v>Medium</v>
      </c>
    </row>
    <row r="81" customFormat="false" ht="15" hidden="false" customHeight="true" outlineLevel="0" collapsed="false">
      <c r="A81" s="8" t="s">
        <v>135</v>
      </c>
      <c r="B81" s="8" t="s">
        <v>111</v>
      </c>
      <c r="C81" s="9" t="n">
        <f aca="false">AVERAGE('House Vote Data'!G318:G321)</f>
        <v>0.419495644254618</v>
      </c>
      <c r="D81" s="9" t="n">
        <f aca="false">AVERAGE(ABS('House Vote Data'!G318-0.5),ABS('House Vote Data'!G319-0.5),ABS('House Vote Data'!G320-0.5),ABS('House Vote Data'!G321-0.5))</f>
        <v>0.0805043557453819</v>
      </c>
      <c r="E81" s="9" t="n">
        <f aca="false">STDEV('House Vote Data'!G318:G321)</f>
        <v>0.022125998112987</v>
      </c>
      <c r="F81" s="8" t="n">
        <f aca="false">IF(('House Vote Data'!G318&gt;0.5)&lt;&gt;('House Vote Data'!G319&gt;0.5),1,0)+IF(('House Vote Data'!G319&gt;0.5)&lt;&gt;('House Vote Data'!G320&gt;0.5),1,0)+IF(('House Vote Data'!G320&gt;0.5)&lt;&gt;('House Vote Data'!G321&gt;0.5),1,0)</f>
        <v>0</v>
      </c>
      <c r="G81" s="7" t="str">
        <f aca="false">IF(OR(F81&gt;=1,D81&lt;0.05),"Hard",IF(AND(D81&gt;=0.15,E81&lt;0.05),"Easy","Medium"))</f>
        <v>Medium</v>
      </c>
    </row>
    <row r="82" customFormat="false" ht="15" hidden="false" customHeight="true" outlineLevel="0" collapsed="false">
      <c r="A82" s="8" t="s">
        <v>136</v>
      </c>
      <c r="B82" s="8" t="s">
        <v>111</v>
      </c>
      <c r="C82" s="9" t="n">
        <f aca="false">AVERAGE('House Vote Data'!G322:G325)</f>
        <v>0.422224009206599</v>
      </c>
      <c r="D82" s="9" t="n">
        <f aca="false">AVERAGE(ABS('House Vote Data'!G322-0.5),ABS('House Vote Data'!G323-0.5),ABS('House Vote Data'!G324-0.5),ABS('House Vote Data'!G325-0.5))</f>
        <v>0.0777759907934014</v>
      </c>
      <c r="E82" s="9" t="n">
        <f aca="false">STDEV('House Vote Data'!G322:G325)</f>
        <v>0.0131282116870701</v>
      </c>
      <c r="F82" s="8" t="n">
        <f aca="false">IF(('House Vote Data'!G322&gt;0.5)&lt;&gt;('House Vote Data'!G323&gt;0.5),1,0)+IF(('House Vote Data'!G323&gt;0.5)&lt;&gt;('House Vote Data'!G324&gt;0.5),1,0)+IF(('House Vote Data'!G324&gt;0.5)&lt;&gt;('House Vote Data'!G325&gt;0.5),1,0)</f>
        <v>0</v>
      </c>
      <c r="G82" s="7" t="str">
        <f aca="false">IF(OR(F82&gt;=1,D82&lt;0.05),"Hard",IF(AND(D82&gt;=0.15,E82&lt;0.05),"Easy","Medium"))</f>
        <v>Medium</v>
      </c>
    </row>
    <row r="83" customFormat="false" ht="15" hidden="false" customHeight="true" outlineLevel="0" collapsed="false">
      <c r="A83" s="8" t="s">
        <v>137</v>
      </c>
      <c r="B83" s="8" t="s">
        <v>111</v>
      </c>
      <c r="C83" s="9" t="n">
        <f aca="false">AVERAGE('House Vote Data'!G326:G329)</f>
        <v>0.330429842689744</v>
      </c>
      <c r="D83" s="9" t="n">
        <f aca="false">AVERAGE(ABS('House Vote Data'!G326-0.5),ABS('House Vote Data'!G327-0.5),ABS('House Vote Data'!G328-0.5),ABS('House Vote Data'!G329-0.5))</f>
        <v>0.169570157310257</v>
      </c>
      <c r="E83" s="9" t="n">
        <f aca="false">STDEV('House Vote Data'!G326:G329)</f>
        <v>0.0217211295619357</v>
      </c>
      <c r="F83" s="8" t="n">
        <f aca="false">IF(('House Vote Data'!G326&gt;0.5)&lt;&gt;('House Vote Data'!G327&gt;0.5),1,0)+IF(('House Vote Data'!G327&gt;0.5)&lt;&gt;('House Vote Data'!G328&gt;0.5),1,0)+IF(('House Vote Data'!G328&gt;0.5)&lt;&gt;('House Vote Data'!G329&gt;0.5),1,0)</f>
        <v>0</v>
      </c>
      <c r="G83" s="7" t="str">
        <f aca="false">IF(OR(F83&gt;=1,D83&lt;0.05),"Hard",IF(AND(D83&gt;=0.15,E83&lt;0.05),"Easy","Medium"))</f>
        <v>Easy</v>
      </c>
    </row>
    <row r="84" customFormat="false" ht="15" hidden="false" customHeight="true" outlineLevel="0" collapsed="false">
      <c r="A84" s="8" t="s">
        <v>138</v>
      </c>
      <c r="B84" s="8" t="s">
        <v>111</v>
      </c>
      <c r="C84" s="9" t="n">
        <f aca="false">AVERAGE('House Vote Data'!G330:G333)</f>
        <v>0.485201477387524</v>
      </c>
      <c r="D84" s="9" t="n">
        <f aca="false">AVERAGE(ABS('House Vote Data'!G330-0.5),ABS('House Vote Data'!G331-0.5),ABS('House Vote Data'!G332-0.5),ABS('House Vote Data'!G333-0.5))</f>
        <v>0.0147985226124763</v>
      </c>
      <c r="E84" s="9" t="n">
        <f aca="false">STDEV('House Vote Data'!G330:G333)</f>
        <v>0.0165993524245543</v>
      </c>
      <c r="F84" s="8" t="n">
        <f aca="false">IF(('House Vote Data'!G330&gt;0.5)&lt;&gt;('House Vote Data'!G331&gt;0.5),1,0)+IF(('House Vote Data'!G331&gt;0.5)&lt;&gt;('House Vote Data'!G332&gt;0.5),1,0)+IF(('House Vote Data'!G332&gt;0.5)&lt;&gt;('House Vote Data'!G333&gt;0.5),1,0)</f>
        <v>0</v>
      </c>
      <c r="G84" s="7" t="str">
        <f aca="false">IF(OR(F84&gt;=1,D84&lt;0.05),"Hard",IF(AND(D84&gt;=0.15,E84&lt;0.05),"Easy","Medium"))</f>
        <v>Hard</v>
      </c>
    </row>
    <row r="85" customFormat="false" ht="15" hidden="false" customHeight="true" outlineLevel="0" collapsed="false">
      <c r="A85" s="8" t="s">
        <v>139</v>
      </c>
      <c r="B85" s="8" t="s">
        <v>111</v>
      </c>
      <c r="C85" s="9" t="n">
        <f aca="false">AVERAGE('House Vote Data'!G334:G337)</f>
        <v>0.4036614496154</v>
      </c>
      <c r="D85" s="9" t="n">
        <f aca="false">AVERAGE(ABS('House Vote Data'!G334-0.5),ABS('House Vote Data'!G335-0.5),ABS('House Vote Data'!G336-0.5),ABS('House Vote Data'!G337-0.5))</f>
        <v>0.0963385503845999</v>
      </c>
      <c r="E85" s="9" t="n">
        <f aca="false">STDEV('House Vote Data'!G334:G337)</f>
        <v>0.0201254423982663</v>
      </c>
      <c r="F85" s="8" t="n">
        <f aca="false">IF(('House Vote Data'!G334&gt;0.5)&lt;&gt;('House Vote Data'!G335&gt;0.5),1,0)+IF(('House Vote Data'!G335&gt;0.5)&lt;&gt;('House Vote Data'!G336&gt;0.5),1,0)+IF(('House Vote Data'!G336&gt;0.5)&lt;&gt;('House Vote Data'!G337&gt;0.5),1,0)</f>
        <v>0</v>
      </c>
      <c r="G85" s="7" t="str">
        <f aca="false">IF(OR(F85&gt;=1,D85&lt;0.05),"Hard",IF(AND(D85&gt;=0.15,E85&lt;0.05),"Easy","Medium"))</f>
        <v>Medium</v>
      </c>
    </row>
    <row r="86" customFormat="false" ht="15" hidden="false" customHeight="true" outlineLevel="0" collapsed="false">
      <c r="A86" s="8" t="s">
        <v>103</v>
      </c>
      <c r="B86" s="8" t="s">
        <v>111</v>
      </c>
      <c r="C86" s="9" t="n">
        <f aca="false">AVERAGE('House Vote Data'!G338:G341)</f>
        <v>0.354790502981071</v>
      </c>
      <c r="D86" s="9" t="n">
        <f aca="false">AVERAGE(ABS('House Vote Data'!G338-0.5),ABS('House Vote Data'!G339-0.5),ABS('House Vote Data'!G340-0.5),ABS('House Vote Data'!G341-0.5))</f>
        <v>0.145209497018929</v>
      </c>
      <c r="E86" s="9" t="n">
        <f aca="false">STDEV('House Vote Data'!G338:G341)</f>
        <v>0.0243002429401518</v>
      </c>
      <c r="F86" s="8" t="n">
        <f aca="false">IF(('House Vote Data'!G338&gt;0.5)&lt;&gt;('House Vote Data'!G339&gt;0.5),1,0)+IF(('House Vote Data'!G339&gt;0.5)&lt;&gt;('House Vote Data'!G340&gt;0.5),1,0)+IF(('House Vote Data'!G340&gt;0.5)&lt;&gt;('House Vote Data'!G341&gt;0.5),1,0)</f>
        <v>0</v>
      </c>
      <c r="G86" s="7" t="str">
        <f aca="false">IF(OR(F86&gt;=1,D86&lt;0.05),"Hard",IF(AND(D86&gt;=0.15,E86&lt;0.05),"Easy","Medium"))</f>
        <v>Medium</v>
      </c>
    </row>
    <row r="87" customFormat="false" ht="15" hidden="false" customHeight="true" outlineLevel="0" collapsed="false">
      <c r="A87" s="8" t="s">
        <v>140</v>
      </c>
      <c r="B87" s="8" t="s">
        <v>111</v>
      </c>
      <c r="C87" s="9" t="n">
        <f aca="false">AVERAGE('House Vote Data'!G342:G345)</f>
        <v>0.481099096849421</v>
      </c>
      <c r="D87" s="9" t="n">
        <f aca="false">AVERAGE(ABS('House Vote Data'!G342-0.5),ABS('House Vote Data'!G343-0.5),ABS('House Vote Data'!G344-0.5),ABS('House Vote Data'!G345-0.5))</f>
        <v>0.036506536953396</v>
      </c>
      <c r="E87" s="9" t="n">
        <f aca="false">STDEV('House Vote Data'!G342:G345)</f>
        <v>0.0419101728107905</v>
      </c>
      <c r="F87" s="8" t="n">
        <f aca="false">IF(('House Vote Data'!G342&gt;0.5)&lt;&gt;('House Vote Data'!G343&gt;0.5),1,0)+IF(('House Vote Data'!G343&gt;0.5)&lt;&gt;('House Vote Data'!G344&gt;0.5),1,0)+IF(('House Vote Data'!G344&gt;0.5)&lt;&gt;('House Vote Data'!G345&gt;0.5),1,0)</f>
        <v>1</v>
      </c>
      <c r="G87" s="7" t="str">
        <f aca="false">IF(OR(F87&gt;=1,D87&lt;0.05),"Hard",IF(AND(D87&gt;=0.15,E87&lt;0.05),"Easy","Medium"))</f>
        <v>Hard</v>
      </c>
    </row>
    <row r="88" customFormat="false" ht="15" hidden="false" customHeight="true" outlineLevel="0" collapsed="false">
      <c r="A88" s="8" t="s">
        <v>141</v>
      </c>
      <c r="B88" s="8" t="s">
        <v>111</v>
      </c>
      <c r="C88" s="9" t="n">
        <f aca="false">AVERAGE('House Vote Data'!G346:G349)</f>
        <v>0.439505132097372</v>
      </c>
      <c r="D88" s="9" t="n">
        <f aca="false">AVERAGE(ABS('House Vote Data'!G346-0.5),ABS('House Vote Data'!G347-0.5),ABS('House Vote Data'!G348-0.5),ABS('House Vote Data'!G349-0.5))</f>
        <v>0.0604948679026281</v>
      </c>
      <c r="E88" s="9" t="n">
        <f aca="false">STDEV('House Vote Data'!G346:G349)</f>
        <v>0.0134139813168649</v>
      </c>
      <c r="F88" s="8" t="n">
        <f aca="false">IF(('House Vote Data'!G346&gt;0.5)&lt;&gt;('House Vote Data'!G347&gt;0.5),1,0)+IF(('House Vote Data'!G347&gt;0.5)&lt;&gt;('House Vote Data'!G348&gt;0.5),1,0)+IF(('House Vote Data'!G348&gt;0.5)&lt;&gt;('House Vote Data'!G349&gt;0.5),1,0)</f>
        <v>0</v>
      </c>
      <c r="G88" s="7" t="str">
        <f aca="false">IF(OR(F88&gt;=1,D88&lt;0.05),"Hard",IF(AND(D88&gt;=0.15,E88&lt;0.05),"Easy","Medium"))</f>
        <v>Medium</v>
      </c>
    </row>
    <row r="89" customFormat="false" ht="15" hidden="false" customHeight="true" outlineLevel="0" collapsed="false">
      <c r="A89" s="8" t="s">
        <v>142</v>
      </c>
      <c r="B89" s="8" t="s">
        <v>111</v>
      </c>
      <c r="C89" s="9" t="n">
        <f aca="false">AVERAGE('House Vote Data'!G350:G353)</f>
        <v>0.574945948631362</v>
      </c>
      <c r="D89" s="9" t="n">
        <f aca="false">AVERAGE(ABS('House Vote Data'!G350-0.5),ABS('House Vote Data'!G351-0.5),ABS('House Vote Data'!G352-0.5),ABS('House Vote Data'!G353-0.5))</f>
        <v>0.0749459486313617</v>
      </c>
      <c r="E89" s="9" t="n">
        <f aca="false">STDEV('House Vote Data'!G350:G353)</f>
        <v>0.0252138472025814</v>
      </c>
      <c r="F89" s="8" t="n">
        <f aca="false">IF(('House Vote Data'!G350&gt;0.5)&lt;&gt;('House Vote Data'!G351&gt;0.5),1,0)+IF(('House Vote Data'!G351&gt;0.5)&lt;&gt;('House Vote Data'!G352&gt;0.5),1,0)+IF(('House Vote Data'!G352&gt;0.5)&lt;&gt;('House Vote Data'!G353&gt;0.5),1,0)</f>
        <v>0</v>
      </c>
      <c r="G89" s="7" t="str">
        <f aca="false">IF(OR(F89&gt;=1,D89&lt;0.05),"Hard",IF(AND(D89&gt;=0.15,E89&lt;0.05),"Easy","Medium"))</f>
        <v>Medium</v>
      </c>
    </row>
    <row r="90" customFormat="false" ht="15" hidden="false" customHeight="true" outlineLevel="0" collapsed="false">
      <c r="A90" s="8" t="s">
        <v>143</v>
      </c>
      <c r="B90" s="8" t="s">
        <v>111</v>
      </c>
      <c r="C90" s="9" t="n">
        <f aca="false">AVERAGE('House Vote Data'!G354:G357)</f>
        <v>0.430195323754966</v>
      </c>
      <c r="D90" s="9" t="n">
        <f aca="false">AVERAGE(ABS('House Vote Data'!G354-0.5),ABS('House Vote Data'!G355-0.5),ABS('House Vote Data'!G356-0.5),ABS('House Vote Data'!G357-0.5))</f>
        <v>0.0698046762450339</v>
      </c>
      <c r="E90" s="9" t="n">
        <f aca="false">STDEV('House Vote Data'!G354:G357)</f>
        <v>0.0289518500591744</v>
      </c>
      <c r="F90" s="8" t="n">
        <f aca="false">IF(('House Vote Data'!G354&gt;0.5)&lt;&gt;('House Vote Data'!G355&gt;0.5),1,0)+IF(('House Vote Data'!G355&gt;0.5)&lt;&gt;('House Vote Data'!G356&gt;0.5),1,0)+IF(('House Vote Data'!G356&gt;0.5)&lt;&gt;('House Vote Data'!G357&gt;0.5),1,0)</f>
        <v>0</v>
      </c>
      <c r="G90" s="7" t="str">
        <f aca="false">IF(OR(F90&gt;=1,D90&lt;0.05),"Hard",IF(AND(D90&gt;=0.15,E90&lt;0.05),"Easy","Medium"))</f>
        <v>Medium</v>
      </c>
    </row>
  </sheetData>
  <autoFilter ref="A1:G90"/>
  <conditionalFormatting sqref="G2:G90">
    <cfRule type="cellIs" priority="2" operator="equal" aboveAverage="0" equalAverage="0" bottom="0" percent="0" rank="0" text="" dxfId="4">
      <formula>"Hard"</formula>
    </cfRule>
    <cfRule type="cellIs" priority="3" operator="equal" aboveAverage="0" equalAverage="0" bottom="0" percent="0" rank="0" text="" dxfId="5">
      <formula>"Easy"</formula>
    </cfRule>
    <cfRule type="cellIs" priority="4" operator="equal" aboveAverage="0" equalAverage="0" bottom="0" percent="0" rank="0" text="" dxfId="6">
      <formula>"Medium"</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2" topLeftCell="A1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4"/>
    <col collapsed="false" customWidth="true" hidden="false" outlineLevel="0" max="6" min="3" style="1" width="10"/>
    <col collapsed="false" customWidth="true" hidden="false" outlineLevel="0" max="7" min="7" style="1" width="15"/>
    <col collapsed="false" customWidth="true" hidden="false" outlineLevel="0" max="8" min="8" style="1" width="18"/>
    <col collapsed="false" customWidth="true" hidden="false" outlineLevel="0" max="9" min="9" style="1" width="20"/>
    <col collapsed="false" customWidth="true" hidden="true" outlineLevel="0" max="10" min="10" style="1" width="13"/>
  </cols>
  <sheetData>
    <row r="1" customFormat="false" ht="15.75" hidden="false" customHeight="true" outlineLevel="0" collapsed="false">
      <c r="A1" s="10" t="s">
        <v>161</v>
      </c>
      <c r="B1" s="10"/>
      <c r="C1" s="10"/>
      <c r="D1" s="10"/>
      <c r="E1" s="10"/>
      <c r="F1" s="10"/>
      <c r="G1" s="10"/>
      <c r="H1" s="10"/>
    </row>
    <row r="3" customFormat="false" ht="15" hidden="false" customHeight="true" outlineLevel="0" collapsed="false">
      <c r="A3" s="7" t="s">
        <v>162</v>
      </c>
    </row>
    <row r="4" customFormat="false" ht="15" hidden="false" customHeight="true" outlineLevel="0" collapsed="false">
      <c r="A4" s="7" t="s">
        <v>44</v>
      </c>
      <c r="B4" s="7" t="s">
        <v>163</v>
      </c>
      <c r="C4" s="7" t="s">
        <v>164</v>
      </c>
      <c r="D4" s="7" t="s">
        <v>165</v>
      </c>
      <c r="E4" s="7" t="s">
        <v>166</v>
      </c>
    </row>
    <row r="5" customFormat="false" ht="15" hidden="false" customHeight="true" outlineLevel="0" collapsed="false">
      <c r="A5" s="8" t="n">
        <v>2018</v>
      </c>
      <c r="B5" s="12" t="n">
        <f aca="false">SUMIF('House Vote Data'!$A:$A,A5,'House Vote Data'!$D:$D)</f>
        <v>140419</v>
      </c>
      <c r="C5" s="12" t="n">
        <f aca="false">SUMIF('House Vote Data'!$A:$A,A5,'House Vote Data'!$E:$E)</f>
        <v>122895</v>
      </c>
      <c r="D5" s="9" t="n">
        <f aca="false">B5/(B5+C5)</f>
        <v>0.533275860759398</v>
      </c>
      <c r="E5" s="8" t="str">
        <f aca="false">IF(D5&gt;0.5,"D","R")</f>
        <v>D</v>
      </c>
    </row>
    <row r="6" customFormat="false" ht="15" hidden="false" customHeight="true" outlineLevel="0" collapsed="false">
      <c r="A6" s="8" t="n">
        <v>2020</v>
      </c>
      <c r="B6" s="12" t="n">
        <f aca="false">SUMIF('House Vote Data'!$A:$A,A6,'House Vote Data'!$D:$D)</f>
        <v>193719</v>
      </c>
      <c r="C6" s="12" t="n">
        <f aca="false">SUMIF('House Vote Data'!$A:$A,A6,'House Vote Data'!$E:$E)</f>
        <v>196320</v>
      </c>
      <c r="D6" s="9" t="n">
        <f aca="false">B6/(B6+C6)</f>
        <v>0.49666571804358</v>
      </c>
      <c r="E6" s="8" t="str">
        <f aca="false">IF(D6&gt;0.5,"D","R")</f>
        <v>R</v>
      </c>
    </row>
    <row r="7" customFormat="false" ht="15" hidden="false" customHeight="true" outlineLevel="0" collapsed="false">
      <c r="A7" s="8" t="n">
        <v>2022</v>
      </c>
      <c r="B7" s="12" t="n">
        <f aca="false">SUMIF('House Vote Data'!$A:$A,A7,'House Vote Data'!$D:$D)</f>
        <v>151364</v>
      </c>
      <c r="C7" s="12" t="n">
        <f aca="false">SUMIF('House Vote Data'!$A:$A,A7,'House Vote Data'!$E:$E)</f>
        <v>145527</v>
      </c>
      <c r="D7" s="9" t="n">
        <f aca="false">B7/(B7+C7)</f>
        <v>0.509830207045683</v>
      </c>
      <c r="E7" s="8" t="str">
        <f aca="false">IF(D7&gt;0.5,"D","R")</f>
        <v>D</v>
      </c>
    </row>
    <row r="8" customFormat="false" ht="15" hidden="false" customHeight="true" outlineLevel="0" collapsed="false">
      <c r="A8" s="8" t="n">
        <v>2024</v>
      </c>
      <c r="B8" s="12" t="n">
        <f aca="false">SUMIF('House Vote Data'!$A:$A,A8,'House Vote Data'!$D:$D)</f>
        <v>199626</v>
      </c>
      <c r="C8" s="12" t="n">
        <f aca="false">SUMIF('House Vote Data'!$A:$A,A8,'House Vote Data'!$E:$E)</f>
        <v>203688</v>
      </c>
      <c r="D8" s="9" t="n">
        <f aca="false">B8/(B8+C8)</f>
        <v>0.49496422142549</v>
      </c>
      <c r="E8" s="8" t="str">
        <f aca="false">IF(D8&gt;0.5,"D","R")</f>
        <v>R</v>
      </c>
    </row>
    <row r="11" customFormat="false" ht="15" hidden="false" customHeight="true" outlineLevel="0" collapsed="false">
      <c r="A11" s="7" t="s">
        <v>167</v>
      </c>
    </row>
    <row r="12" customFormat="false" ht="15" hidden="false" customHeight="true" outlineLevel="0" collapsed="false">
      <c r="A12" s="7" t="s">
        <v>45</v>
      </c>
      <c r="B12" s="7" t="s">
        <v>46</v>
      </c>
      <c r="C12" s="7" t="s">
        <v>168</v>
      </c>
      <c r="D12" s="7" t="s">
        <v>169</v>
      </c>
      <c r="E12" s="7" t="s">
        <v>170</v>
      </c>
      <c r="F12" s="7" t="s">
        <v>171</v>
      </c>
      <c r="G12" s="7" t="s">
        <v>172</v>
      </c>
      <c r="H12" s="7" t="s">
        <v>173</v>
      </c>
      <c r="I12" s="7" t="s">
        <v>174</v>
      </c>
      <c r="J12" s="13" t="s">
        <v>175</v>
      </c>
    </row>
    <row r="13" customFormat="false" ht="15" hidden="false" customHeight="true" outlineLevel="0" collapsed="false">
      <c r="A13" s="8" t="s">
        <v>56</v>
      </c>
      <c r="B13" s="8" t="s">
        <v>57</v>
      </c>
      <c r="C13" s="8" t="n">
        <f aca="false">IF(IF('House Vote Data'!G2&gt;0.5,"D","R")=$E$5,1,0)</f>
        <v>0</v>
      </c>
      <c r="D13" s="8" t="n">
        <f aca="false">IF(IF('House Vote Data'!G3&gt;0.5,"D","R")=$E$6,1,0)</f>
        <v>1</v>
      </c>
      <c r="E13" s="8" t="n">
        <f aca="false">IF(IF('House Vote Data'!G4&gt;0.5,"D","R")=$E$7,1,0)</f>
        <v>0</v>
      </c>
      <c r="F13" s="8" t="n">
        <f aca="false">IF(IF('House Vote Data'!G5&gt;0.5,"D","R")=$E$8,1,0)</f>
        <v>1</v>
      </c>
      <c r="G13" s="8" t="n">
        <f aca="false">SUM(C13:F13)</f>
        <v>2</v>
      </c>
      <c r="H13" s="14" t="n">
        <f aca="false">AVERAGE(ABS('House Vote Data'!G2-$D$5),ABS('House Vote Data'!G3-$D$6),ABS('House Vote Data'!G4-$D$7),ABS('House Vote Data'!G5-$D$8))</f>
        <v>0.132873491295939</v>
      </c>
      <c r="I13" s="15" t="str">
        <f aca="false">IF(AND(G13=4,H13=MIN(J13:J101)),"&lt;&lt; MAGIC MUNICIPALITY","")</f>
        <v/>
      </c>
      <c r="J13" s="8" t="str">
        <f aca="false">IF(G13=4,H13,"")</f>
        <v/>
      </c>
    </row>
    <row r="14" customFormat="false" ht="15" hidden="false" customHeight="true" outlineLevel="0" collapsed="false">
      <c r="A14" s="8" t="s">
        <v>58</v>
      </c>
      <c r="B14" s="8" t="s">
        <v>57</v>
      </c>
      <c r="C14" s="8" t="n">
        <f aca="false">IF(IF('House Vote Data'!G6&gt;0.5,"D","R")=$E$5,1,0)</f>
        <v>0</v>
      </c>
      <c r="D14" s="8" t="n">
        <f aca="false">IF(IF('House Vote Data'!G7&gt;0.5,"D","R")=$E$6,1,0)</f>
        <v>1</v>
      </c>
      <c r="E14" s="8" t="n">
        <f aca="false">IF(IF('House Vote Data'!G8&gt;0.5,"D","R")=$E$7,1,0)</f>
        <v>0</v>
      </c>
      <c r="F14" s="8" t="n">
        <f aca="false">IF(IF('House Vote Data'!G9&gt;0.5,"D","R")=$E$8,1,0)</f>
        <v>1</v>
      </c>
      <c r="G14" s="8" t="n">
        <f aca="false">SUM(C14:F14)</f>
        <v>2</v>
      </c>
      <c r="H14" s="14" t="n">
        <f aca="false">AVERAGE(ABS('House Vote Data'!G6-$D$5),ABS('House Vote Data'!G7-$D$6),ABS('House Vote Data'!G8-$D$7),ABS('House Vote Data'!G9-$D$8))</f>
        <v>0.22644350555288</v>
      </c>
      <c r="I14" s="15" t="str">
        <f aca="false">IF(AND(G14=4,H14=MIN(J13:J101)),"&lt;&lt; MAGIC MUNICIPALITY","")</f>
        <v/>
      </c>
      <c r="J14" s="8" t="str">
        <f aca="false">IF(G14=4,H14,"")</f>
        <v/>
      </c>
    </row>
    <row r="15" customFormat="false" ht="15" hidden="false" customHeight="true" outlineLevel="0" collapsed="false">
      <c r="A15" s="8" t="s">
        <v>59</v>
      </c>
      <c r="B15" s="8" t="s">
        <v>57</v>
      </c>
      <c r="C15" s="8" t="n">
        <f aca="false">IF(IF('House Vote Data'!G10&gt;0.5,"D","R")=$E$5,1,0)</f>
        <v>0</v>
      </c>
      <c r="D15" s="8" t="n">
        <f aca="false">IF(IF('House Vote Data'!G11&gt;0.5,"D","R")=$E$6,1,0)</f>
        <v>1</v>
      </c>
      <c r="E15" s="8" t="n">
        <f aca="false">IF(IF('House Vote Data'!G12&gt;0.5,"D","R")=$E$7,1,0)</f>
        <v>0</v>
      </c>
      <c r="F15" s="8" t="n">
        <f aca="false">IF(IF('House Vote Data'!G13&gt;0.5,"D","R")=$E$8,1,0)</f>
        <v>1</v>
      </c>
      <c r="G15" s="8" t="n">
        <f aca="false">SUM(C15:F15)</f>
        <v>2</v>
      </c>
      <c r="H15" s="14" t="n">
        <f aca="false">AVERAGE(ABS('House Vote Data'!G10-$D$5),ABS('House Vote Data'!G11-$D$6),ABS('House Vote Data'!G12-$D$7),ABS('House Vote Data'!G13-$D$8))</f>
        <v>0.178262320390497</v>
      </c>
      <c r="I15" s="15" t="str">
        <f aca="false">IF(AND(G15=4,H15=MIN(J13:J101)),"&lt;&lt; MAGIC MUNICIPALITY","")</f>
        <v/>
      </c>
      <c r="J15" s="8" t="str">
        <f aca="false">IF(G15=4,H15,"")</f>
        <v/>
      </c>
    </row>
    <row r="16" customFormat="false" ht="15" hidden="false" customHeight="true" outlineLevel="0" collapsed="false">
      <c r="A16" s="8" t="s">
        <v>60</v>
      </c>
      <c r="B16" s="8" t="s">
        <v>57</v>
      </c>
      <c r="C16" s="8" t="n">
        <f aca="false">IF(IF('House Vote Data'!G14&gt;0.5,"D","R")=$E$5,1,0)</f>
        <v>0</v>
      </c>
      <c r="D16" s="8" t="n">
        <f aca="false">IF(IF('House Vote Data'!G15&gt;0.5,"D","R")=$E$6,1,0)</f>
        <v>1</v>
      </c>
      <c r="E16" s="8" t="n">
        <f aca="false">IF(IF('House Vote Data'!G16&gt;0.5,"D","R")=$E$7,1,0)</f>
        <v>0</v>
      </c>
      <c r="F16" s="8" t="n">
        <f aca="false">IF(IF('House Vote Data'!G17&gt;0.5,"D","R")=$E$8,1,0)</f>
        <v>1</v>
      </c>
      <c r="G16" s="8" t="n">
        <f aca="false">SUM(C16:F16)</f>
        <v>2</v>
      </c>
      <c r="H16" s="14" t="n">
        <f aca="false">AVERAGE(ABS('House Vote Data'!G14-$D$5),ABS('House Vote Data'!G15-$D$6),ABS('House Vote Data'!G16-$D$7),ABS('House Vote Data'!G17-$D$8))</f>
        <v>0.22709027242213</v>
      </c>
      <c r="I16" s="15" t="str">
        <f aca="false">IF(AND(G16=4,H16=MIN(J13:J101)),"&lt;&lt; MAGIC MUNICIPALITY","")</f>
        <v/>
      </c>
      <c r="J16" s="8" t="str">
        <f aca="false">IF(G16=4,H16,"")</f>
        <v/>
      </c>
    </row>
    <row r="17" customFormat="false" ht="15" hidden="false" customHeight="true" outlineLevel="0" collapsed="false">
      <c r="A17" s="8" t="s">
        <v>61</v>
      </c>
      <c r="B17" s="8" t="s">
        <v>57</v>
      </c>
      <c r="C17" s="8" t="n">
        <f aca="false">IF(IF('House Vote Data'!G18&gt;0.5,"D","R")=$E$5,1,0)</f>
        <v>0</v>
      </c>
      <c r="D17" s="8" t="n">
        <f aca="false">IF(IF('House Vote Data'!G19&gt;0.5,"D","R")=$E$6,1,0)</f>
        <v>1</v>
      </c>
      <c r="E17" s="8" t="n">
        <f aca="false">IF(IF('House Vote Data'!G20&gt;0.5,"D","R")=$E$7,1,0)</f>
        <v>0</v>
      </c>
      <c r="F17" s="8" t="n">
        <f aca="false">IF(IF('House Vote Data'!G21&gt;0.5,"D","R")=$E$8,1,0)</f>
        <v>1</v>
      </c>
      <c r="G17" s="8" t="n">
        <f aca="false">SUM(C17:F17)</f>
        <v>2</v>
      </c>
      <c r="H17" s="14" t="n">
        <f aca="false">AVERAGE(ABS('House Vote Data'!G18-$D$5),ABS('House Vote Data'!G19-$D$6),ABS('House Vote Data'!G20-$D$7),ABS('House Vote Data'!G21-$D$8))</f>
        <v>0.131524444241452</v>
      </c>
      <c r="I17" s="15" t="str">
        <f aca="false">IF(AND(G17=4,H17=MIN(J13:J101)),"&lt;&lt; MAGIC MUNICIPALITY","")</f>
        <v/>
      </c>
      <c r="J17" s="8" t="str">
        <f aca="false">IF(G17=4,H17,"")</f>
        <v/>
      </c>
    </row>
    <row r="18" customFormat="false" ht="15" hidden="false" customHeight="true" outlineLevel="0" collapsed="false">
      <c r="A18" s="8" t="s">
        <v>62</v>
      </c>
      <c r="B18" s="8" t="s">
        <v>57</v>
      </c>
      <c r="C18" s="8" t="n">
        <f aca="false">IF(IF('House Vote Data'!G22&gt;0.5,"D","R")=$E$5,1,0)</f>
        <v>0</v>
      </c>
      <c r="D18" s="8" t="n">
        <f aca="false">IF(IF('House Vote Data'!G23&gt;0.5,"D","R")=$E$6,1,0)</f>
        <v>1</v>
      </c>
      <c r="E18" s="8" t="n">
        <f aca="false">IF(IF('House Vote Data'!G24&gt;0.5,"D","R")=$E$7,1,0)</f>
        <v>0</v>
      </c>
      <c r="F18" s="8" t="n">
        <f aca="false">IF(IF('House Vote Data'!G25&gt;0.5,"D","R")=$E$8,1,0)</f>
        <v>1</v>
      </c>
      <c r="G18" s="8" t="n">
        <f aca="false">SUM(C18:F18)</f>
        <v>2</v>
      </c>
      <c r="H18" s="14" t="n">
        <f aca="false">AVERAGE(ABS('House Vote Data'!G22-$D$5),ABS('House Vote Data'!G23-$D$6),ABS('House Vote Data'!G24-$D$7),ABS('House Vote Data'!G25-$D$8))</f>
        <v>0.222907055882687</v>
      </c>
      <c r="I18" s="15" t="str">
        <f aca="false">IF(AND(G18=4,H18=MIN(J13:J101)),"&lt;&lt; MAGIC MUNICIPALITY","")</f>
        <v/>
      </c>
      <c r="J18" s="8" t="str">
        <f aca="false">IF(G18=4,H18,"")</f>
        <v/>
      </c>
    </row>
    <row r="19" customFormat="false" ht="15" hidden="false" customHeight="true" outlineLevel="0" collapsed="false">
      <c r="A19" s="8" t="s">
        <v>63</v>
      </c>
      <c r="B19" s="8" t="s">
        <v>57</v>
      </c>
      <c r="C19" s="8" t="n">
        <f aca="false">IF(IF('House Vote Data'!G26&gt;0.5,"D","R")=$E$5,1,0)</f>
        <v>0</v>
      </c>
      <c r="D19" s="8" t="n">
        <f aca="false">IF(IF('House Vote Data'!G27&gt;0.5,"D","R")=$E$6,1,0)</f>
        <v>1</v>
      </c>
      <c r="E19" s="8" t="n">
        <f aca="false">IF(IF('House Vote Data'!G28&gt;0.5,"D","R")=$E$7,1,0)</f>
        <v>0</v>
      </c>
      <c r="F19" s="8" t="n">
        <f aca="false">IF(IF('House Vote Data'!G29&gt;0.5,"D","R")=$E$8,1,0)</f>
        <v>1</v>
      </c>
      <c r="G19" s="8" t="n">
        <f aca="false">SUM(C19:F19)</f>
        <v>2</v>
      </c>
      <c r="H19" s="14" t="n">
        <f aca="false">AVERAGE(ABS('House Vote Data'!G26-$D$5),ABS('House Vote Data'!G27-$D$6),ABS('House Vote Data'!G28-$D$7),ABS('House Vote Data'!G29-$D$8))</f>
        <v>0.0619833143036739</v>
      </c>
      <c r="I19" s="15" t="str">
        <f aca="false">IF(AND(G19=4,H19=MIN(J13:J101)),"&lt;&lt; MAGIC MUNICIPALITY","")</f>
        <v/>
      </c>
      <c r="J19" s="8" t="str">
        <f aca="false">IF(G19=4,H19,"")</f>
        <v/>
      </c>
    </row>
    <row r="20" customFormat="false" ht="15" hidden="false" customHeight="true" outlineLevel="0" collapsed="false">
      <c r="A20" s="8" t="s">
        <v>64</v>
      </c>
      <c r="B20" s="8" t="s">
        <v>57</v>
      </c>
      <c r="C20" s="8" t="n">
        <f aca="false">IF(IF('House Vote Data'!G30&gt;0.5,"D","R")=$E$5,1,0)</f>
        <v>0</v>
      </c>
      <c r="D20" s="8" t="n">
        <f aca="false">IF(IF('House Vote Data'!G31&gt;0.5,"D","R")=$E$6,1,0)</f>
        <v>1</v>
      </c>
      <c r="E20" s="8" t="n">
        <f aca="false">IF(IF('House Vote Data'!G32&gt;0.5,"D","R")=$E$7,1,0)</f>
        <v>0</v>
      </c>
      <c r="F20" s="8" t="n">
        <f aca="false">IF(IF('House Vote Data'!G33&gt;0.5,"D","R")=$E$8,1,0)</f>
        <v>1</v>
      </c>
      <c r="G20" s="8" t="n">
        <f aca="false">SUM(C20:F20)</f>
        <v>2</v>
      </c>
      <c r="H20" s="14" t="n">
        <f aca="false">AVERAGE(ABS('House Vote Data'!G30-$D$5),ABS('House Vote Data'!G31-$D$6),ABS('House Vote Data'!G32-$D$7),ABS('House Vote Data'!G33-$D$8))</f>
        <v>0.178551487197138</v>
      </c>
      <c r="I20" s="15" t="str">
        <f aca="false">IF(AND(G20=4,H20=MIN(J13:J101)),"&lt;&lt; MAGIC MUNICIPALITY","")</f>
        <v/>
      </c>
      <c r="J20" s="8" t="str">
        <f aca="false">IF(G20=4,H20,"")</f>
        <v/>
      </c>
    </row>
    <row r="21" customFormat="false" ht="15" hidden="false" customHeight="true" outlineLevel="0" collapsed="false">
      <c r="A21" s="8" t="s">
        <v>65</v>
      </c>
      <c r="B21" s="8" t="s">
        <v>57</v>
      </c>
      <c r="C21" s="8" t="n">
        <f aca="false">IF(IF('House Vote Data'!G34&gt;0.5,"D","R")=$E$5,1,0)</f>
        <v>0</v>
      </c>
      <c r="D21" s="8" t="n">
        <f aca="false">IF(IF('House Vote Data'!G35&gt;0.5,"D","R")=$E$6,1,0)</f>
        <v>1</v>
      </c>
      <c r="E21" s="8" t="n">
        <f aca="false">IF(IF('House Vote Data'!G36&gt;0.5,"D","R")=$E$7,1,0)</f>
        <v>0</v>
      </c>
      <c r="F21" s="8" t="n">
        <f aca="false">IF(IF('House Vote Data'!G37&gt;0.5,"D","R")=$E$8,1,0)</f>
        <v>1</v>
      </c>
      <c r="G21" s="8" t="n">
        <f aca="false">SUM(C21:F21)</f>
        <v>2</v>
      </c>
      <c r="H21" s="14" t="n">
        <f aca="false">AVERAGE(ABS('House Vote Data'!G34-$D$5),ABS('House Vote Data'!G35-$D$6),ABS('House Vote Data'!G36-$D$7),ABS('House Vote Data'!G37-$D$8))</f>
        <v>0.0763766627057837</v>
      </c>
      <c r="I21" s="15" t="str">
        <f aca="false">IF(AND(G21=4,H21=MIN(J13:J101)),"&lt;&lt; MAGIC MUNICIPALITY","")</f>
        <v/>
      </c>
      <c r="J21" s="8" t="str">
        <f aca="false">IF(G21=4,H21,"")</f>
        <v/>
      </c>
    </row>
    <row r="22" customFormat="false" ht="15" hidden="false" customHeight="true" outlineLevel="0" collapsed="false">
      <c r="A22" s="8" t="s">
        <v>66</v>
      </c>
      <c r="B22" s="8" t="s">
        <v>57</v>
      </c>
      <c r="C22" s="8" t="n">
        <f aca="false">IF(IF('House Vote Data'!G38&gt;0.5,"D","R")=$E$5,1,0)</f>
        <v>0</v>
      </c>
      <c r="D22" s="8" t="n">
        <f aca="false">IF(IF('House Vote Data'!G39&gt;0.5,"D","R")=$E$6,1,0)</f>
        <v>1</v>
      </c>
      <c r="E22" s="8" t="n">
        <f aca="false">IF(IF('House Vote Data'!G40&gt;0.5,"D","R")=$E$7,1,0)</f>
        <v>0</v>
      </c>
      <c r="F22" s="8" t="n">
        <f aca="false">IF(IF('House Vote Data'!G41&gt;0.5,"D","R")=$E$8,1,0)</f>
        <v>1</v>
      </c>
      <c r="G22" s="8" t="n">
        <f aca="false">SUM(C22:F22)</f>
        <v>2</v>
      </c>
      <c r="H22" s="14" t="n">
        <f aca="false">AVERAGE(ABS('House Vote Data'!G38-$D$5),ABS('House Vote Data'!G39-$D$6),ABS('House Vote Data'!G40-$D$7),ABS('House Vote Data'!G41-$D$8))</f>
        <v>0.208051442131263</v>
      </c>
      <c r="I22" s="15" t="str">
        <f aca="false">IF(AND(G22=4,H22=MIN(J13:J101)),"&lt;&lt; MAGIC MUNICIPALITY","")</f>
        <v/>
      </c>
      <c r="J22" s="8" t="str">
        <f aca="false">IF(G22=4,H22,"")</f>
        <v/>
      </c>
    </row>
    <row r="23" customFormat="false" ht="15" hidden="false" customHeight="true" outlineLevel="0" collapsed="false">
      <c r="A23" s="8" t="s">
        <v>67</v>
      </c>
      <c r="B23" s="8" t="s">
        <v>57</v>
      </c>
      <c r="C23" s="8" t="n">
        <f aca="false">IF(IF('House Vote Data'!G42&gt;0.5,"D","R")=$E$5,1,0)</f>
        <v>0</v>
      </c>
      <c r="D23" s="8" t="n">
        <f aca="false">IF(IF('House Vote Data'!G43&gt;0.5,"D","R")=$E$6,1,0)</f>
        <v>1</v>
      </c>
      <c r="E23" s="8" t="n">
        <f aca="false">IF(IF('House Vote Data'!G44&gt;0.5,"D","R")=$E$7,1,0)</f>
        <v>0</v>
      </c>
      <c r="F23" s="8" t="n">
        <f aca="false">IF(IF('House Vote Data'!G45&gt;0.5,"D","R")=$E$8,1,0)</f>
        <v>1</v>
      </c>
      <c r="G23" s="8" t="n">
        <f aca="false">SUM(C23:F23)</f>
        <v>2</v>
      </c>
      <c r="H23" s="14" t="n">
        <f aca="false">AVERAGE(ABS('House Vote Data'!G42-$D$5),ABS('House Vote Data'!G43-$D$6),ABS('House Vote Data'!G44-$D$7),ABS('House Vote Data'!G45-$D$8))</f>
        <v>0.305044440321104</v>
      </c>
      <c r="I23" s="15" t="str">
        <f aca="false">IF(AND(G23=4,H23=MIN(J13:J101)),"&lt;&lt; MAGIC MUNICIPALITY","")</f>
        <v/>
      </c>
      <c r="J23" s="8" t="str">
        <f aca="false">IF(G23=4,H23,"")</f>
        <v/>
      </c>
    </row>
    <row r="24" customFormat="false" ht="15" hidden="false" customHeight="true" outlineLevel="0" collapsed="false">
      <c r="A24" s="8" t="s">
        <v>68</v>
      </c>
      <c r="B24" s="8" t="s">
        <v>57</v>
      </c>
      <c r="C24" s="8" t="n">
        <f aca="false">IF(IF('House Vote Data'!G46&gt;0.5,"D","R")=$E$5,1,0)</f>
        <v>0</v>
      </c>
      <c r="D24" s="8" t="n">
        <f aca="false">IF(IF('House Vote Data'!G47&gt;0.5,"D","R")=$E$6,1,0)</f>
        <v>1</v>
      </c>
      <c r="E24" s="8" t="n">
        <f aca="false">IF(IF('House Vote Data'!G48&gt;0.5,"D","R")=$E$7,1,0)</f>
        <v>0</v>
      </c>
      <c r="F24" s="8" t="n">
        <f aca="false">IF(IF('House Vote Data'!G49&gt;0.5,"D","R")=$E$8,1,0)</f>
        <v>1</v>
      </c>
      <c r="G24" s="8" t="n">
        <f aca="false">SUM(C24:F24)</f>
        <v>2</v>
      </c>
      <c r="H24" s="14" t="n">
        <f aca="false">AVERAGE(ABS('House Vote Data'!G46-$D$5),ABS('House Vote Data'!G47-$D$6),ABS('House Vote Data'!G48-$D$7),ABS('House Vote Data'!G49-$D$8))</f>
        <v>0.0938758322656594</v>
      </c>
      <c r="I24" s="15" t="str">
        <f aca="false">IF(AND(G24=4,H24=MIN(J13:J101)),"&lt;&lt; MAGIC MUNICIPALITY","")</f>
        <v/>
      </c>
      <c r="J24" s="8" t="str">
        <f aca="false">IF(G24=4,H24,"")</f>
        <v/>
      </c>
    </row>
    <row r="25" customFormat="false" ht="15" hidden="false" customHeight="true" outlineLevel="0" collapsed="false">
      <c r="A25" s="8" t="s">
        <v>69</v>
      </c>
      <c r="B25" s="8" t="s">
        <v>57</v>
      </c>
      <c r="C25" s="8" t="n">
        <f aca="false">IF(IF('House Vote Data'!G50&gt;0.5,"D","R")=$E$5,1,0)</f>
        <v>0</v>
      </c>
      <c r="D25" s="8" t="n">
        <f aca="false">IF(IF('House Vote Data'!G51&gt;0.5,"D","R")=$E$6,1,0)</f>
        <v>1</v>
      </c>
      <c r="E25" s="8" t="n">
        <f aca="false">IF(IF('House Vote Data'!G52&gt;0.5,"D","R")=$E$7,1,0)</f>
        <v>0</v>
      </c>
      <c r="F25" s="8" t="n">
        <f aca="false">IF(IF('House Vote Data'!G53&gt;0.5,"D","R")=$E$8,1,0)</f>
        <v>1</v>
      </c>
      <c r="G25" s="8" t="n">
        <f aca="false">SUM(C25:F25)</f>
        <v>2</v>
      </c>
      <c r="H25" s="14" t="n">
        <f aca="false">AVERAGE(ABS('House Vote Data'!G50-$D$5),ABS('House Vote Data'!G51-$D$6),ABS('House Vote Data'!G52-$D$7),ABS('House Vote Data'!G53-$D$8))</f>
        <v>0.191278681841163</v>
      </c>
      <c r="I25" s="15" t="str">
        <f aca="false">IF(AND(G25=4,H25=MIN(J13:J101)),"&lt;&lt; MAGIC MUNICIPALITY","")</f>
        <v/>
      </c>
      <c r="J25" s="8" t="str">
        <f aca="false">IF(G25=4,H25,"")</f>
        <v/>
      </c>
    </row>
    <row r="26" customFormat="false" ht="15" hidden="false" customHeight="true" outlineLevel="0" collapsed="false">
      <c r="A26" s="8" t="s">
        <v>70</v>
      </c>
      <c r="B26" s="8" t="s">
        <v>57</v>
      </c>
      <c r="C26" s="8" t="n">
        <f aca="false">IF(IF('House Vote Data'!G54&gt;0.5,"D","R")=$E$5,1,0)</f>
        <v>0</v>
      </c>
      <c r="D26" s="8" t="n">
        <f aca="false">IF(IF('House Vote Data'!G55&gt;0.5,"D","R")=$E$6,1,0)</f>
        <v>1</v>
      </c>
      <c r="E26" s="8" t="n">
        <f aca="false">IF(IF('House Vote Data'!G56&gt;0.5,"D","R")=$E$7,1,0)</f>
        <v>0</v>
      </c>
      <c r="F26" s="8" t="n">
        <f aca="false">IF(IF('House Vote Data'!G57&gt;0.5,"D","R")=$E$8,1,0)</f>
        <v>1</v>
      </c>
      <c r="G26" s="8" t="n">
        <f aca="false">SUM(C26:F26)</f>
        <v>2</v>
      </c>
      <c r="H26" s="14" t="n">
        <f aca="false">AVERAGE(ABS('House Vote Data'!G54-$D$5),ABS('House Vote Data'!G55-$D$6),ABS('House Vote Data'!G56-$D$7),ABS('House Vote Data'!G57-$D$8))</f>
        <v>0.206007688213946</v>
      </c>
      <c r="I26" s="15" t="str">
        <f aca="false">IF(AND(G26=4,H26=MIN(J13:J101)),"&lt;&lt; MAGIC MUNICIPALITY","")</f>
        <v/>
      </c>
      <c r="J26" s="8" t="str">
        <f aca="false">IF(G26=4,H26,"")</f>
        <v/>
      </c>
    </row>
    <row r="27" customFormat="false" ht="15" hidden="false" customHeight="true" outlineLevel="0" collapsed="false">
      <c r="A27" s="8" t="s">
        <v>71</v>
      </c>
      <c r="B27" s="8" t="s">
        <v>57</v>
      </c>
      <c r="C27" s="8" t="n">
        <f aca="false">IF(IF('House Vote Data'!G58&gt;0.5,"D","R")=$E$5,1,0)</f>
        <v>0</v>
      </c>
      <c r="D27" s="8" t="n">
        <f aca="false">IF(IF('House Vote Data'!G59&gt;0.5,"D","R")=$E$6,1,0)</f>
        <v>1</v>
      </c>
      <c r="E27" s="8" t="n">
        <f aca="false">IF(IF('House Vote Data'!G60&gt;0.5,"D","R")=$E$7,1,0)</f>
        <v>0</v>
      </c>
      <c r="F27" s="8" t="n">
        <f aca="false">IF(IF('House Vote Data'!G61&gt;0.5,"D","R")=$E$8,1,0)</f>
        <v>1</v>
      </c>
      <c r="G27" s="8" t="n">
        <f aca="false">SUM(C27:F27)</f>
        <v>2</v>
      </c>
      <c r="H27" s="14" t="n">
        <f aca="false">AVERAGE(ABS('House Vote Data'!G58-$D$5),ABS('House Vote Data'!G59-$D$6),ABS('House Vote Data'!G60-$D$7),ABS('House Vote Data'!G61-$D$8))</f>
        <v>0.0970781871420102</v>
      </c>
      <c r="I27" s="15" t="str">
        <f aca="false">IF(AND(G27=4,H27=MIN(J13:J101)),"&lt;&lt; MAGIC MUNICIPALITY","")</f>
        <v/>
      </c>
      <c r="J27" s="8" t="str">
        <f aca="false">IF(G27=4,H27,"")</f>
        <v/>
      </c>
    </row>
    <row r="28" customFormat="false" ht="15" hidden="false" customHeight="true" outlineLevel="0" collapsed="false">
      <c r="A28" s="8" t="s">
        <v>72</v>
      </c>
      <c r="B28" s="8" t="s">
        <v>57</v>
      </c>
      <c r="C28" s="8" t="n">
        <f aca="false">IF(IF('House Vote Data'!G62&gt;0.5,"D","R")=$E$5,1,0)</f>
        <v>0</v>
      </c>
      <c r="D28" s="8" t="n">
        <f aca="false">IF(IF('House Vote Data'!G63&gt;0.5,"D","R")=$E$6,1,0)</f>
        <v>1</v>
      </c>
      <c r="E28" s="8" t="n">
        <f aca="false">IF(IF('House Vote Data'!G64&gt;0.5,"D","R")=$E$7,1,0)</f>
        <v>0</v>
      </c>
      <c r="F28" s="8" t="n">
        <f aca="false">IF(IF('House Vote Data'!G65&gt;0.5,"D","R")=$E$8,1,0)</f>
        <v>1</v>
      </c>
      <c r="G28" s="8" t="n">
        <f aca="false">SUM(C28:F28)</f>
        <v>2</v>
      </c>
      <c r="H28" s="14" t="n">
        <f aca="false">AVERAGE(ABS('House Vote Data'!G62-$D$5),ABS('House Vote Data'!G63-$D$6),ABS('House Vote Data'!G64-$D$7),ABS('House Vote Data'!G65-$D$8))</f>
        <v>0.311782351123304</v>
      </c>
      <c r="I28" s="15" t="str">
        <f aca="false">IF(AND(G28=4,H28=MIN(J13:J101)),"&lt;&lt; MAGIC MUNICIPALITY","")</f>
        <v/>
      </c>
      <c r="J28" s="8" t="str">
        <f aca="false">IF(G28=4,H28,"")</f>
        <v/>
      </c>
    </row>
    <row r="29" customFormat="false" ht="15" hidden="false" customHeight="true" outlineLevel="0" collapsed="false">
      <c r="A29" s="8" t="s">
        <v>73</v>
      </c>
      <c r="B29" s="8" t="s">
        <v>57</v>
      </c>
      <c r="C29" s="8" t="n">
        <f aca="false">IF(IF('House Vote Data'!G66&gt;0.5,"D","R")=$E$5,1,0)</f>
        <v>0</v>
      </c>
      <c r="D29" s="8" t="n">
        <f aca="false">IF(IF('House Vote Data'!G67&gt;0.5,"D","R")=$E$6,1,0)</f>
        <v>1</v>
      </c>
      <c r="E29" s="8" t="n">
        <f aca="false">IF(IF('House Vote Data'!G68&gt;0.5,"D","R")=$E$7,1,0)</f>
        <v>0</v>
      </c>
      <c r="F29" s="8" t="n">
        <f aca="false">IF(IF('House Vote Data'!G69&gt;0.5,"D","R")=$E$8,1,0)</f>
        <v>1</v>
      </c>
      <c r="G29" s="8" t="n">
        <f aca="false">SUM(C29:F29)</f>
        <v>2</v>
      </c>
      <c r="H29" s="14" t="n">
        <f aca="false">AVERAGE(ABS('House Vote Data'!G66-$D$5),ABS('House Vote Data'!G67-$D$6),ABS('House Vote Data'!G68-$D$7),ABS('House Vote Data'!G69-$D$8))</f>
        <v>0.133907644209912</v>
      </c>
      <c r="I29" s="15" t="str">
        <f aca="false">IF(AND(G29=4,H29=MIN(J13:J101)),"&lt;&lt; MAGIC MUNICIPALITY","")</f>
        <v/>
      </c>
      <c r="J29" s="8" t="str">
        <f aca="false">IF(G29=4,H29,"")</f>
        <v/>
      </c>
    </row>
    <row r="30" customFormat="false" ht="15" hidden="false" customHeight="true" outlineLevel="0" collapsed="false">
      <c r="A30" s="8" t="s">
        <v>74</v>
      </c>
      <c r="B30" s="8" t="s">
        <v>57</v>
      </c>
      <c r="C30" s="8" t="n">
        <f aca="false">IF(IF('House Vote Data'!G70&gt;0.5,"D","R")=$E$5,1,0)</f>
        <v>0</v>
      </c>
      <c r="D30" s="8" t="n">
        <f aca="false">IF(IF('House Vote Data'!G71&gt;0.5,"D","R")=$E$6,1,0)</f>
        <v>1</v>
      </c>
      <c r="E30" s="8" t="n">
        <f aca="false">IF(IF('House Vote Data'!G72&gt;0.5,"D","R")=$E$7,1,0)</f>
        <v>0</v>
      </c>
      <c r="F30" s="8" t="n">
        <f aca="false">IF(IF('House Vote Data'!G73&gt;0.5,"D","R")=$E$8,1,0)</f>
        <v>1</v>
      </c>
      <c r="G30" s="8" t="n">
        <f aca="false">SUM(C30:F30)</f>
        <v>2</v>
      </c>
      <c r="H30" s="14" t="n">
        <f aca="false">AVERAGE(ABS('House Vote Data'!G70-$D$5),ABS('House Vote Data'!G71-$D$6),ABS('House Vote Data'!G72-$D$7),ABS('House Vote Data'!G73-$D$8))</f>
        <v>0.222448592231607</v>
      </c>
      <c r="I30" s="15" t="str">
        <f aca="false">IF(AND(G30=4,H30=MIN(J13:J101)),"&lt;&lt; MAGIC MUNICIPALITY","")</f>
        <v/>
      </c>
      <c r="J30" s="8" t="str">
        <f aca="false">IF(G30=4,H30,"")</f>
        <v/>
      </c>
    </row>
    <row r="31" customFormat="false" ht="15" hidden="false" customHeight="true" outlineLevel="0" collapsed="false">
      <c r="A31" s="8" t="s">
        <v>75</v>
      </c>
      <c r="B31" s="8" t="s">
        <v>57</v>
      </c>
      <c r="C31" s="8" t="n">
        <f aca="false">IF(IF('House Vote Data'!G74&gt;0.5,"D","R")=$E$5,1,0)</f>
        <v>0</v>
      </c>
      <c r="D31" s="8" t="n">
        <f aca="false">IF(IF('House Vote Data'!G75&gt;0.5,"D","R")=$E$6,1,0)</f>
        <v>1</v>
      </c>
      <c r="E31" s="8" t="n">
        <f aca="false">IF(IF('House Vote Data'!G76&gt;0.5,"D","R")=$E$7,1,0)</f>
        <v>0</v>
      </c>
      <c r="F31" s="8" t="n">
        <f aca="false">IF(IF('House Vote Data'!G77&gt;0.5,"D","R")=$E$8,1,0)</f>
        <v>1</v>
      </c>
      <c r="G31" s="8" t="n">
        <f aca="false">SUM(C31:F31)</f>
        <v>2</v>
      </c>
      <c r="H31" s="14" t="n">
        <f aca="false">AVERAGE(ABS('House Vote Data'!G74-$D$5),ABS('House Vote Data'!G75-$D$6),ABS('House Vote Data'!G76-$D$7),ABS('House Vote Data'!G77-$D$8))</f>
        <v>0.134594633046707</v>
      </c>
      <c r="I31" s="15" t="str">
        <f aca="false">IF(AND(G31=4,H31=MIN(J13:J101)),"&lt;&lt; MAGIC MUNICIPALITY","")</f>
        <v/>
      </c>
      <c r="J31" s="8" t="str">
        <f aca="false">IF(G31=4,H31,"")</f>
        <v/>
      </c>
    </row>
    <row r="32" customFormat="false" ht="15" hidden="false" customHeight="true" outlineLevel="0" collapsed="false">
      <c r="A32" s="8" t="s">
        <v>76</v>
      </c>
      <c r="B32" s="8" t="s">
        <v>57</v>
      </c>
      <c r="C32" s="8" t="n">
        <f aca="false">IF(IF('House Vote Data'!G78&gt;0.5,"D","R")=$E$5,1,0)</f>
        <v>1</v>
      </c>
      <c r="D32" s="8" t="n">
        <f aca="false">IF(IF('House Vote Data'!G79&gt;0.5,"D","R")=$E$6,1,0)</f>
        <v>1</v>
      </c>
      <c r="E32" s="8" t="n">
        <f aca="false">IF(IF('House Vote Data'!G80&gt;0.5,"D","R")=$E$7,1,0)</f>
        <v>0</v>
      </c>
      <c r="F32" s="8" t="n">
        <f aca="false">IF(IF('House Vote Data'!G81&gt;0.5,"D","R")=$E$8,1,0)</f>
        <v>1</v>
      </c>
      <c r="G32" s="8" t="n">
        <f aca="false">SUM(C32:F32)</f>
        <v>3</v>
      </c>
      <c r="H32" s="14" t="n">
        <f aca="false">AVERAGE(ABS('House Vote Data'!G78-$D$5),ABS('House Vote Data'!G79-$D$6),ABS('House Vote Data'!G80-$D$7),ABS('House Vote Data'!G81-$D$8))</f>
        <v>0.0638696344376369</v>
      </c>
      <c r="I32" s="15" t="str">
        <f aca="false">IF(AND(G32=4,H32=MIN(J13:J101)),"&lt;&lt; MAGIC MUNICIPALITY","")</f>
        <v/>
      </c>
      <c r="J32" s="8" t="str">
        <f aca="false">IF(G32=4,H32,"")</f>
        <v/>
      </c>
    </row>
    <row r="33" customFormat="false" ht="15" hidden="false" customHeight="true" outlineLevel="0" collapsed="false">
      <c r="A33" s="8" t="s">
        <v>77</v>
      </c>
      <c r="B33" s="8" t="s">
        <v>57</v>
      </c>
      <c r="C33" s="8" t="n">
        <f aca="false">IF(IF('House Vote Data'!G82&gt;0.5,"D","R")=$E$5,1,0)</f>
        <v>0</v>
      </c>
      <c r="D33" s="8" t="n">
        <f aca="false">IF(IF('House Vote Data'!G83&gt;0.5,"D","R")=$E$6,1,0)</f>
        <v>1</v>
      </c>
      <c r="E33" s="8" t="n">
        <f aca="false">IF(IF('House Vote Data'!G84&gt;0.5,"D","R")=$E$7,1,0)</f>
        <v>0</v>
      </c>
      <c r="F33" s="8" t="n">
        <f aca="false">IF(IF('House Vote Data'!G85&gt;0.5,"D","R")=$E$8,1,0)</f>
        <v>1</v>
      </c>
      <c r="G33" s="8" t="n">
        <f aca="false">SUM(C33:F33)</f>
        <v>2</v>
      </c>
      <c r="H33" s="14" t="n">
        <f aca="false">AVERAGE(ABS('House Vote Data'!G82-$D$5),ABS('House Vote Data'!G83-$D$6),ABS('House Vote Data'!G84-$D$7),ABS('House Vote Data'!G85-$D$8))</f>
        <v>0.205895685735814</v>
      </c>
      <c r="I33" s="15" t="str">
        <f aca="false">IF(AND(G33=4,H33=MIN(J13:J101)),"&lt;&lt; MAGIC MUNICIPALITY","")</f>
        <v/>
      </c>
      <c r="J33" s="8" t="str">
        <f aca="false">IF(G33=4,H33,"")</f>
        <v/>
      </c>
    </row>
    <row r="34" customFormat="false" ht="15" hidden="false" customHeight="true" outlineLevel="0" collapsed="false">
      <c r="A34" s="8" t="s">
        <v>78</v>
      </c>
      <c r="B34" s="8" t="s">
        <v>57</v>
      </c>
      <c r="C34" s="8" t="n">
        <f aca="false">IF(IF('House Vote Data'!G86&gt;0.5,"D","R")=$E$5,1,0)</f>
        <v>0</v>
      </c>
      <c r="D34" s="8" t="n">
        <f aca="false">IF(IF('House Vote Data'!G87&gt;0.5,"D","R")=$E$6,1,0)</f>
        <v>1</v>
      </c>
      <c r="E34" s="8" t="n">
        <f aca="false">IF(IF('House Vote Data'!G88&gt;0.5,"D","R")=$E$7,1,0)</f>
        <v>0</v>
      </c>
      <c r="F34" s="8" t="n">
        <f aca="false">IF(IF('House Vote Data'!G89&gt;0.5,"D","R")=$E$8,1,0)</f>
        <v>1</v>
      </c>
      <c r="G34" s="8" t="n">
        <f aca="false">SUM(C34:F34)</f>
        <v>2</v>
      </c>
      <c r="H34" s="14" t="n">
        <f aca="false">AVERAGE(ABS('House Vote Data'!G86-$D$5),ABS('House Vote Data'!G87-$D$6),ABS('House Vote Data'!G88-$D$7),ABS('House Vote Data'!G89-$D$8))</f>
        <v>0.220866151089969</v>
      </c>
      <c r="I34" s="15" t="str">
        <f aca="false">IF(AND(G34=4,H34=MIN(J13:J101)),"&lt;&lt; MAGIC MUNICIPALITY","")</f>
        <v/>
      </c>
      <c r="J34" s="8" t="str">
        <f aca="false">IF(G34=4,H34,"")</f>
        <v/>
      </c>
    </row>
    <row r="35" customFormat="false" ht="15" hidden="false" customHeight="true" outlineLevel="0" collapsed="false">
      <c r="A35" s="8" t="s">
        <v>79</v>
      </c>
      <c r="B35" s="8" t="s">
        <v>57</v>
      </c>
      <c r="C35" s="8" t="n">
        <f aca="false">IF(IF('House Vote Data'!G90&gt;0.5,"D","R")=$E$5,1,0)</f>
        <v>1</v>
      </c>
      <c r="D35" s="8" t="n">
        <f aca="false">IF(IF('House Vote Data'!G91&gt;0.5,"D","R")=$E$6,1,0)</f>
        <v>1</v>
      </c>
      <c r="E35" s="8" t="n">
        <f aca="false">IF(IF('House Vote Data'!G92&gt;0.5,"D","R")=$E$7,1,0)</f>
        <v>0</v>
      </c>
      <c r="F35" s="8" t="n">
        <f aca="false">IF(IF('House Vote Data'!G93&gt;0.5,"D","R")=$E$8,1,0)</f>
        <v>1</v>
      </c>
      <c r="G35" s="8" t="n">
        <f aca="false">SUM(C35:F35)</f>
        <v>3</v>
      </c>
      <c r="H35" s="14" t="n">
        <f aca="false">AVERAGE(ABS('House Vote Data'!G90-$D$5),ABS('House Vote Data'!G91-$D$6),ABS('House Vote Data'!G92-$D$7),ABS('House Vote Data'!G93-$D$8))</f>
        <v>0.0758687366531669</v>
      </c>
      <c r="I35" s="15" t="str">
        <f aca="false">IF(AND(G35=4,H35=MIN(J13:J101)),"&lt;&lt; MAGIC MUNICIPALITY","")</f>
        <v/>
      </c>
      <c r="J35" s="8" t="str">
        <f aca="false">IF(G35=4,H35,"")</f>
        <v/>
      </c>
    </row>
    <row r="36" customFormat="false" ht="15" hidden="false" customHeight="true" outlineLevel="0" collapsed="false">
      <c r="A36" s="8" t="s">
        <v>80</v>
      </c>
      <c r="B36" s="8" t="s">
        <v>81</v>
      </c>
      <c r="C36" s="8" t="n">
        <f aca="false">IF(IF('House Vote Data'!G94&gt;0.5,"D","R")=$E$5,1,0)</f>
        <v>1</v>
      </c>
      <c r="D36" s="8" t="n">
        <f aca="false">IF(IF('House Vote Data'!G95&gt;0.5,"D","R")=$E$6,1,0)</f>
        <v>1</v>
      </c>
      <c r="E36" s="8" t="n">
        <f aca="false">IF(IF('House Vote Data'!G96&gt;0.5,"D","R")=$E$7,1,0)</f>
        <v>0</v>
      </c>
      <c r="F36" s="8" t="n">
        <f aca="false">IF(IF('House Vote Data'!G97&gt;0.5,"D","R")=$E$8,1,0)</f>
        <v>1</v>
      </c>
      <c r="G36" s="8" t="n">
        <f aca="false">SUM(C36:F36)</f>
        <v>3</v>
      </c>
      <c r="H36" s="14" t="n">
        <f aca="false">AVERAGE(ABS('House Vote Data'!G94-$D$5),ABS('House Vote Data'!G95-$D$6),ABS('House Vote Data'!G96-$D$7),ABS('House Vote Data'!G97-$D$8))</f>
        <v>0.0281286684118879</v>
      </c>
      <c r="I36" s="15" t="str">
        <f aca="false">IF(AND(G36=4,H36=MIN(J13:J101)),"&lt;&lt; MAGIC MUNICIPALITY","")</f>
        <v/>
      </c>
      <c r="J36" s="8" t="str">
        <f aca="false">IF(G36=4,H36,"")</f>
        <v/>
      </c>
    </row>
    <row r="37" customFormat="false" ht="15" hidden="false" customHeight="true" outlineLevel="0" collapsed="false">
      <c r="A37" s="8" t="s">
        <v>82</v>
      </c>
      <c r="B37" s="8" t="s">
        <v>81</v>
      </c>
      <c r="C37" s="8" t="n">
        <f aca="false">IF(IF('House Vote Data'!G98&gt;0.5,"D","R")=$E$5,1,0)</f>
        <v>1</v>
      </c>
      <c r="D37" s="8" t="n">
        <f aca="false">IF(IF('House Vote Data'!G99&gt;0.5,"D","R")=$E$6,1,0)</f>
        <v>0</v>
      </c>
      <c r="E37" s="8" t="n">
        <f aca="false">IF(IF('House Vote Data'!G100&gt;0.5,"D","R")=$E$7,1,0)</f>
        <v>1</v>
      </c>
      <c r="F37" s="8" t="n">
        <f aca="false">IF(IF('House Vote Data'!G101&gt;0.5,"D","R")=$E$8,1,0)</f>
        <v>0</v>
      </c>
      <c r="G37" s="8" t="n">
        <f aca="false">SUM(C37:F37)</f>
        <v>2</v>
      </c>
      <c r="H37" s="14" t="n">
        <f aca="false">AVERAGE(ABS('House Vote Data'!G98-$D$5),ABS('House Vote Data'!G99-$D$6),ABS('House Vote Data'!G100-$D$7),ABS('House Vote Data'!G101-$D$8))</f>
        <v>0.176619650422554</v>
      </c>
      <c r="I37" s="15" t="str">
        <f aca="false">IF(AND(G37=4,H37=MIN(J13:J101)),"&lt;&lt; MAGIC MUNICIPALITY","")</f>
        <v/>
      </c>
      <c r="J37" s="8" t="str">
        <f aca="false">IF(G37=4,H37,"")</f>
        <v/>
      </c>
    </row>
    <row r="38" customFormat="false" ht="15" hidden="false" customHeight="true" outlineLevel="0" collapsed="false">
      <c r="A38" s="8" t="s">
        <v>83</v>
      </c>
      <c r="B38" s="8" t="s">
        <v>81</v>
      </c>
      <c r="C38" s="8" t="n">
        <f aca="false">IF(IF('House Vote Data'!G102&gt;0.5,"D","R")=$E$5,1,0)</f>
        <v>1</v>
      </c>
      <c r="D38" s="8" t="n">
        <f aca="false">IF(IF('House Vote Data'!G103&gt;0.5,"D","R")=$E$6,1,0)</f>
        <v>0</v>
      </c>
      <c r="E38" s="8" t="n">
        <f aca="false">IF(IF('House Vote Data'!G104&gt;0.5,"D","R")=$E$7,1,0)</f>
        <v>1</v>
      </c>
      <c r="F38" s="8" t="n">
        <f aca="false">IF(IF('House Vote Data'!G105&gt;0.5,"D","R")=$E$8,1,0)</f>
        <v>0</v>
      </c>
      <c r="G38" s="8" t="n">
        <f aca="false">SUM(C38:F38)</f>
        <v>2</v>
      </c>
      <c r="H38" s="14" t="n">
        <f aca="false">AVERAGE(ABS('House Vote Data'!G102-$D$5),ABS('House Vote Data'!G103-$D$6),ABS('House Vote Data'!G104-$D$7),ABS('House Vote Data'!G105-$D$8))</f>
        <v>0.139504916450253</v>
      </c>
      <c r="I38" s="15" t="str">
        <f aca="false">IF(AND(G38=4,H38=MIN(J13:J101)),"&lt;&lt; MAGIC MUNICIPALITY","")</f>
        <v/>
      </c>
      <c r="J38" s="8" t="str">
        <f aca="false">IF(G38=4,H38,"")</f>
        <v/>
      </c>
    </row>
    <row r="39" customFormat="false" ht="15" hidden="false" customHeight="true" outlineLevel="0" collapsed="false">
      <c r="A39" s="8" t="s">
        <v>84</v>
      </c>
      <c r="B39" s="8" t="s">
        <v>81</v>
      </c>
      <c r="C39" s="8" t="n">
        <f aca="false">IF(IF('House Vote Data'!G106&gt;0.5,"D","R")=$E$5,1,0)</f>
        <v>1</v>
      </c>
      <c r="D39" s="8" t="n">
        <f aca="false">IF(IF('House Vote Data'!G107&gt;0.5,"D","R")=$E$6,1,0)</f>
        <v>0</v>
      </c>
      <c r="E39" s="8" t="n">
        <f aca="false">IF(IF('House Vote Data'!G108&gt;0.5,"D","R")=$E$7,1,0)</f>
        <v>1</v>
      </c>
      <c r="F39" s="8" t="n">
        <f aca="false">IF(IF('House Vote Data'!G109&gt;0.5,"D","R")=$E$8,1,0)</f>
        <v>0</v>
      </c>
      <c r="G39" s="8" t="n">
        <f aca="false">SUM(C39:F39)</f>
        <v>2</v>
      </c>
      <c r="H39" s="14" t="n">
        <f aca="false">AVERAGE(ABS('House Vote Data'!G106-$D$5),ABS('House Vote Data'!G107-$D$6),ABS('House Vote Data'!G108-$D$7),ABS('House Vote Data'!G109-$D$8))</f>
        <v>0.0272877873469539</v>
      </c>
      <c r="I39" s="15" t="str">
        <f aca="false">IF(AND(G39=4,H39=MIN(J13:J101)),"&lt;&lt; MAGIC MUNICIPALITY","")</f>
        <v/>
      </c>
      <c r="J39" s="8" t="str">
        <f aca="false">IF(G39=4,H39,"")</f>
        <v/>
      </c>
    </row>
    <row r="40" customFormat="false" ht="15" hidden="false" customHeight="true" outlineLevel="0" collapsed="false">
      <c r="A40" s="8" t="s">
        <v>85</v>
      </c>
      <c r="B40" s="8" t="s">
        <v>81</v>
      </c>
      <c r="C40" s="8" t="n">
        <f aca="false">IF(IF('House Vote Data'!G110&gt;0.5,"D","R")=$E$5,1,0)</f>
        <v>1</v>
      </c>
      <c r="D40" s="8" t="n">
        <f aca="false">IF(IF('House Vote Data'!G111&gt;0.5,"D","R")=$E$6,1,0)</f>
        <v>1</v>
      </c>
      <c r="E40" s="8" t="n">
        <f aca="false">IF(IF('House Vote Data'!G112&gt;0.5,"D","R")=$E$7,1,0)</f>
        <v>1</v>
      </c>
      <c r="F40" s="8" t="n">
        <f aca="false">IF(IF('House Vote Data'!G113&gt;0.5,"D","R")=$E$8,1,0)</f>
        <v>1</v>
      </c>
      <c r="G40" s="8" t="n">
        <f aca="false">SUM(C40:F40)</f>
        <v>4</v>
      </c>
      <c r="H40" s="14" t="n">
        <f aca="false">AVERAGE(ABS('House Vote Data'!G110-$D$5),ABS('House Vote Data'!G111-$D$6),ABS('House Vote Data'!G112-$D$7),ABS('House Vote Data'!G113-$D$8))</f>
        <v>0.0112991721293674</v>
      </c>
      <c r="I40" s="15" t="str">
        <f aca="false">IF(AND(G40=4,H40=MIN(J13:J101)),"&lt;&lt; MAGIC MUNICIPALITY","")</f>
        <v/>
      </c>
      <c r="J40" s="14" t="n">
        <f aca="false">IF(G40=4,H40,"")</f>
        <v>0.0112991721293674</v>
      </c>
    </row>
    <row r="41" customFormat="false" ht="15" hidden="false" customHeight="true" outlineLevel="0" collapsed="false">
      <c r="A41" s="8" t="s">
        <v>86</v>
      </c>
      <c r="B41" s="8" t="s">
        <v>81</v>
      </c>
      <c r="C41" s="8" t="n">
        <f aca="false">IF(IF('House Vote Data'!G114&gt;0.5,"D","R")=$E$5,1,0)</f>
        <v>1</v>
      </c>
      <c r="D41" s="8" t="n">
        <f aca="false">IF(IF('House Vote Data'!G115&gt;0.5,"D","R")=$E$6,1,0)</f>
        <v>0</v>
      </c>
      <c r="E41" s="8" t="n">
        <f aca="false">IF(IF('House Vote Data'!G116&gt;0.5,"D","R")=$E$7,1,0)</f>
        <v>1</v>
      </c>
      <c r="F41" s="8" t="n">
        <f aca="false">IF(IF('House Vote Data'!G117&gt;0.5,"D","R")=$E$8,1,0)</f>
        <v>0</v>
      </c>
      <c r="G41" s="8" t="n">
        <f aca="false">SUM(C41:F41)</f>
        <v>2</v>
      </c>
      <c r="H41" s="14" t="n">
        <f aca="false">AVERAGE(ABS('House Vote Data'!G114-$D$5),ABS('House Vote Data'!G115-$D$6),ABS('House Vote Data'!G116-$D$7),ABS('House Vote Data'!G117-$D$8))</f>
        <v>0.0155751543503865</v>
      </c>
      <c r="I41" s="15" t="str">
        <f aca="false">IF(AND(G41=4,H41=MIN(J13:J101)),"&lt;&lt; MAGIC MUNICIPALITY","")</f>
        <v/>
      </c>
      <c r="J41" s="8" t="str">
        <f aca="false">IF(G41=4,H41,"")</f>
        <v/>
      </c>
    </row>
    <row r="42" customFormat="false" ht="15" hidden="false" customHeight="true" outlineLevel="0" collapsed="false">
      <c r="A42" s="8" t="s">
        <v>87</v>
      </c>
      <c r="B42" s="8" t="s">
        <v>81</v>
      </c>
      <c r="C42" s="8" t="n">
        <f aca="false">IF(IF('House Vote Data'!G118&gt;0.5,"D","R")=$E$5,1,0)</f>
        <v>1</v>
      </c>
      <c r="D42" s="8" t="n">
        <f aca="false">IF(IF('House Vote Data'!G119&gt;0.5,"D","R")=$E$6,1,0)</f>
        <v>0</v>
      </c>
      <c r="E42" s="8" t="n">
        <f aca="false">IF(IF('House Vote Data'!G120&gt;0.5,"D","R")=$E$7,1,0)</f>
        <v>1</v>
      </c>
      <c r="F42" s="8" t="n">
        <f aca="false">IF(IF('House Vote Data'!G121&gt;0.5,"D","R")=$E$8,1,0)</f>
        <v>0</v>
      </c>
      <c r="G42" s="8" t="n">
        <f aca="false">SUM(C42:F42)</f>
        <v>2</v>
      </c>
      <c r="H42" s="14" t="n">
        <f aca="false">AVERAGE(ABS('House Vote Data'!G118-$D$5),ABS('House Vote Data'!G119-$D$6),ABS('House Vote Data'!G120-$D$7),ABS('House Vote Data'!G121-$D$8))</f>
        <v>0.0331382990486542</v>
      </c>
      <c r="I42" s="15" t="str">
        <f aca="false">IF(AND(G42=4,H42=MIN(J13:J101)),"&lt;&lt; MAGIC MUNICIPALITY","")</f>
        <v/>
      </c>
      <c r="J42" s="8" t="str">
        <f aca="false">IF(G42=4,H42,"")</f>
        <v/>
      </c>
    </row>
    <row r="43" customFormat="false" ht="15" hidden="false" customHeight="true" outlineLevel="0" collapsed="false">
      <c r="A43" s="8" t="s">
        <v>88</v>
      </c>
      <c r="B43" s="8" t="s">
        <v>81</v>
      </c>
      <c r="C43" s="8" t="n">
        <f aca="false">IF(IF('House Vote Data'!G122&gt;0.5,"D","R")=$E$5,1,0)</f>
        <v>1</v>
      </c>
      <c r="D43" s="8" t="n">
        <f aca="false">IF(IF('House Vote Data'!G123&gt;0.5,"D","R")=$E$6,1,0)</f>
        <v>0</v>
      </c>
      <c r="E43" s="8" t="n">
        <f aca="false">IF(IF('House Vote Data'!G124&gt;0.5,"D","R")=$E$7,1,0)</f>
        <v>1</v>
      </c>
      <c r="F43" s="8" t="n">
        <f aca="false">IF(IF('House Vote Data'!G125&gt;0.5,"D","R")=$E$8,1,0)</f>
        <v>0</v>
      </c>
      <c r="G43" s="8" t="n">
        <f aca="false">SUM(C43:F43)</f>
        <v>2</v>
      </c>
      <c r="H43" s="14" t="n">
        <f aca="false">AVERAGE(ABS('House Vote Data'!G122-$D$5),ABS('House Vote Data'!G123-$D$6),ABS('House Vote Data'!G124-$D$7),ABS('House Vote Data'!G125-$D$8))</f>
        <v>0.166714290141809</v>
      </c>
      <c r="I43" s="15" t="str">
        <f aca="false">IF(AND(G43=4,H43=MIN(J13:J101)),"&lt;&lt; MAGIC MUNICIPALITY","")</f>
        <v/>
      </c>
      <c r="J43" s="8" t="str">
        <f aca="false">IF(G43=4,H43,"")</f>
        <v/>
      </c>
    </row>
    <row r="44" customFormat="false" ht="15" hidden="false" customHeight="true" outlineLevel="0" collapsed="false">
      <c r="A44" s="8" t="s">
        <v>89</v>
      </c>
      <c r="B44" s="8" t="s">
        <v>81</v>
      </c>
      <c r="C44" s="8" t="n">
        <f aca="false">IF(IF('House Vote Data'!G126&gt;0.5,"D","R")=$E$5,1,0)</f>
        <v>1</v>
      </c>
      <c r="D44" s="8" t="n">
        <f aca="false">IF(IF('House Vote Data'!G127&gt;0.5,"D","R")=$E$6,1,0)</f>
        <v>0</v>
      </c>
      <c r="E44" s="8" t="n">
        <f aca="false">IF(IF('House Vote Data'!G128&gt;0.5,"D","R")=$E$7,1,0)</f>
        <v>1</v>
      </c>
      <c r="F44" s="8" t="n">
        <f aca="false">IF(IF('House Vote Data'!G129&gt;0.5,"D","R")=$E$8,1,0)</f>
        <v>0</v>
      </c>
      <c r="G44" s="8" t="n">
        <f aca="false">SUM(C44:F44)</f>
        <v>2</v>
      </c>
      <c r="H44" s="14" t="n">
        <f aca="false">AVERAGE(ABS('House Vote Data'!G126-$D$5),ABS('House Vote Data'!G127-$D$6),ABS('House Vote Data'!G128-$D$7),ABS('House Vote Data'!G129-$D$8))</f>
        <v>0.057408899565108</v>
      </c>
      <c r="I44" s="15" t="str">
        <f aca="false">IF(AND(G44=4,H44=MIN(J13:J101)),"&lt;&lt; MAGIC MUNICIPALITY","")</f>
        <v/>
      </c>
      <c r="J44" s="8" t="str">
        <f aca="false">IF(G44=4,H44,"")</f>
        <v/>
      </c>
    </row>
    <row r="45" customFormat="false" ht="15" hidden="false" customHeight="true" outlineLevel="0" collapsed="false">
      <c r="A45" s="8" t="s">
        <v>90</v>
      </c>
      <c r="B45" s="8" t="s">
        <v>81</v>
      </c>
      <c r="C45" s="8" t="n">
        <f aca="false">IF(IF('House Vote Data'!G130&gt;0.5,"D","R")=$E$5,1,0)</f>
        <v>0</v>
      </c>
      <c r="D45" s="8" t="n">
        <f aca="false">IF(IF('House Vote Data'!G131&gt;0.5,"D","R")=$E$6,1,0)</f>
        <v>1</v>
      </c>
      <c r="E45" s="8" t="n">
        <f aca="false">IF(IF('House Vote Data'!G132&gt;0.5,"D","R")=$E$7,1,0)</f>
        <v>0</v>
      </c>
      <c r="F45" s="8" t="n">
        <f aca="false">IF(IF('House Vote Data'!G133&gt;0.5,"D","R")=$E$8,1,0)</f>
        <v>1</v>
      </c>
      <c r="G45" s="8" t="n">
        <f aca="false">SUM(C45:F45)</f>
        <v>2</v>
      </c>
      <c r="H45" s="14" t="n">
        <f aca="false">AVERAGE(ABS('House Vote Data'!G130-$D$5),ABS('House Vote Data'!G131-$D$6),ABS('House Vote Data'!G132-$D$7),ABS('House Vote Data'!G133-$D$8))</f>
        <v>0.179292761587</v>
      </c>
      <c r="I45" s="15" t="str">
        <f aca="false">IF(AND(G45=4,H45=MIN(J13:J101)),"&lt;&lt; MAGIC MUNICIPALITY","")</f>
        <v/>
      </c>
      <c r="J45" s="8" t="str">
        <f aca="false">IF(G45=4,H45,"")</f>
        <v/>
      </c>
    </row>
    <row r="46" customFormat="false" ht="15" hidden="false" customHeight="true" outlineLevel="0" collapsed="false">
      <c r="A46" s="8" t="s">
        <v>91</v>
      </c>
      <c r="B46" s="8" t="s">
        <v>81</v>
      </c>
      <c r="C46" s="8" t="n">
        <f aca="false">IF(IF('House Vote Data'!G134&gt;0.5,"D","R")=$E$5,1,0)</f>
        <v>1</v>
      </c>
      <c r="D46" s="8" t="n">
        <f aca="false">IF(IF('House Vote Data'!G135&gt;0.5,"D","R")=$E$6,1,0)</f>
        <v>1</v>
      </c>
      <c r="E46" s="8" t="n">
        <f aca="false">IF(IF('House Vote Data'!G136&gt;0.5,"D","R")=$E$7,1,0)</f>
        <v>1</v>
      </c>
      <c r="F46" s="8" t="n">
        <f aca="false">IF(IF('House Vote Data'!G137&gt;0.5,"D","R")=$E$8,1,0)</f>
        <v>1</v>
      </c>
      <c r="G46" s="8" t="n">
        <f aca="false">SUM(C46:F46)</f>
        <v>4</v>
      </c>
      <c r="H46" s="14" t="n">
        <f aca="false">AVERAGE(ABS('House Vote Data'!G134-$D$5),ABS('House Vote Data'!G135-$D$6),ABS('House Vote Data'!G136-$D$7),ABS('House Vote Data'!G137-$D$8))</f>
        <v>0.00916796747731716</v>
      </c>
      <c r="I46" s="15" t="str">
        <f aca="false">IF(AND(G46=4,H46=MIN(J13:J101)),"&lt;&lt; MAGIC MUNICIPALITY","")</f>
        <v/>
      </c>
      <c r="J46" s="14" t="n">
        <f aca="false">IF(G46=4,H46,"")</f>
        <v>0.00916796747731716</v>
      </c>
    </row>
    <row r="47" customFormat="false" ht="15" hidden="false" customHeight="true" outlineLevel="0" collapsed="false">
      <c r="A47" s="8" t="s">
        <v>92</v>
      </c>
      <c r="B47" s="8" t="s">
        <v>81</v>
      </c>
      <c r="C47" s="8" t="n">
        <f aca="false">IF(IF('House Vote Data'!G138&gt;0.5,"D","R")=$E$5,1,0)</f>
        <v>0</v>
      </c>
      <c r="D47" s="8" t="n">
        <f aca="false">IF(IF('House Vote Data'!G139&gt;0.5,"D","R")=$E$6,1,0)</f>
        <v>1</v>
      </c>
      <c r="E47" s="8" t="n">
        <f aca="false">IF(IF('House Vote Data'!G140&gt;0.5,"D","R")=$E$7,1,0)</f>
        <v>0</v>
      </c>
      <c r="F47" s="8" t="n">
        <f aca="false">IF(IF('House Vote Data'!G141&gt;0.5,"D","R")=$E$8,1,0)</f>
        <v>1</v>
      </c>
      <c r="G47" s="8" t="n">
        <f aca="false">SUM(C47:F47)</f>
        <v>2</v>
      </c>
      <c r="H47" s="14" t="n">
        <f aca="false">AVERAGE(ABS('House Vote Data'!G138-$D$5),ABS('House Vote Data'!G139-$D$6),ABS('House Vote Data'!G140-$D$7),ABS('House Vote Data'!G141-$D$8))</f>
        <v>0.123533070446035</v>
      </c>
      <c r="I47" s="15" t="str">
        <f aca="false">IF(AND(G47=4,H47=MIN(J13:J101)),"&lt;&lt; MAGIC MUNICIPALITY","")</f>
        <v/>
      </c>
      <c r="J47" s="8" t="str">
        <f aca="false">IF(G47=4,H47,"")</f>
        <v/>
      </c>
    </row>
    <row r="48" customFormat="false" ht="15" hidden="false" customHeight="true" outlineLevel="0" collapsed="false">
      <c r="A48" s="8" t="s">
        <v>93</v>
      </c>
      <c r="B48" s="8" t="s">
        <v>81</v>
      </c>
      <c r="C48" s="8" t="n">
        <f aca="false">IF(IF('House Vote Data'!G142&gt;0.5,"D","R")=$E$5,1,0)</f>
        <v>0</v>
      </c>
      <c r="D48" s="8" t="n">
        <f aca="false">IF(IF('House Vote Data'!G143&gt;0.5,"D","R")=$E$6,1,0)</f>
        <v>1</v>
      </c>
      <c r="E48" s="8" t="n">
        <f aca="false">IF(IF('House Vote Data'!G144&gt;0.5,"D","R")=$E$7,1,0)</f>
        <v>0</v>
      </c>
      <c r="F48" s="8" t="n">
        <f aca="false">IF(IF('House Vote Data'!G145&gt;0.5,"D","R")=$E$8,1,0)</f>
        <v>1</v>
      </c>
      <c r="G48" s="8" t="n">
        <f aca="false">SUM(C48:F48)</f>
        <v>2</v>
      </c>
      <c r="H48" s="14" t="n">
        <f aca="false">AVERAGE(ABS('House Vote Data'!G142-$D$5),ABS('House Vote Data'!G143-$D$6),ABS('House Vote Data'!G144-$D$7),ABS('House Vote Data'!G145-$D$8))</f>
        <v>0.142524370357912</v>
      </c>
      <c r="I48" s="15" t="str">
        <f aca="false">IF(AND(G48=4,H48=MIN(J13:J101)),"&lt;&lt; MAGIC MUNICIPALITY","")</f>
        <v/>
      </c>
      <c r="J48" s="8" t="str">
        <f aca="false">IF(G48=4,H48,"")</f>
        <v/>
      </c>
    </row>
    <row r="49" customFormat="false" ht="15" hidden="false" customHeight="true" outlineLevel="0" collapsed="false">
      <c r="A49" s="8" t="s">
        <v>94</v>
      </c>
      <c r="B49" s="8" t="s">
        <v>81</v>
      </c>
      <c r="C49" s="8" t="n">
        <f aca="false">IF(IF('House Vote Data'!G146&gt;0.5,"D","R")=$E$5,1,0)</f>
        <v>0</v>
      </c>
      <c r="D49" s="8" t="n">
        <f aca="false">IF(IF('House Vote Data'!G147&gt;0.5,"D","R")=$E$6,1,0)</f>
        <v>1</v>
      </c>
      <c r="E49" s="8" t="n">
        <f aca="false">IF(IF('House Vote Data'!G148&gt;0.5,"D","R")=$E$7,1,0)</f>
        <v>0</v>
      </c>
      <c r="F49" s="8" t="n">
        <f aca="false">IF(IF('House Vote Data'!G149&gt;0.5,"D","R")=$E$8,1,0)</f>
        <v>1</v>
      </c>
      <c r="G49" s="8" t="n">
        <f aca="false">SUM(C49:F49)</f>
        <v>2</v>
      </c>
      <c r="H49" s="14" t="n">
        <f aca="false">AVERAGE(ABS('House Vote Data'!G146-$D$5),ABS('House Vote Data'!G147-$D$6),ABS('House Vote Data'!G148-$D$7),ABS('House Vote Data'!G149-$D$8))</f>
        <v>0.18230078564924</v>
      </c>
      <c r="I49" s="15" t="str">
        <f aca="false">IF(AND(G49=4,H49=MIN(J13:J101)),"&lt;&lt; MAGIC MUNICIPALITY","")</f>
        <v/>
      </c>
      <c r="J49" s="8" t="str">
        <f aca="false">IF(G49=4,H49,"")</f>
        <v/>
      </c>
    </row>
    <row r="50" customFormat="false" ht="15" hidden="false" customHeight="true" outlineLevel="0" collapsed="false">
      <c r="A50" s="8" t="s">
        <v>95</v>
      </c>
      <c r="B50" s="8" t="s">
        <v>81</v>
      </c>
      <c r="C50" s="8" t="n">
        <f aca="false">IF(IF('House Vote Data'!G150&gt;0.5,"D","R")=$E$5,1,0)</f>
        <v>1</v>
      </c>
      <c r="D50" s="8" t="n">
        <f aca="false">IF(IF('House Vote Data'!G151&gt;0.5,"D","R")=$E$6,1,0)</f>
        <v>0</v>
      </c>
      <c r="E50" s="8" t="n">
        <f aca="false">IF(IF('House Vote Data'!G152&gt;0.5,"D","R")=$E$7,1,0)</f>
        <v>1</v>
      </c>
      <c r="F50" s="8" t="n">
        <f aca="false">IF(IF('House Vote Data'!G153&gt;0.5,"D","R")=$E$8,1,0)</f>
        <v>0</v>
      </c>
      <c r="G50" s="8" t="n">
        <f aca="false">SUM(C50:F50)</f>
        <v>2</v>
      </c>
      <c r="H50" s="14" t="n">
        <f aca="false">AVERAGE(ABS('House Vote Data'!G150-$D$5),ABS('House Vote Data'!G151-$D$6),ABS('House Vote Data'!G152-$D$7),ABS('House Vote Data'!G153-$D$8))</f>
        <v>0.0324417681121044</v>
      </c>
      <c r="I50" s="15" t="str">
        <f aca="false">IF(AND(G50=4,H50=MIN(J13:J101)),"&lt;&lt; MAGIC MUNICIPALITY","")</f>
        <v/>
      </c>
      <c r="J50" s="8" t="str">
        <f aca="false">IF(G50=4,H50,"")</f>
        <v/>
      </c>
    </row>
    <row r="51" customFormat="false" ht="15" hidden="false" customHeight="true" outlineLevel="0" collapsed="false">
      <c r="A51" s="8" t="s">
        <v>96</v>
      </c>
      <c r="B51" s="8" t="s">
        <v>81</v>
      </c>
      <c r="C51" s="8" t="n">
        <f aca="false">IF(IF('House Vote Data'!G154&gt;0.5,"D","R")=$E$5,1,0)</f>
        <v>0</v>
      </c>
      <c r="D51" s="8" t="n">
        <f aca="false">IF(IF('House Vote Data'!G155&gt;0.5,"D","R")=$E$6,1,0)</f>
        <v>1</v>
      </c>
      <c r="E51" s="8" t="n">
        <f aca="false">IF(IF('House Vote Data'!G156&gt;0.5,"D","R")=$E$7,1,0)</f>
        <v>0</v>
      </c>
      <c r="F51" s="8" t="n">
        <f aca="false">IF(IF('House Vote Data'!G157&gt;0.5,"D","R")=$E$8,1,0)</f>
        <v>1</v>
      </c>
      <c r="G51" s="8" t="n">
        <f aca="false">SUM(C51:F51)</f>
        <v>2</v>
      </c>
      <c r="H51" s="14" t="n">
        <f aca="false">AVERAGE(ABS('House Vote Data'!G154-$D$5),ABS('House Vote Data'!G155-$D$6),ABS('House Vote Data'!G156-$D$7),ABS('House Vote Data'!G157-$D$8))</f>
        <v>0.0972973752388529</v>
      </c>
      <c r="I51" s="15" t="str">
        <f aca="false">IF(AND(G51=4,H51=MIN(J13:J101)),"&lt;&lt; MAGIC MUNICIPALITY","")</f>
        <v/>
      </c>
      <c r="J51" s="8" t="str">
        <f aca="false">IF(G51=4,H51,"")</f>
        <v/>
      </c>
    </row>
    <row r="52" customFormat="false" ht="15" hidden="false" customHeight="true" outlineLevel="0" collapsed="false">
      <c r="A52" s="8" t="s">
        <v>97</v>
      </c>
      <c r="B52" s="8" t="s">
        <v>81</v>
      </c>
      <c r="C52" s="8" t="n">
        <f aca="false">IF(IF('House Vote Data'!G158&gt;0.5,"D","R")=$E$5,1,0)</f>
        <v>1</v>
      </c>
      <c r="D52" s="8" t="n">
        <f aca="false">IF(IF('House Vote Data'!G159&gt;0.5,"D","R")=$E$6,1,0)</f>
        <v>1</v>
      </c>
      <c r="E52" s="8" t="n">
        <f aca="false">IF(IF('House Vote Data'!G160&gt;0.5,"D","R")=$E$7,1,0)</f>
        <v>1</v>
      </c>
      <c r="F52" s="8" t="n">
        <f aca="false">IF(IF('House Vote Data'!G161&gt;0.5,"D","R")=$E$8,1,0)</f>
        <v>1</v>
      </c>
      <c r="G52" s="8" t="n">
        <f aca="false">SUM(C52:F52)</f>
        <v>4</v>
      </c>
      <c r="H52" s="14" t="n">
        <f aca="false">AVERAGE(ABS('House Vote Data'!G158-$D$5),ABS('House Vote Data'!G159-$D$6),ABS('House Vote Data'!G160-$D$7),ABS('House Vote Data'!G161-$D$8))</f>
        <v>0.00753578144589777</v>
      </c>
      <c r="I52" s="15" t="str">
        <f aca="false">IF(AND(G52=4,H52=MIN(J13:J101)),"&lt;&lt; MAGIC MUNICIPALITY","")</f>
        <v>&lt;&lt; MAGIC MUNICIPALITY</v>
      </c>
      <c r="J52" s="14" t="n">
        <f aca="false">IF(G52=4,H52,"")</f>
        <v>0.00753578144589777</v>
      </c>
    </row>
    <row r="53" customFormat="false" ht="15" hidden="false" customHeight="true" outlineLevel="0" collapsed="false">
      <c r="A53" s="8" t="s">
        <v>98</v>
      </c>
      <c r="B53" s="8" t="s">
        <v>81</v>
      </c>
      <c r="C53" s="8" t="n">
        <f aca="false">IF(IF('House Vote Data'!G162&gt;0.5,"D","R")=$E$5,1,0)</f>
        <v>0</v>
      </c>
      <c r="D53" s="8" t="n">
        <f aca="false">IF(IF('House Vote Data'!G163&gt;0.5,"D","R")=$E$6,1,0)</f>
        <v>1</v>
      </c>
      <c r="E53" s="8" t="n">
        <f aca="false">IF(IF('House Vote Data'!G164&gt;0.5,"D","R")=$E$7,1,0)</f>
        <v>0</v>
      </c>
      <c r="F53" s="8" t="n">
        <f aca="false">IF(IF('House Vote Data'!G165&gt;0.5,"D","R")=$E$8,1,0)</f>
        <v>1</v>
      </c>
      <c r="G53" s="8" t="n">
        <f aca="false">SUM(C53:F53)</f>
        <v>2</v>
      </c>
      <c r="H53" s="14" t="n">
        <f aca="false">AVERAGE(ABS('House Vote Data'!G162-$D$5),ABS('House Vote Data'!G163-$D$6),ABS('House Vote Data'!G164-$D$7),ABS('House Vote Data'!G165-$D$8))</f>
        <v>0.0793591944300447</v>
      </c>
      <c r="I53" s="15" t="str">
        <f aca="false">IF(AND(G53=4,H53=MIN(J13:J101)),"&lt;&lt; MAGIC MUNICIPALITY","")</f>
        <v/>
      </c>
      <c r="J53" s="8" t="str">
        <f aca="false">IF(G53=4,H53,"")</f>
        <v/>
      </c>
    </row>
    <row r="54" customFormat="false" ht="15" hidden="false" customHeight="true" outlineLevel="0" collapsed="false">
      <c r="A54" s="8" t="s">
        <v>99</v>
      </c>
      <c r="B54" s="8" t="s">
        <v>81</v>
      </c>
      <c r="C54" s="8" t="n">
        <f aca="false">IF(IF('House Vote Data'!G166&gt;0.5,"D","R")=$E$5,1,0)</f>
        <v>1</v>
      </c>
      <c r="D54" s="8" t="n">
        <f aca="false">IF(IF('House Vote Data'!G167&gt;0.5,"D","R")=$E$6,1,0)</f>
        <v>0</v>
      </c>
      <c r="E54" s="8" t="n">
        <f aca="false">IF(IF('House Vote Data'!G168&gt;0.5,"D","R")=$E$7,1,0)</f>
        <v>1</v>
      </c>
      <c r="F54" s="8" t="n">
        <f aca="false">IF(IF('House Vote Data'!G169&gt;0.5,"D","R")=$E$8,1,0)</f>
        <v>0</v>
      </c>
      <c r="G54" s="8" t="n">
        <f aca="false">SUM(C54:F54)</f>
        <v>2</v>
      </c>
      <c r="H54" s="14" t="n">
        <f aca="false">AVERAGE(ABS('House Vote Data'!G166-$D$5),ABS('House Vote Data'!G167-$D$6),ABS('House Vote Data'!G168-$D$7),ABS('House Vote Data'!G169-$D$8))</f>
        <v>0.0404035881985287</v>
      </c>
      <c r="I54" s="15" t="str">
        <f aca="false">IF(AND(G54=4,H54=MIN(J13:J101)),"&lt;&lt; MAGIC MUNICIPALITY","")</f>
        <v/>
      </c>
      <c r="J54" s="8" t="str">
        <f aca="false">IF(G54=4,H54,"")</f>
        <v/>
      </c>
    </row>
    <row r="55" customFormat="false" ht="15" hidden="false" customHeight="true" outlineLevel="0" collapsed="false">
      <c r="A55" s="8" t="s">
        <v>100</v>
      </c>
      <c r="B55" s="8" t="s">
        <v>81</v>
      </c>
      <c r="C55" s="8" t="n">
        <f aca="false">IF(IF('House Vote Data'!G170&gt;0.5,"D","R")=$E$5,1,0)</f>
        <v>1</v>
      </c>
      <c r="D55" s="8" t="n">
        <f aca="false">IF(IF('House Vote Data'!G171&gt;0.5,"D","R")=$E$6,1,0)</f>
        <v>0</v>
      </c>
      <c r="E55" s="8" t="n">
        <f aca="false">IF(IF('House Vote Data'!G172&gt;0.5,"D","R")=$E$7,1,0)</f>
        <v>1</v>
      </c>
      <c r="F55" s="8" t="n">
        <f aca="false">IF(IF('House Vote Data'!G173&gt;0.5,"D","R")=$E$8,1,0)</f>
        <v>0</v>
      </c>
      <c r="G55" s="8" t="n">
        <f aca="false">SUM(C55:F55)</f>
        <v>2</v>
      </c>
      <c r="H55" s="14" t="n">
        <f aca="false">AVERAGE(ABS('House Vote Data'!G170-$D$5),ABS('House Vote Data'!G171-$D$6),ABS('House Vote Data'!G172-$D$7),ABS('House Vote Data'!G173-$D$8))</f>
        <v>0.0154655552804764</v>
      </c>
      <c r="I55" s="15" t="str">
        <f aca="false">IF(AND(G55=4,H55=MIN(J13:J101)),"&lt;&lt; MAGIC MUNICIPALITY","")</f>
        <v/>
      </c>
      <c r="J55" s="8" t="str">
        <f aca="false">IF(G55=4,H55,"")</f>
        <v/>
      </c>
    </row>
    <row r="56" customFormat="false" ht="15" hidden="false" customHeight="true" outlineLevel="0" collapsed="false">
      <c r="A56" s="8" t="s">
        <v>101</v>
      </c>
      <c r="B56" s="8" t="s">
        <v>81</v>
      </c>
      <c r="C56" s="8" t="n">
        <f aca="false">IF(IF('House Vote Data'!G174&gt;0.5,"D","R")=$E$5,1,0)</f>
        <v>0</v>
      </c>
      <c r="D56" s="8" t="n">
        <f aca="false">IF(IF('House Vote Data'!G175&gt;0.5,"D","R")=$E$6,1,0)</f>
        <v>1</v>
      </c>
      <c r="E56" s="8" t="n">
        <f aca="false">IF(IF('House Vote Data'!G176&gt;0.5,"D","R")=$E$7,1,0)</f>
        <v>0</v>
      </c>
      <c r="F56" s="8" t="n">
        <f aca="false">IF(IF('House Vote Data'!G177&gt;0.5,"D","R")=$E$8,1,0)</f>
        <v>1</v>
      </c>
      <c r="G56" s="8" t="n">
        <f aca="false">SUM(C56:F56)</f>
        <v>2</v>
      </c>
      <c r="H56" s="14" t="n">
        <f aca="false">AVERAGE(ABS('House Vote Data'!G174-$D$5),ABS('House Vote Data'!G175-$D$6),ABS('House Vote Data'!G176-$D$7),ABS('House Vote Data'!G177-$D$8))</f>
        <v>0.0658413930565348</v>
      </c>
      <c r="I56" s="15" t="str">
        <f aca="false">IF(AND(G56=4,H56=MIN(J13:J101)),"&lt;&lt; MAGIC MUNICIPALITY","")</f>
        <v/>
      </c>
      <c r="J56" s="8" t="str">
        <f aca="false">IF(G56=4,H56,"")</f>
        <v/>
      </c>
    </row>
    <row r="57" customFormat="false" ht="15" hidden="false" customHeight="true" outlineLevel="0" collapsed="false">
      <c r="A57" s="8" t="s">
        <v>102</v>
      </c>
      <c r="B57" s="8" t="s">
        <v>81</v>
      </c>
      <c r="C57" s="8" t="n">
        <f aca="false">IF(IF('House Vote Data'!G178&gt;0.5,"D","R")=$E$5,1,0)</f>
        <v>0</v>
      </c>
      <c r="D57" s="8" t="n">
        <f aca="false">IF(IF('House Vote Data'!G179&gt;0.5,"D","R")=$E$6,1,0)</f>
        <v>1</v>
      </c>
      <c r="E57" s="8" t="n">
        <f aca="false">IF(IF('House Vote Data'!G180&gt;0.5,"D","R")=$E$7,1,0)</f>
        <v>1</v>
      </c>
      <c r="F57" s="8" t="n">
        <f aca="false">IF(IF('House Vote Data'!G181&gt;0.5,"D","R")=$E$8,1,0)</f>
        <v>1</v>
      </c>
      <c r="G57" s="8" t="n">
        <f aca="false">SUM(C57:F57)</f>
        <v>3</v>
      </c>
      <c r="H57" s="14" t="n">
        <f aca="false">AVERAGE(ABS('House Vote Data'!G178-$D$5),ABS('House Vote Data'!G179-$D$6),ABS('House Vote Data'!G180-$D$7),ABS('House Vote Data'!G181-$D$8))</f>
        <v>0.021499728439423</v>
      </c>
      <c r="I57" s="15" t="str">
        <f aca="false">IF(AND(G57=4,H57=MIN(J13:J101)),"&lt;&lt; MAGIC MUNICIPALITY","")</f>
        <v/>
      </c>
      <c r="J57" s="8" t="str">
        <f aca="false">IF(G57=4,H57,"")</f>
        <v/>
      </c>
    </row>
    <row r="58" customFormat="false" ht="15" hidden="false" customHeight="true" outlineLevel="0" collapsed="false">
      <c r="A58" s="8" t="s">
        <v>103</v>
      </c>
      <c r="B58" s="8" t="s">
        <v>81</v>
      </c>
      <c r="C58" s="8" t="n">
        <f aca="false">IF(IF('House Vote Data'!G182&gt;0.5,"D","R")=$E$5,1,0)</f>
        <v>0</v>
      </c>
      <c r="D58" s="8" t="n">
        <f aca="false">IF(IF('House Vote Data'!G183&gt;0.5,"D","R")=$E$6,1,0)</f>
        <v>1</v>
      </c>
      <c r="E58" s="8" t="n">
        <f aca="false">IF(IF('House Vote Data'!G184&gt;0.5,"D","R")=$E$7,1,0)</f>
        <v>0</v>
      </c>
      <c r="F58" s="8" t="n">
        <f aca="false">IF(IF('House Vote Data'!G185&gt;0.5,"D","R")=$E$8,1,0)</f>
        <v>1</v>
      </c>
      <c r="G58" s="8" t="n">
        <f aca="false">SUM(C58:F58)</f>
        <v>2</v>
      </c>
      <c r="H58" s="14" t="n">
        <f aca="false">AVERAGE(ABS('House Vote Data'!G182-$D$5),ABS('House Vote Data'!G183-$D$6),ABS('House Vote Data'!G184-$D$7),ABS('House Vote Data'!G185-$D$8))</f>
        <v>0.171128029871134</v>
      </c>
      <c r="I58" s="15" t="str">
        <f aca="false">IF(AND(G58=4,H58=MIN(J13:J101)),"&lt;&lt; MAGIC MUNICIPALITY","")</f>
        <v/>
      </c>
      <c r="J58" s="8" t="str">
        <f aca="false">IF(G58=4,H58,"")</f>
        <v/>
      </c>
    </row>
    <row r="59" customFormat="false" ht="15" hidden="false" customHeight="true" outlineLevel="0" collapsed="false">
      <c r="A59" s="8" t="s">
        <v>104</v>
      </c>
      <c r="B59" s="8" t="s">
        <v>81</v>
      </c>
      <c r="C59" s="8" t="n">
        <f aca="false">IF(IF('House Vote Data'!G186&gt;0.5,"D","R")=$E$5,1,0)</f>
        <v>0</v>
      </c>
      <c r="D59" s="8" t="n">
        <f aca="false">IF(IF('House Vote Data'!G187&gt;0.5,"D","R")=$E$6,1,0)</f>
        <v>1</v>
      </c>
      <c r="E59" s="8" t="n">
        <f aca="false">IF(IF('House Vote Data'!G188&gt;0.5,"D","R")=$E$7,1,0)</f>
        <v>0</v>
      </c>
      <c r="F59" s="8" t="n">
        <f aca="false">IF(IF('House Vote Data'!G189&gt;0.5,"D","R")=$E$8,1,0)</f>
        <v>1</v>
      </c>
      <c r="G59" s="8" t="n">
        <f aca="false">SUM(C59:F59)</f>
        <v>2</v>
      </c>
      <c r="H59" s="14" t="n">
        <f aca="false">AVERAGE(ABS('House Vote Data'!G186-$D$5),ABS('House Vote Data'!G187-$D$6),ABS('House Vote Data'!G188-$D$7),ABS('House Vote Data'!G189-$D$8))</f>
        <v>0.159856187522473</v>
      </c>
      <c r="I59" s="15" t="str">
        <f aca="false">IF(AND(G59=4,H59=MIN(J13:J101)),"&lt;&lt; MAGIC MUNICIPALITY","")</f>
        <v/>
      </c>
      <c r="J59" s="8" t="str">
        <f aca="false">IF(G59=4,H59,"")</f>
        <v/>
      </c>
    </row>
    <row r="60" customFormat="false" ht="15" hidden="false" customHeight="true" outlineLevel="0" collapsed="false">
      <c r="A60" s="8" t="s">
        <v>105</v>
      </c>
      <c r="B60" s="8" t="s">
        <v>81</v>
      </c>
      <c r="C60" s="8" t="n">
        <f aca="false">IF(IF('House Vote Data'!G190&gt;0.5,"D","R")=$E$5,1,0)</f>
        <v>1</v>
      </c>
      <c r="D60" s="8" t="n">
        <f aca="false">IF(IF('House Vote Data'!G191&gt;0.5,"D","R")=$E$6,1,0)</f>
        <v>0</v>
      </c>
      <c r="E60" s="8" t="n">
        <f aca="false">IF(IF('House Vote Data'!G192&gt;0.5,"D","R")=$E$7,1,0)</f>
        <v>1</v>
      </c>
      <c r="F60" s="8" t="n">
        <f aca="false">IF(IF('House Vote Data'!G193&gt;0.5,"D","R")=$E$8,1,0)</f>
        <v>0</v>
      </c>
      <c r="G60" s="8" t="n">
        <f aca="false">SUM(C60:F60)</f>
        <v>2</v>
      </c>
      <c r="H60" s="14" t="n">
        <f aca="false">AVERAGE(ABS('House Vote Data'!G190-$D$5),ABS('House Vote Data'!G191-$D$6),ABS('House Vote Data'!G192-$D$7),ABS('House Vote Data'!G193-$D$8))</f>
        <v>0.0247001180828035</v>
      </c>
      <c r="I60" s="15" t="str">
        <f aca="false">IF(AND(G60=4,H60=MIN(J13:J101)),"&lt;&lt; MAGIC MUNICIPALITY","")</f>
        <v/>
      </c>
      <c r="J60" s="8" t="str">
        <f aca="false">IF(G60=4,H60,"")</f>
        <v/>
      </c>
    </row>
    <row r="61" customFormat="false" ht="15" hidden="false" customHeight="true" outlineLevel="0" collapsed="false">
      <c r="A61" s="8" t="s">
        <v>106</v>
      </c>
      <c r="B61" s="8" t="s">
        <v>107</v>
      </c>
      <c r="C61" s="8" t="n">
        <f aca="false">IF(IF('House Vote Data'!G194&gt;0.5,"D","R")=$E$5,1,0)</f>
        <v>0</v>
      </c>
      <c r="D61" s="8" t="n">
        <f aca="false">IF(IF('House Vote Data'!G195&gt;0.5,"D","R")=$E$6,1,0)</f>
        <v>1</v>
      </c>
      <c r="E61" s="8" t="n">
        <f aca="false">IF(IF('House Vote Data'!G196&gt;0.5,"D","R")=$E$7,1,0)</f>
        <v>0</v>
      </c>
      <c r="F61" s="8" t="n">
        <f aca="false">IF(IF('House Vote Data'!G197&gt;0.5,"D","R")=$E$8,1,0)</f>
        <v>1</v>
      </c>
      <c r="G61" s="8" t="n">
        <f aca="false">SUM(C61:F61)</f>
        <v>2</v>
      </c>
      <c r="H61" s="14" t="n">
        <f aca="false">AVERAGE(ABS('House Vote Data'!G194-$D$5),ABS('House Vote Data'!G195-$D$6),ABS('House Vote Data'!G196-$D$7),ABS('House Vote Data'!G197-$D$8))</f>
        <v>0.190911786218153</v>
      </c>
      <c r="I61" s="15" t="str">
        <f aca="false">IF(AND(G61=4,H61=MIN(J13:J101)),"&lt;&lt; MAGIC MUNICIPALITY","")</f>
        <v/>
      </c>
      <c r="J61" s="8" t="str">
        <f aca="false">IF(G61=4,H61,"")</f>
        <v/>
      </c>
    </row>
    <row r="62" customFormat="false" ht="15" hidden="false" customHeight="true" outlineLevel="0" collapsed="false">
      <c r="A62" s="8" t="s">
        <v>108</v>
      </c>
      <c r="B62" s="8" t="s">
        <v>107</v>
      </c>
      <c r="C62" s="8" t="n">
        <f aca="false">IF(IF('House Vote Data'!G198&gt;0.5,"D","R")=$E$5,1,0)</f>
        <v>0</v>
      </c>
      <c r="D62" s="8" t="n">
        <f aca="false">IF(IF('House Vote Data'!G199&gt;0.5,"D","R")=$E$6,1,0)</f>
        <v>1</v>
      </c>
      <c r="E62" s="8" t="n">
        <f aca="false">IF(IF('House Vote Data'!G200&gt;0.5,"D","R")=$E$7,1,0)</f>
        <v>0</v>
      </c>
      <c r="F62" s="8" t="n">
        <f aca="false">IF(IF('House Vote Data'!G201&gt;0.5,"D","R")=$E$8,1,0)</f>
        <v>1</v>
      </c>
      <c r="G62" s="8" t="n">
        <f aca="false">SUM(C62:F62)</f>
        <v>2</v>
      </c>
      <c r="H62" s="14" t="n">
        <f aca="false">AVERAGE(ABS('House Vote Data'!G198-$D$5),ABS('House Vote Data'!G199-$D$6),ABS('House Vote Data'!G200-$D$7),ABS('House Vote Data'!G201-$D$8))</f>
        <v>0.148998958039664</v>
      </c>
      <c r="I62" s="15" t="str">
        <f aca="false">IF(AND(G62=4,H62=MIN(J13:J101)),"&lt;&lt; MAGIC MUNICIPALITY","")</f>
        <v/>
      </c>
      <c r="J62" s="8" t="str">
        <f aca="false">IF(G62=4,H62,"")</f>
        <v/>
      </c>
    </row>
    <row r="63" customFormat="false" ht="15" hidden="false" customHeight="true" outlineLevel="0" collapsed="false">
      <c r="A63" s="8" t="s">
        <v>109</v>
      </c>
      <c r="B63" s="8" t="s">
        <v>107</v>
      </c>
      <c r="C63" s="8" t="n">
        <f aca="false">IF(IF('House Vote Data'!G202&gt;0.5,"D","R")=$E$5,1,0)</f>
        <v>0</v>
      </c>
      <c r="D63" s="8" t="n">
        <f aca="false">IF(IF('House Vote Data'!G203&gt;0.5,"D","R")=$E$6,1,0)</f>
        <v>1</v>
      </c>
      <c r="E63" s="8" t="n">
        <f aca="false">IF(IF('House Vote Data'!G204&gt;0.5,"D","R")=$E$7,1,0)</f>
        <v>0</v>
      </c>
      <c r="F63" s="8" t="n">
        <f aca="false">IF(IF('House Vote Data'!G205&gt;0.5,"D","R")=$E$8,1,0)</f>
        <v>1</v>
      </c>
      <c r="G63" s="8" t="n">
        <f aca="false">SUM(C63:F63)</f>
        <v>2</v>
      </c>
      <c r="H63" s="14" t="n">
        <f aca="false">AVERAGE(ABS('House Vote Data'!G202-$D$5),ABS('House Vote Data'!G203-$D$6),ABS('House Vote Data'!G204-$D$7),ABS('House Vote Data'!G205-$D$8))</f>
        <v>0.136662010062905</v>
      </c>
      <c r="I63" s="15" t="str">
        <f aca="false">IF(AND(G63=4,H63=MIN(J13:J101)),"&lt;&lt; MAGIC MUNICIPALITY","")</f>
        <v/>
      </c>
      <c r="J63" s="8" t="str">
        <f aca="false">IF(G63=4,H63,"")</f>
        <v/>
      </c>
    </row>
    <row r="64" customFormat="false" ht="15" hidden="false" customHeight="true" outlineLevel="0" collapsed="false">
      <c r="A64" s="8" t="s">
        <v>110</v>
      </c>
      <c r="B64" s="8" t="s">
        <v>111</v>
      </c>
      <c r="C64" s="8" t="n">
        <f aca="false">IF(IF('House Vote Data'!G206&gt;0.5,"D","R")=$E$5,1,0)</f>
        <v>0</v>
      </c>
      <c r="D64" s="8" t="n">
        <f aca="false">IF(IF('House Vote Data'!G207&gt;0.5,"D","R")=$E$6,1,0)</f>
        <v>1</v>
      </c>
      <c r="E64" s="8" t="n">
        <f aca="false">IF(IF('House Vote Data'!G208&gt;0.5,"D","R")=$E$7,1,0)</f>
        <v>0</v>
      </c>
      <c r="F64" s="8" t="n">
        <f aca="false">IF(IF('House Vote Data'!G209&gt;0.5,"D","R")=$E$8,1,0)</f>
        <v>1</v>
      </c>
      <c r="G64" s="8" t="n">
        <f aca="false">SUM(C64:F64)</f>
        <v>2</v>
      </c>
      <c r="H64" s="14" t="n">
        <f aca="false">AVERAGE(ABS('House Vote Data'!G206-$D$5),ABS('House Vote Data'!G207-$D$6),ABS('House Vote Data'!G208-$D$7),ABS('House Vote Data'!G209-$D$8))</f>
        <v>0.0728414437206075</v>
      </c>
      <c r="I64" s="15" t="str">
        <f aca="false">IF(AND(G64=4,H64=MIN(J13:J101)),"&lt;&lt; MAGIC MUNICIPALITY","")</f>
        <v/>
      </c>
      <c r="J64" s="8" t="str">
        <f aca="false">IF(G64=4,H64,"")</f>
        <v/>
      </c>
    </row>
    <row r="65" customFormat="false" ht="15" hidden="false" customHeight="true" outlineLevel="0" collapsed="false">
      <c r="A65" s="8" t="s">
        <v>112</v>
      </c>
      <c r="B65" s="8" t="s">
        <v>111</v>
      </c>
      <c r="C65" s="8" t="n">
        <f aca="false">IF(IF('House Vote Data'!G210&gt;0.5,"D","R")=$E$5,1,0)</f>
        <v>0</v>
      </c>
      <c r="D65" s="8" t="n">
        <f aca="false">IF(IF('House Vote Data'!G211&gt;0.5,"D","R")=$E$6,1,0)</f>
        <v>1</v>
      </c>
      <c r="E65" s="8" t="n">
        <f aca="false">IF(IF('House Vote Data'!G212&gt;0.5,"D","R")=$E$7,1,0)</f>
        <v>0</v>
      </c>
      <c r="F65" s="8" t="n">
        <f aca="false">IF(IF('House Vote Data'!G213&gt;0.5,"D","R")=$E$8,1,0)</f>
        <v>1</v>
      </c>
      <c r="G65" s="8" t="n">
        <f aca="false">SUM(C65:F65)</f>
        <v>2</v>
      </c>
      <c r="H65" s="14" t="n">
        <f aca="false">AVERAGE(ABS('House Vote Data'!G210-$D$5),ABS('House Vote Data'!G211-$D$6),ABS('House Vote Data'!G212-$D$7),ABS('House Vote Data'!G213-$D$8))</f>
        <v>0.0725837654423247</v>
      </c>
      <c r="I65" s="15" t="str">
        <f aca="false">IF(AND(G65=4,H65=MIN(J13:J101)),"&lt;&lt; MAGIC MUNICIPALITY","")</f>
        <v/>
      </c>
      <c r="J65" s="8" t="str">
        <f aca="false">IF(G65=4,H65,"")</f>
        <v/>
      </c>
    </row>
    <row r="66" customFormat="false" ht="15" hidden="false" customHeight="true" outlineLevel="0" collapsed="false">
      <c r="A66" s="8" t="s">
        <v>113</v>
      </c>
      <c r="B66" s="8" t="s">
        <v>111</v>
      </c>
      <c r="C66" s="8" t="n">
        <f aca="false">IF(IF('House Vote Data'!G214&gt;0.5,"D","R")=$E$5,1,0)</f>
        <v>0</v>
      </c>
      <c r="D66" s="8" t="n">
        <f aca="false">IF(IF('House Vote Data'!G215&gt;0.5,"D","R")=$E$6,1,0)</f>
        <v>1</v>
      </c>
      <c r="E66" s="8" t="n">
        <f aca="false">IF(IF('House Vote Data'!G216&gt;0.5,"D","R")=$E$7,1,0)</f>
        <v>0</v>
      </c>
      <c r="F66" s="8" t="n">
        <f aca="false">IF(IF('House Vote Data'!G217&gt;0.5,"D","R")=$E$8,1,0)</f>
        <v>1</v>
      </c>
      <c r="G66" s="8" t="n">
        <f aca="false">SUM(C66:F66)</f>
        <v>2</v>
      </c>
      <c r="H66" s="14" t="n">
        <f aca="false">AVERAGE(ABS('House Vote Data'!G214-$D$5),ABS('House Vote Data'!G215-$D$6),ABS('House Vote Data'!G216-$D$7),ABS('House Vote Data'!G217-$D$8))</f>
        <v>0.0454868454646884</v>
      </c>
      <c r="I66" s="15" t="str">
        <f aca="false">IF(AND(G66=4,H66=MIN(J13:J101)),"&lt;&lt; MAGIC MUNICIPALITY","")</f>
        <v/>
      </c>
      <c r="J66" s="8" t="str">
        <f aca="false">IF(G66=4,H66,"")</f>
        <v/>
      </c>
    </row>
    <row r="67" customFormat="false" ht="15" hidden="false" customHeight="true" outlineLevel="0" collapsed="false">
      <c r="A67" s="8" t="s">
        <v>83</v>
      </c>
      <c r="B67" s="8" t="s">
        <v>111</v>
      </c>
      <c r="C67" s="8" t="n">
        <f aca="false">IF(IF('House Vote Data'!G218&gt;0.5,"D","R")=$E$5,1,0)</f>
        <v>1</v>
      </c>
      <c r="D67" s="8" t="n">
        <f aca="false">IF(IF('House Vote Data'!G219&gt;0.5,"D","R")=$E$6,1,0)</f>
        <v>0</v>
      </c>
      <c r="E67" s="8" t="n">
        <f aca="false">IF(IF('House Vote Data'!G220&gt;0.5,"D","R")=$E$7,1,0)</f>
        <v>1</v>
      </c>
      <c r="F67" s="8" t="n">
        <f aca="false">IF(IF('House Vote Data'!G221&gt;0.5,"D","R")=$E$8,1,0)</f>
        <v>0</v>
      </c>
      <c r="G67" s="8" t="n">
        <f aca="false">SUM(C67:F67)</f>
        <v>2</v>
      </c>
      <c r="H67" s="14" t="n">
        <f aca="false">AVERAGE(ABS('House Vote Data'!G218-$D$5),ABS('House Vote Data'!G219-$D$6),ABS('House Vote Data'!G220-$D$7),ABS('House Vote Data'!G221-$D$8))</f>
        <v>0.175285213959642</v>
      </c>
      <c r="I67" s="15" t="str">
        <f aca="false">IF(AND(G67=4,H67=MIN(J13:J101)),"&lt;&lt; MAGIC MUNICIPALITY","")</f>
        <v/>
      </c>
      <c r="J67" s="8" t="str">
        <f aca="false">IF(G67=4,H67,"")</f>
        <v/>
      </c>
    </row>
    <row r="68" customFormat="false" ht="15" hidden="false" customHeight="true" outlineLevel="0" collapsed="false">
      <c r="A68" s="8" t="s">
        <v>114</v>
      </c>
      <c r="B68" s="8" t="s">
        <v>111</v>
      </c>
      <c r="C68" s="8" t="n">
        <f aca="false">IF(IF('House Vote Data'!G222&gt;0.5,"D","R")=$E$5,1,0)</f>
        <v>1</v>
      </c>
      <c r="D68" s="8" t="n">
        <f aca="false">IF(IF('House Vote Data'!G223&gt;0.5,"D","R")=$E$6,1,0)</f>
        <v>0</v>
      </c>
      <c r="E68" s="8" t="n">
        <f aca="false">IF(IF('House Vote Data'!G224&gt;0.5,"D","R")=$E$7,1,0)</f>
        <v>1</v>
      </c>
      <c r="F68" s="8" t="n">
        <f aca="false">IF(IF('House Vote Data'!G225&gt;0.5,"D","R")=$E$8,1,0)</f>
        <v>0</v>
      </c>
      <c r="G68" s="8" t="n">
        <f aca="false">SUM(C68:F68)</f>
        <v>2</v>
      </c>
      <c r="H68" s="14" t="n">
        <f aca="false">AVERAGE(ABS('House Vote Data'!G222-$D$5),ABS('House Vote Data'!G223-$D$6),ABS('House Vote Data'!G224-$D$7),ABS('House Vote Data'!G225-$D$8))</f>
        <v>0.0299384636963765</v>
      </c>
      <c r="I68" s="15" t="str">
        <f aca="false">IF(AND(G68=4,H68=MIN(J13:J101)),"&lt;&lt; MAGIC MUNICIPALITY","")</f>
        <v/>
      </c>
      <c r="J68" s="8" t="str">
        <f aca="false">IF(G68=4,H68,"")</f>
        <v/>
      </c>
    </row>
    <row r="69" customFormat="false" ht="15" hidden="false" customHeight="true" outlineLevel="0" collapsed="false">
      <c r="A69" s="8" t="s">
        <v>115</v>
      </c>
      <c r="B69" s="8" t="s">
        <v>111</v>
      </c>
      <c r="C69" s="8" t="n">
        <f aca="false">IF(IF('House Vote Data'!G226&gt;0.5,"D","R")=$E$5,1,0)</f>
        <v>0</v>
      </c>
      <c r="D69" s="8" t="n">
        <f aca="false">IF(IF('House Vote Data'!G227&gt;0.5,"D","R")=$E$6,1,0)</f>
        <v>1</v>
      </c>
      <c r="E69" s="8" t="n">
        <f aca="false">IF(IF('House Vote Data'!G228&gt;0.5,"D","R")=$E$7,1,0)</f>
        <v>0</v>
      </c>
      <c r="F69" s="8" t="n">
        <f aca="false">IF(IF('House Vote Data'!G229&gt;0.5,"D","R")=$E$8,1,0)</f>
        <v>1</v>
      </c>
      <c r="G69" s="8" t="n">
        <f aca="false">SUM(C69:F69)</f>
        <v>2</v>
      </c>
      <c r="H69" s="14" t="n">
        <f aca="false">AVERAGE(ABS('House Vote Data'!G226-$D$5),ABS('House Vote Data'!G227-$D$6),ABS('House Vote Data'!G228-$D$7),ABS('House Vote Data'!G229-$D$8))</f>
        <v>0.123625217347025</v>
      </c>
      <c r="I69" s="15" t="str">
        <f aca="false">IF(AND(G69=4,H69=MIN(J13:J101)),"&lt;&lt; MAGIC MUNICIPALITY","")</f>
        <v/>
      </c>
      <c r="J69" s="8" t="str">
        <f aca="false">IF(G69=4,H69,"")</f>
        <v/>
      </c>
    </row>
    <row r="70" customFormat="false" ht="15" hidden="false" customHeight="true" outlineLevel="0" collapsed="false">
      <c r="A70" s="8" t="s">
        <v>116</v>
      </c>
      <c r="B70" s="8" t="s">
        <v>111</v>
      </c>
      <c r="C70" s="8" t="n">
        <f aca="false">IF(IF('House Vote Data'!G230&gt;0.5,"D","R")=$E$5,1,0)</f>
        <v>0</v>
      </c>
      <c r="D70" s="8" t="n">
        <f aca="false">IF(IF('House Vote Data'!G231&gt;0.5,"D","R")=$E$6,1,0)</f>
        <v>1</v>
      </c>
      <c r="E70" s="8" t="n">
        <f aca="false">IF(IF('House Vote Data'!G232&gt;0.5,"D","R")=$E$7,1,0)</f>
        <v>0</v>
      </c>
      <c r="F70" s="8" t="n">
        <f aca="false">IF(IF('House Vote Data'!G233&gt;0.5,"D","R")=$E$8,1,0)</f>
        <v>1</v>
      </c>
      <c r="G70" s="8" t="n">
        <f aca="false">SUM(C70:F70)</f>
        <v>2</v>
      </c>
      <c r="H70" s="14" t="n">
        <f aca="false">AVERAGE(ABS('House Vote Data'!G230-$D$5),ABS('House Vote Data'!G231-$D$6),ABS('House Vote Data'!G232-$D$7),ABS('House Vote Data'!G233-$D$8))</f>
        <v>0.141003427460209</v>
      </c>
      <c r="I70" s="15" t="str">
        <f aca="false">IF(AND(G70=4,H70=MIN(J13:J101)),"&lt;&lt; MAGIC MUNICIPALITY","")</f>
        <v/>
      </c>
      <c r="J70" s="8" t="str">
        <f aca="false">IF(G70=4,H70,"")</f>
        <v/>
      </c>
    </row>
    <row r="71" customFormat="false" ht="15" hidden="false" customHeight="true" outlineLevel="0" collapsed="false">
      <c r="A71" s="8" t="s">
        <v>117</v>
      </c>
      <c r="B71" s="8" t="s">
        <v>111</v>
      </c>
      <c r="C71" s="8" t="n">
        <f aca="false">IF(IF('House Vote Data'!G234&gt;0.5,"D","R")=$E$5,1,0)</f>
        <v>0</v>
      </c>
      <c r="D71" s="8" t="n">
        <f aca="false">IF(IF('House Vote Data'!G235&gt;0.5,"D","R")=$E$6,1,0)</f>
        <v>1</v>
      </c>
      <c r="E71" s="8" t="n">
        <f aca="false">IF(IF('House Vote Data'!G236&gt;0.5,"D","R")=$E$7,1,0)</f>
        <v>0</v>
      </c>
      <c r="F71" s="8" t="n">
        <f aca="false">IF(IF('House Vote Data'!G237&gt;0.5,"D","R")=$E$8,1,0)</f>
        <v>1</v>
      </c>
      <c r="G71" s="8" t="n">
        <f aca="false">SUM(C71:F71)</f>
        <v>2</v>
      </c>
      <c r="H71" s="14" t="n">
        <f aca="false">AVERAGE(ABS('House Vote Data'!G234-$D$5),ABS('House Vote Data'!G235-$D$6),ABS('House Vote Data'!G236-$D$7),ABS('House Vote Data'!G237-$D$8))</f>
        <v>0.0840197663790378</v>
      </c>
      <c r="I71" s="15" t="str">
        <f aca="false">IF(AND(G71=4,H71=MIN(J13:J101)),"&lt;&lt; MAGIC MUNICIPALITY","")</f>
        <v/>
      </c>
      <c r="J71" s="8" t="str">
        <f aca="false">IF(G71=4,H71,"")</f>
        <v/>
      </c>
    </row>
    <row r="72" customFormat="false" ht="15" hidden="false" customHeight="true" outlineLevel="0" collapsed="false">
      <c r="A72" s="8" t="s">
        <v>118</v>
      </c>
      <c r="B72" s="8" t="s">
        <v>111</v>
      </c>
      <c r="C72" s="8" t="n">
        <f aca="false">IF(IF('House Vote Data'!G238&gt;0.5,"D","R")=$E$5,1,0)</f>
        <v>0</v>
      </c>
      <c r="D72" s="8" t="n">
        <f aca="false">IF(IF('House Vote Data'!G239&gt;0.5,"D","R")=$E$6,1,0)</f>
        <v>1</v>
      </c>
      <c r="E72" s="8" t="n">
        <f aca="false">IF(IF('House Vote Data'!G240&gt;0.5,"D","R")=$E$7,1,0)</f>
        <v>0</v>
      </c>
      <c r="F72" s="8" t="n">
        <f aca="false">IF(IF('House Vote Data'!G241&gt;0.5,"D","R")=$E$8,1,0)</f>
        <v>1</v>
      </c>
      <c r="G72" s="8" t="n">
        <f aca="false">SUM(C72:F72)</f>
        <v>2</v>
      </c>
      <c r="H72" s="14" t="n">
        <f aca="false">AVERAGE(ABS('House Vote Data'!G238-$D$5),ABS('House Vote Data'!G239-$D$6),ABS('House Vote Data'!G240-$D$7),ABS('House Vote Data'!G241-$D$8))</f>
        <v>0.127037841179982</v>
      </c>
      <c r="I72" s="15" t="str">
        <f aca="false">IF(AND(G72=4,H72=MIN(J13:J101)),"&lt;&lt; MAGIC MUNICIPALITY","")</f>
        <v/>
      </c>
      <c r="J72" s="8" t="str">
        <f aca="false">IF(G72=4,H72,"")</f>
        <v/>
      </c>
    </row>
    <row r="73" customFormat="false" ht="15" hidden="false" customHeight="true" outlineLevel="0" collapsed="false">
      <c r="A73" s="8" t="s">
        <v>119</v>
      </c>
      <c r="B73" s="8" t="s">
        <v>111</v>
      </c>
      <c r="C73" s="8" t="n">
        <f aca="false">IF(IF('House Vote Data'!G242&gt;0.5,"D","R")=$E$5,1,0)</f>
        <v>1</v>
      </c>
      <c r="D73" s="8" t="n">
        <f aca="false">IF(IF('House Vote Data'!G243&gt;0.5,"D","R")=$E$6,1,0)</f>
        <v>0</v>
      </c>
      <c r="E73" s="8" t="n">
        <f aca="false">IF(IF('House Vote Data'!G244&gt;0.5,"D","R")=$E$7,1,0)</f>
        <v>1</v>
      </c>
      <c r="F73" s="8" t="n">
        <f aca="false">IF(IF('House Vote Data'!G245&gt;0.5,"D","R")=$E$8,1,0)</f>
        <v>0</v>
      </c>
      <c r="G73" s="8" t="n">
        <f aca="false">SUM(C73:F73)</f>
        <v>2</v>
      </c>
      <c r="H73" s="14" t="n">
        <f aca="false">AVERAGE(ABS('House Vote Data'!G242-$D$5),ABS('House Vote Data'!G243-$D$6),ABS('House Vote Data'!G244-$D$7),ABS('House Vote Data'!G245-$D$8))</f>
        <v>0.216184197300551</v>
      </c>
      <c r="I73" s="15" t="str">
        <f aca="false">IF(AND(G73=4,H73=MIN(J13:J101)),"&lt;&lt; MAGIC MUNICIPALITY","")</f>
        <v/>
      </c>
      <c r="J73" s="8" t="str">
        <f aca="false">IF(G73=4,H73,"")</f>
        <v/>
      </c>
    </row>
    <row r="74" customFormat="false" ht="15" hidden="false" customHeight="true" outlineLevel="0" collapsed="false">
      <c r="A74" s="8" t="s">
        <v>120</v>
      </c>
      <c r="B74" s="8" t="s">
        <v>111</v>
      </c>
      <c r="C74" s="8" t="n">
        <f aca="false">IF(IF('House Vote Data'!G246&gt;0.5,"D","R")=$E$5,1,0)</f>
        <v>1</v>
      </c>
      <c r="D74" s="8" t="n">
        <f aca="false">IF(IF('House Vote Data'!G247&gt;0.5,"D","R")=$E$6,1,0)</f>
        <v>0</v>
      </c>
      <c r="E74" s="8" t="n">
        <f aca="false">IF(IF('House Vote Data'!G248&gt;0.5,"D","R")=$E$7,1,0)</f>
        <v>1</v>
      </c>
      <c r="F74" s="8" t="n">
        <f aca="false">IF(IF('House Vote Data'!G249&gt;0.5,"D","R")=$E$8,1,0)</f>
        <v>0</v>
      </c>
      <c r="G74" s="8" t="n">
        <f aca="false">SUM(C74:F74)</f>
        <v>2</v>
      </c>
      <c r="H74" s="14" t="n">
        <f aca="false">AVERAGE(ABS('House Vote Data'!G246-$D$5),ABS('House Vote Data'!G247-$D$6),ABS('House Vote Data'!G248-$D$7),ABS('House Vote Data'!G249-$D$8))</f>
        <v>0.014455764007183</v>
      </c>
      <c r="I74" s="15" t="str">
        <f aca="false">IF(AND(G74=4,H74=MIN(J13:J101)),"&lt;&lt; MAGIC MUNICIPALITY","")</f>
        <v/>
      </c>
      <c r="J74" s="8" t="str">
        <f aca="false">IF(G74=4,H74,"")</f>
        <v/>
      </c>
    </row>
    <row r="75" customFormat="false" ht="15" hidden="false" customHeight="true" outlineLevel="0" collapsed="false">
      <c r="A75" s="8" t="s">
        <v>121</v>
      </c>
      <c r="B75" s="8" t="s">
        <v>111</v>
      </c>
      <c r="C75" s="8" t="n">
        <f aca="false">IF(IF('House Vote Data'!G250&gt;0.5,"D","R")=$E$5,1,0)</f>
        <v>1</v>
      </c>
      <c r="D75" s="8" t="n">
        <f aca="false">IF(IF('House Vote Data'!G251&gt;0.5,"D","R")=$E$6,1,0)</f>
        <v>0</v>
      </c>
      <c r="E75" s="8" t="n">
        <f aca="false">IF(IF('House Vote Data'!G252&gt;0.5,"D","R")=$E$7,1,0)</f>
        <v>1</v>
      </c>
      <c r="F75" s="8" t="n">
        <f aca="false">IF(IF('House Vote Data'!G253&gt;0.5,"D","R")=$E$8,1,0)</f>
        <v>0</v>
      </c>
      <c r="G75" s="8" t="n">
        <f aca="false">SUM(C75:F75)</f>
        <v>2</v>
      </c>
      <c r="H75" s="14" t="n">
        <f aca="false">AVERAGE(ABS('House Vote Data'!G250-$D$5),ABS('House Vote Data'!G251-$D$6),ABS('House Vote Data'!G252-$D$7),ABS('House Vote Data'!G253-$D$8))</f>
        <v>0.11048093507814</v>
      </c>
      <c r="I75" s="15" t="str">
        <f aca="false">IF(AND(G75=4,H75=MIN(J13:J101)),"&lt;&lt; MAGIC MUNICIPALITY","")</f>
        <v/>
      </c>
      <c r="J75" s="8" t="str">
        <f aca="false">IF(G75=4,H75,"")</f>
        <v/>
      </c>
    </row>
    <row r="76" customFormat="false" ht="15" hidden="false" customHeight="true" outlineLevel="0" collapsed="false">
      <c r="A76" s="8" t="s">
        <v>122</v>
      </c>
      <c r="B76" s="8" t="s">
        <v>111</v>
      </c>
      <c r="C76" s="8" t="n">
        <f aca="false">IF(IF('House Vote Data'!G254&gt;0.5,"D","R")=$E$5,1,0)</f>
        <v>1</v>
      </c>
      <c r="D76" s="8" t="n">
        <f aca="false">IF(IF('House Vote Data'!G255&gt;0.5,"D","R")=$E$6,1,0)</f>
        <v>0</v>
      </c>
      <c r="E76" s="8" t="n">
        <f aca="false">IF(IF('House Vote Data'!G256&gt;0.5,"D","R")=$E$7,1,0)</f>
        <v>1</v>
      </c>
      <c r="F76" s="8" t="n">
        <f aca="false">IF(IF('House Vote Data'!G257&gt;0.5,"D","R")=$E$8,1,0)</f>
        <v>0</v>
      </c>
      <c r="G76" s="8" t="n">
        <f aca="false">SUM(C76:F76)</f>
        <v>2</v>
      </c>
      <c r="H76" s="14" t="n">
        <f aca="false">AVERAGE(ABS('House Vote Data'!G254-$D$5),ABS('House Vote Data'!G255-$D$6),ABS('House Vote Data'!G256-$D$7),ABS('House Vote Data'!G257-$D$8))</f>
        <v>0.0390411787570315</v>
      </c>
      <c r="I76" s="15" t="str">
        <f aca="false">IF(AND(G76=4,H76=MIN(J13:J101)),"&lt;&lt; MAGIC MUNICIPALITY","")</f>
        <v/>
      </c>
      <c r="J76" s="8" t="str">
        <f aca="false">IF(G76=4,H76,"")</f>
        <v/>
      </c>
    </row>
    <row r="77" customFormat="false" ht="15" hidden="false" customHeight="true" outlineLevel="0" collapsed="false">
      <c r="A77" s="8" t="s">
        <v>89</v>
      </c>
      <c r="B77" s="8" t="s">
        <v>111</v>
      </c>
      <c r="C77" s="8" t="n">
        <f aca="false">IF(IF('House Vote Data'!G258&gt;0.5,"D","R")=$E$5,1,0)</f>
        <v>1</v>
      </c>
      <c r="D77" s="8" t="n">
        <f aca="false">IF(IF('House Vote Data'!G259&gt;0.5,"D","R")=$E$6,1,0)</f>
        <v>0</v>
      </c>
      <c r="E77" s="8" t="n">
        <f aca="false">IF(IF('House Vote Data'!G260&gt;0.5,"D","R")=$E$7,1,0)</f>
        <v>1</v>
      </c>
      <c r="F77" s="8" t="n">
        <f aca="false">IF(IF('House Vote Data'!G261&gt;0.5,"D","R")=$E$8,1,0)</f>
        <v>0</v>
      </c>
      <c r="G77" s="8" t="n">
        <f aca="false">SUM(C77:F77)</f>
        <v>2</v>
      </c>
      <c r="H77" s="14" t="n">
        <f aca="false">AVERAGE(ABS('House Vote Data'!G258-$D$5),ABS('House Vote Data'!G259-$D$6),ABS('House Vote Data'!G260-$D$7),ABS('House Vote Data'!G261-$D$8))</f>
        <v>0.0345988264360794</v>
      </c>
      <c r="I77" s="15" t="str">
        <f aca="false">IF(AND(G77=4,H77=MIN(J13:J101)),"&lt;&lt; MAGIC MUNICIPALITY","")</f>
        <v/>
      </c>
      <c r="J77" s="8" t="str">
        <f aca="false">IF(G77=4,H77,"")</f>
        <v/>
      </c>
    </row>
    <row r="78" customFormat="false" ht="15" hidden="false" customHeight="true" outlineLevel="0" collapsed="false">
      <c r="A78" s="8" t="s">
        <v>123</v>
      </c>
      <c r="B78" s="8" t="s">
        <v>111</v>
      </c>
      <c r="C78" s="8" t="n">
        <f aca="false">IF(IF('House Vote Data'!G262&gt;0.5,"D","R")=$E$5,1,0)</f>
        <v>1</v>
      </c>
      <c r="D78" s="8" t="n">
        <f aca="false">IF(IF('House Vote Data'!G263&gt;0.5,"D","R")=$E$6,1,0)</f>
        <v>0</v>
      </c>
      <c r="E78" s="8" t="n">
        <f aca="false">IF(IF('House Vote Data'!G264&gt;0.5,"D","R")=$E$7,1,0)</f>
        <v>1</v>
      </c>
      <c r="F78" s="8" t="n">
        <f aca="false">IF(IF('House Vote Data'!G265&gt;0.5,"D","R")=$E$8,1,0)</f>
        <v>0</v>
      </c>
      <c r="G78" s="8" t="n">
        <f aca="false">SUM(C78:F78)</f>
        <v>2</v>
      </c>
      <c r="H78" s="14" t="n">
        <f aca="false">AVERAGE(ABS('House Vote Data'!G262-$D$5),ABS('House Vote Data'!G263-$D$6),ABS('House Vote Data'!G264-$D$7),ABS('House Vote Data'!G265-$D$8))</f>
        <v>0.0184084400269665</v>
      </c>
      <c r="I78" s="15" t="str">
        <f aca="false">IF(AND(G78=4,H78=MIN(J13:J101)),"&lt;&lt; MAGIC MUNICIPALITY","")</f>
        <v/>
      </c>
      <c r="J78" s="8" t="str">
        <f aca="false">IF(G78=4,H78,"")</f>
        <v/>
      </c>
    </row>
    <row r="79" customFormat="false" ht="15" hidden="false" customHeight="true" outlineLevel="0" collapsed="false">
      <c r="A79" s="8" t="s">
        <v>81</v>
      </c>
      <c r="B79" s="8" t="s">
        <v>111</v>
      </c>
      <c r="C79" s="8" t="n">
        <f aca="false">IF(IF('House Vote Data'!G266&gt;0.5,"D","R")=$E$5,1,0)</f>
        <v>0</v>
      </c>
      <c r="D79" s="8" t="n">
        <f aca="false">IF(IF('House Vote Data'!G267&gt;0.5,"D","R")=$E$6,1,0)</f>
        <v>1</v>
      </c>
      <c r="E79" s="8" t="n">
        <f aca="false">IF(IF('House Vote Data'!G268&gt;0.5,"D","R")=$E$7,1,0)</f>
        <v>0</v>
      </c>
      <c r="F79" s="8" t="n">
        <f aca="false">IF(IF('House Vote Data'!G269&gt;0.5,"D","R")=$E$8,1,0)</f>
        <v>1</v>
      </c>
      <c r="G79" s="8" t="n">
        <f aca="false">SUM(C79:F79)</f>
        <v>2</v>
      </c>
      <c r="H79" s="14" t="n">
        <f aca="false">AVERAGE(ABS('House Vote Data'!G266-$D$5),ABS('House Vote Data'!G267-$D$6),ABS('House Vote Data'!G268-$D$7),ABS('House Vote Data'!G269-$D$8))</f>
        <v>0.162175985496305</v>
      </c>
      <c r="I79" s="15" t="str">
        <f aca="false">IF(AND(G79=4,H79=MIN(J13:J101)),"&lt;&lt; MAGIC MUNICIPALITY","")</f>
        <v/>
      </c>
      <c r="J79" s="8" t="str">
        <f aca="false">IF(G79=4,H79,"")</f>
        <v/>
      </c>
    </row>
    <row r="80" customFormat="false" ht="15" hidden="false" customHeight="true" outlineLevel="0" collapsed="false">
      <c r="A80" s="8" t="s">
        <v>124</v>
      </c>
      <c r="B80" s="8" t="s">
        <v>111</v>
      </c>
      <c r="C80" s="8" t="n">
        <f aca="false">IF(IF('House Vote Data'!G270&gt;0.5,"D","R")=$E$5,1,0)</f>
        <v>0</v>
      </c>
      <c r="D80" s="8" t="n">
        <f aca="false">IF(IF('House Vote Data'!G271&gt;0.5,"D","R")=$E$6,1,0)</f>
        <v>1</v>
      </c>
      <c r="E80" s="8" t="n">
        <f aca="false">IF(IF('House Vote Data'!G272&gt;0.5,"D","R")=$E$7,1,0)</f>
        <v>0</v>
      </c>
      <c r="F80" s="8" t="n">
        <f aca="false">IF(IF('House Vote Data'!G273&gt;0.5,"D","R")=$E$8,1,0)</f>
        <v>1</v>
      </c>
      <c r="G80" s="8" t="n">
        <f aca="false">SUM(C80:F80)</f>
        <v>2</v>
      </c>
      <c r="H80" s="14" t="n">
        <f aca="false">AVERAGE(ABS('House Vote Data'!G270-$D$5),ABS('House Vote Data'!G271-$D$6),ABS('House Vote Data'!G272-$D$7),ABS('House Vote Data'!G273-$D$8))</f>
        <v>0.146223510187542</v>
      </c>
      <c r="I80" s="15" t="str">
        <f aca="false">IF(AND(G80=4,H80=MIN(J13:J101)),"&lt;&lt; MAGIC MUNICIPALITY","")</f>
        <v/>
      </c>
      <c r="J80" s="8" t="str">
        <f aca="false">IF(G80=4,H80,"")</f>
        <v/>
      </c>
    </row>
    <row r="81" customFormat="false" ht="15" hidden="false" customHeight="true" outlineLevel="0" collapsed="false">
      <c r="A81" s="8" t="s">
        <v>125</v>
      </c>
      <c r="B81" s="8" t="s">
        <v>111</v>
      </c>
      <c r="C81" s="8" t="n">
        <f aca="false">IF(IF('House Vote Data'!G274&gt;0.5,"D","R")=$E$5,1,0)</f>
        <v>0</v>
      </c>
      <c r="D81" s="8" t="n">
        <f aca="false">IF(IF('House Vote Data'!G275&gt;0.5,"D","R")=$E$6,1,0)</f>
        <v>1</v>
      </c>
      <c r="E81" s="8" t="n">
        <f aca="false">IF(IF('House Vote Data'!G276&gt;0.5,"D","R")=$E$7,1,0)</f>
        <v>0</v>
      </c>
      <c r="F81" s="8" t="n">
        <f aca="false">IF(IF('House Vote Data'!G277&gt;0.5,"D","R")=$E$8,1,0)</f>
        <v>1</v>
      </c>
      <c r="G81" s="8" t="n">
        <f aca="false">SUM(C81:F81)</f>
        <v>2</v>
      </c>
      <c r="H81" s="14" t="n">
        <f aca="false">AVERAGE(ABS('House Vote Data'!G274-$D$5),ABS('House Vote Data'!G275-$D$6),ABS('House Vote Data'!G276-$D$7),ABS('House Vote Data'!G277-$D$8))</f>
        <v>0.0689969977513531</v>
      </c>
      <c r="I81" s="15" t="str">
        <f aca="false">IF(AND(G81=4,H81=MIN(J13:J101)),"&lt;&lt; MAGIC MUNICIPALITY","")</f>
        <v/>
      </c>
      <c r="J81" s="8" t="str">
        <f aca="false">IF(G81=4,H81,"")</f>
        <v/>
      </c>
    </row>
    <row r="82" customFormat="false" ht="15" hidden="false" customHeight="true" outlineLevel="0" collapsed="false">
      <c r="A82" s="8" t="s">
        <v>126</v>
      </c>
      <c r="B82" s="8" t="s">
        <v>111</v>
      </c>
      <c r="C82" s="8" t="n">
        <f aca="false">IF(IF('House Vote Data'!G278&gt;0.5,"D","R")=$E$5,1,0)</f>
        <v>0</v>
      </c>
      <c r="D82" s="8" t="n">
        <f aca="false">IF(IF('House Vote Data'!G279&gt;0.5,"D","R")=$E$6,1,0)</f>
        <v>1</v>
      </c>
      <c r="E82" s="8" t="n">
        <f aca="false">IF(IF('House Vote Data'!G280&gt;0.5,"D","R")=$E$7,1,0)</f>
        <v>0</v>
      </c>
      <c r="F82" s="8" t="n">
        <f aca="false">IF(IF('House Vote Data'!G281&gt;0.5,"D","R")=$E$8,1,0)</f>
        <v>1</v>
      </c>
      <c r="G82" s="8" t="n">
        <f aca="false">SUM(C82:F82)</f>
        <v>2</v>
      </c>
      <c r="H82" s="14" t="n">
        <f aca="false">AVERAGE(ABS('House Vote Data'!G278-$D$5),ABS('House Vote Data'!G279-$D$6),ABS('House Vote Data'!G280-$D$7),ABS('House Vote Data'!G281-$D$8))</f>
        <v>0.026586759034355</v>
      </c>
      <c r="I82" s="15" t="str">
        <f aca="false">IF(AND(G82=4,H82=MIN(J13:J101)),"&lt;&lt; MAGIC MUNICIPALITY","")</f>
        <v/>
      </c>
      <c r="J82" s="8" t="str">
        <f aca="false">IF(G82=4,H82,"")</f>
        <v/>
      </c>
    </row>
    <row r="83" customFormat="false" ht="15" hidden="false" customHeight="true" outlineLevel="0" collapsed="false">
      <c r="A83" s="8" t="s">
        <v>127</v>
      </c>
      <c r="B83" s="8" t="s">
        <v>111</v>
      </c>
      <c r="C83" s="8" t="n">
        <f aca="false">IF(IF('House Vote Data'!G282&gt;0.5,"D","R")=$E$5,1,0)</f>
        <v>0</v>
      </c>
      <c r="D83" s="8" t="n">
        <f aca="false">IF(IF('House Vote Data'!G283&gt;0.5,"D","R")=$E$6,1,0)</f>
        <v>1</v>
      </c>
      <c r="E83" s="8" t="n">
        <f aca="false">IF(IF('House Vote Data'!G284&gt;0.5,"D","R")=$E$7,1,0)</f>
        <v>0</v>
      </c>
      <c r="F83" s="8" t="n">
        <f aca="false">IF(IF('House Vote Data'!G285&gt;0.5,"D","R")=$E$8,1,0)</f>
        <v>1</v>
      </c>
      <c r="G83" s="8" t="n">
        <f aca="false">SUM(C83:F83)</f>
        <v>2</v>
      </c>
      <c r="H83" s="14" t="n">
        <f aca="false">AVERAGE(ABS('House Vote Data'!G282-$D$5),ABS('House Vote Data'!G283-$D$6),ABS('House Vote Data'!G284-$D$7),ABS('House Vote Data'!G285-$D$8))</f>
        <v>0.16597943051296</v>
      </c>
      <c r="I83" s="15" t="str">
        <f aca="false">IF(AND(G83=4,H83=MIN(J13:J101)),"&lt;&lt; MAGIC MUNICIPALITY","")</f>
        <v/>
      </c>
      <c r="J83" s="8" t="str">
        <f aca="false">IF(G83=4,H83,"")</f>
        <v/>
      </c>
    </row>
    <row r="84" customFormat="false" ht="15" hidden="false" customHeight="true" outlineLevel="0" collapsed="false">
      <c r="A84" s="8" t="s">
        <v>128</v>
      </c>
      <c r="B84" s="8" t="s">
        <v>111</v>
      </c>
      <c r="C84" s="8" t="n">
        <f aca="false">IF(IF('House Vote Data'!G286&gt;0.5,"D","R")=$E$5,1,0)</f>
        <v>1</v>
      </c>
      <c r="D84" s="8" t="n">
        <f aca="false">IF(IF('House Vote Data'!G287&gt;0.5,"D","R")=$E$6,1,0)</f>
        <v>1</v>
      </c>
      <c r="E84" s="8" t="n">
        <f aca="false">IF(IF('House Vote Data'!G288&gt;0.5,"D","R")=$E$7,1,0)</f>
        <v>1</v>
      </c>
      <c r="F84" s="8" t="n">
        <f aca="false">IF(IF('House Vote Data'!G289&gt;0.5,"D","R")=$E$8,1,0)</f>
        <v>1</v>
      </c>
      <c r="G84" s="8" t="n">
        <f aca="false">SUM(C84:F84)</f>
        <v>4</v>
      </c>
      <c r="H84" s="14" t="n">
        <f aca="false">AVERAGE(ABS('House Vote Data'!G286-$D$5),ABS('House Vote Data'!G287-$D$6),ABS('House Vote Data'!G288-$D$7),ABS('House Vote Data'!G289-$D$8))</f>
        <v>0.00849515584743395</v>
      </c>
      <c r="I84" s="15" t="str">
        <f aca="false">IF(AND(G84=4,H84=MIN(J13:J101)),"&lt;&lt; MAGIC MUNICIPALITY","")</f>
        <v/>
      </c>
      <c r="J84" s="14" t="n">
        <f aca="false">IF(G84=4,H84,"")</f>
        <v>0.00849515584743395</v>
      </c>
    </row>
    <row r="85" customFormat="false" ht="15" hidden="false" customHeight="true" outlineLevel="0" collapsed="false">
      <c r="A85" s="8" t="s">
        <v>129</v>
      </c>
      <c r="B85" s="8" t="s">
        <v>111</v>
      </c>
      <c r="C85" s="8" t="n">
        <f aca="false">IF(IF('House Vote Data'!G290&gt;0.5,"D","R")=$E$5,1,0)</f>
        <v>1</v>
      </c>
      <c r="D85" s="8" t="n">
        <f aca="false">IF(IF('House Vote Data'!G291&gt;0.5,"D","R")=$E$6,1,0)</f>
        <v>1</v>
      </c>
      <c r="E85" s="8" t="n">
        <f aca="false">IF(IF('House Vote Data'!G292&gt;0.5,"D","R")=$E$7,1,0)</f>
        <v>1</v>
      </c>
      <c r="F85" s="8" t="n">
        <f aca="false">IF(IF('House Vote Data'!G293&gt;0.5,"D","R")=$E$8,1,0)</f>
        <v>1</v>
      </c>
      <c r="G85" s="8" t="n">
        <f aca="false">SUM(C85:F85)</f>
        <v>4</v>
      </c>
      <c r="H85" s="14" t="n">
        <f aca="false">AVERAGE(ABS('House Vote Data'!G290-$D$5),ABS('House Vote Data'!G291-$D$6),ABS('House Vote Data'!G292-$D$7),ABS('House Vote Data'!G293-$D$8))</f>
        <v>0.0178507524502782</v>
      </c>
      <c r="I85" s="15" t="str">
        <f aca="false">IF(AND(G85=4,H85=MIN(J13:J101)),"&lt;&lt; MAGIC MUNICIPALITY","")</f>
        <v/>
      </c>
      <c r="J85" s="14" t="n">
        <f aca="false">IF(G85=4,H85,"")</f>
        <v>0.0178507524502782</v>
      </c>
    </row>
    <row r="86" customFormat="false" ht="15" hidden="false" customHeight="true" outlineLevel="0" collapsed="false">
      <c r="A86" s="8" t="s">
        <v>111</v>
      </c>
      <c r="B86" s="8" t="s">
        <v>111</v>
      </c>
      <c r="C86" s="8" t="n">
        <f aca="false">IF(IF('House Vote Data'!G294&gt;0.5,"D","R")=$E$5,1,0)</f>
        <v>1</v>
      </c>
      <c r="D86" s="8" t="n">
        <f aca="false">IF(IF('House Vote Data'!G295&gt;0.5,"D","R")=$E$6,1,0)</f>
        <v>1</v>
      </c>
      <c r="E86" s="8" t="n">
        <f aca="false">IF(IF('House Vote Data'!G296&gt;0.5,"D","R")=$E$7,1,0)</f>
        <v>0</v>
      </c>
      <c r="F86" s="8" t="n">
        <f aca="false">IF(IF('House Vote Data'!G297&gt;0.5,"D","R")=$E$8,1,0)</f>
        <v>1</v>
      </c>
      <c r="G86" s="8" t="n">
        <f aca="false">SUM(C86:F86)</f>
        <v>3</v>
      </c>
      <c r="H86" s="14" t="n">
        <f aca="false">AVERAGE(ABS('House Vote Data'!G294-$D$5),ABS('House Vote Data'!G295-$D$6),ABS('House Vote Data'!G296-$D$7),ABS('House Vote Data'!G297-$D$8))</f>
        <v>0.0322246742943721</v>
      </c>
      <c r="I86" s="15" t="str">
        <f aca="false">IF(AND(G86=4,H86=MIN(J13:J101)),"&lt;&lt; MAGIC MUNICIPALITY","")</f>
        <v/>
      </c>
      <c r="J86" s="8" t="str">
        <f aca="false">IF(G86=4,H86,"")</f>
        <v/>
      </c>
    </row>
    <row r="87" customFormat="false" ht="15" hidden="false" customHeight="true" outlineLevel="0" collapsed="false">
      <c r="A87" s="8" t="s">
        <v>130</v>
      </c>
      <c r="B87" s="8" t="s">
        <v>111</v>
      </c>
      <c r="C87" s="8" t="n">
        <f aca="false">IF(IF('House Vote Data'!G298&gt;0.5,"D","R")=$E$5,1,0)</f>
        <v>1</v>
      </c>
      <c r="D87" s="8" t="n">
        <f aca="false">IF(IF('House Vote Data'!G299&gt;0.5,"D","R")=$E$6,1,0)</f>
        <v>0</v>
      </c>
      <c r="E87" s="8" t="n">
        <f aca="false">IF(IF('House Vote Data'!G300&gt;0.5,"D","R")=$E$7,1,0)</f>
        <v>1</v>
      </c>
      <c r="F87" s="8" t="n">
        <f aca="false">IF(IF('House Vote Data'!G301&gt;0.5,"D","R")=$E$8,1,0)</f>
        <v>0</v>
      </c>
      <c r="G87" s="8" t="n">
        <f aca="false">SUM(C87:F87)</f>
        <v>2</v>
      </c>
      <c r="H87" s="14" t="n">
        <f aca="false">AVERAGE(ABS('House Vote Data'!G298-$D$5),ABS('House Vote Data'!G299-$D$6),ABS('House Vote Data'!G300-$D$7),ABS('House Vote Data'!G301-$D$8))</f>
        <v>0.0100581542375079</v>
      </c>
      <c r="I87" s="15" t="str">
        <f aca="false">IF(AND(G87=4,H87=MIN(J13:J101)),"&lt;&lt; MAGIC MUNICIPALITY","")</f>
        <v/>
      </c>
      <c r="J87" s="8" t="str">
        <f aca="false">IF(G87=4,H87,"")</f>
        <v/>
      </c>
    </row>
    <row r="88" customFormat="false" ht="15" hidden="false" customHeight="true" outlineLevel="0" collapsed="false">
      <c r="A88" s="8" t="s">
        <v>131</v>
      </c>
      <c r="B88" s="8" t="s">
        <v>111</v>
      </c>
      <c r="C88" s="8" t="n">
        <f aca="false">IF(IF('House Vote Data'!G302&gt;0.5,"D","R")=$E$5,1,0)</f>
        <v>0</v>
      </c>
      <c r="D88" s="8" t="n">
        <f aca="false">IF(IF('House Vote Data'!G303&gt;0.5,"D","R")=$E$6,1,0)</f>
        <v>1</v>
      </c>
      <c r="E88" s="8" t="n">
        <f aca="false">IF(IF('House Vote Data'!G304&gt;0.5,"D","R")=$E$7,1,0)</f>
        <v>0</v>
      </c>
      <c r="F88" s="8" t="n">
        <f aca="false">IF(IF('House Vote Data'!G305&gt;0.5,"D","R")=$E$8,1,0)</f>
        <v>1</v>
      </c>
      <c r="G88" s="8" t="n">
        <f aca="false">SUM(C88:F88)</f>
        <v>2</v>
      </c>
      <c r="H88" s="14" t="n">
        <f aca="false">AVERAGE(ABS('House Vote Data'!G302-$D$5),ABS('House Vote Data'!G303-$D$6),ABS('House Vote Data'!G304-$D$7),ABS('House Vote Data'!G305-$D$8))</f>
        <v>0.116808494443272</v>
      </c>
      <c r="I88" s="15" t="str">
        <f aca="false">IF(AND(G88=4,H88=MIN(J13:J101)),"&lt;&lt; MAGIC MUNICIPALITY","")</f>
        <v/>
      </c>
      <c r="J88" s="8" t="str">
        <f aca="false">IF(G88=4,H88,"")</f>
        <v/>
      </c>
    </row>
    <row r="89" customFormat="false" ht="15" hidden="false" customHeight="true" outlineLevel="0" collapsed="false">
      <c r="A89" s="8" t="s">
        <v>132</v>
      </c>
      <c r="B89" s="8" t="s">
        <v>111</v>
      </c>
      <c r="C89" s="8" t="n">
        <f aca="false">IF(IF('House Vote Data'!G306&gt;0.5,"D","R")=$E$5,1,0)</f>
        <v>0</v>
      </c>
      <c r="D89" s="8" t="n">
        <f aca="false">IF(IF('House Vote Data'!G307&gt;0.5,"D","R")=$E$6,1,0)</f>
        <v>1</v>
      </c>
      <c r="E89" s="8" t="n">
        <f aca="false">IF(IF('House Vote Data'!G308&gt;0.5,"D","R")=$E$7,1,0)</f>
        <v>0</v>
      </c>
      <c r="F89" s="8" t="n">
        <f aca="false">IF(IF('House Vote Data'!G309&gt;0.5,"D","R")=$E$8,1,0)</f>
        <v>1</v>
      </c>
      <c r="G89" s="8" t="n">
        <f aca="false">SUM(C89:F89)</f>
        <v>2</v>
      </c>
      <c r="H89" s="14" t="n">
        <f aca="false">AVERAGE(ABS('House Vote Data'!G306-$D$5),ABS('House Vote Data'!G307-$D$6),ABS('House Vote Data'!G308-$D$7),ABS('House Vote Data'!G309-$D$8))</f>
        <v>0.146733532229283</v>
      </c>
      <c r="I89" s="15" t="str">
        <f aca="false">IF(AND(G89=4,H89=MIN(J13:J101)),"&lt;&lt; MAGIC MUNICIPALITY","")</f>
        <v/>
      </c>
      <c r="J89" s="8" t="str">
        <f aca="false">IF(G89=4,H89,"")</f>
        <v/>
      </c>
    </row>
    <row r="90" customFormat="false" ht="15" hidden="false" customHeight="true" outlineLevel="0" collapsed="false">
      <c r="A90" s="8" t="s">
        <v>133</v>
      </c>
      <c r="B90" s="8" t="s">
        <v>111</v>
      </c>
      <c r="C90" s="8" t="n">
        <f aca="false">IF(IF('House Vote Data'!G310&gt;0.5,"D","R")=$E$5,1,0)</f>
        <v>0</v>
      </c>
      <c r="D90" s="8" t="n">
        <f aca="false">IF(IF('House Vote Data'!G311&gt;0.5,"D","R")=$E$6,1,0)</f>
        <v>1</v>
      </c>
      <c r="E90" s="8" t="n">
        <f aca="false">IF(IF('House Vote Data'!G312&gt;0.5,"D","R")=$E$7,1,0)</f>
        <v>0</v>
      </c>
      <c r="F90" s="8" t="n">
        <f aca="false">IF(IF('House Vote Data'!G313&gt;0.5,"D","R")=$E$8,1,0)</f>
        <v>1</v>
      </c>
      <c r="G90" s="8" t="n">
        <f aca="false">SUM(C90:F90)</f>
        <v>2</v>
      </c>
      <c r="H90" s="14" t="n">
        <f aca="false">AVERAGE(ABS('House Vote Data'!G310-$D$5),ABS('House Vote Data'!G311-$D$6),ABS('House Vote Data'!G312-$D$7),ABS('House Vote Data'!G313-$D$8))</f>
        <v>0.161716864457417</v>
      </c>
      <c r="I90" s="15" t="str">
        <f aca="false">IF(AND(G90=4,H90=MIN(J13:J101)),"&lt;&lt; MAGIC MUNICIPALITY","")</f>
        <v/>
      </c>
      <c r="J90" s="8" t="str">
        <f aca="false">IF(G90=4,H90,"")</f>
        <v/>
      </c>
    </row>
    <row r="91" customFormat="false" ht="15" hidden="false" customHeight="true" outlineLevel="0" collapsed="false">
      <c r="A91" s="8" t="s">
        <v>134</v>
      </c>
      <c r="B91" s="8" t="s">
        <v>111</v>
      </c>
      <c r="C91" s="8" t="n">
        <f aca="false">IF(IF('House Vote Data'!G314&gt;0.5,"D","R")=$E$5,1,0)</f>
        <v>0</v>
      </c>
      <c r="D91" s="8" t="n">
        <f aca="false">IF(IF('House Vote Data'!G315&gt;0.5,"D","R")=$E$6,1,0)</f>
        <v>1</v>
      </c>
      <c r="E91" s="8" t="n">
        <f aca="false">IF(IF('House Vote Data'!G316&gt;0.5,"D","R")=$E$7,1,0)</f>
        <v>0</v>
      </c>
      <c r="F91" s="8" t="n">
        <f aca="false">IF(IF('House Vote Data'!G317&gt;0.5,"D","R")=$E$8,1,0)</f>
        <v>1</v>
      </c>
      <c r="G91" s="8" t="n">
        <f aca="false">SUM(C91:F91)</f>
        <v>2</v>
      </c>
      <c r="H91" s="14" t="n">
        <f aca="false">AVERAGE(ABS('House Vote Data'!G314-$D$5),ABS('House Vote Data'!G315-$D$6),ABS('House Vote Data'!G316-$D$7),ABS('House Vote Data'!G317-$D$8))</f>
        <v>0.124995286905691</v>
      </c>
      <c r="I91" s="15" t="str">
        <f aca="false">IF(AND(G91=4,H91=MIN(J13:J101)),"&lt;&lt; MAGIC MUNICIPALITY","")</f>
        <v/>
      </c>
      <c r="J91" s="8" t="str">
        <f aca="false">IF(G91=4,H91,"")</f>
        <v/>
      </c>
    </row>
    <row r="92" customFormat="false" ht="15" hidden="false" customHeight="true" outlineLevel="0" collapsed="false">
      <c r="A92" s="8" t="s">
        <v>135</v>
      </c>
      <c r="B92" s="8" t="s">
        <v>111</v>
      </c>
      <c r="C92" s="8" t="n">
        <f aca="false">IF(IF('House Vote Data'!G318&gt;0.5,"D","R")=$E$5,1,0)</f>
        <v>0</v>
      </c>
      <c r="D92" s="8" t="n">
        <f aca="false">IF(IF('House Vote Data'!G319&gt;0.5,"D","R")=$E$6,1,0)</f>
        <v>1</v>
      </c>
      <c r="E92" s="8" t="n">
        <f aca="false">IF(IF('House Vote Data'!G320&gt;0.5,"D","R")=$E$7,1,0)</f>
        <v>0</v>
      </c>
      <c r="F92" s="8" t="n">
        <f aca="false">IF(IF('House Vote Data'!G321&gt;0.5,"D","R")=$E$8,1,0)</f>
        <v>1</v>
      </c>
      <c r="G92" s="8" t="n">
        <f aca="false">SUM(C92:F92)</f>
        <v>2</v>
      </c>
      <c r="H92" s="14" t="n">
        <f aca="false">AVERAGE(ABS('House Vote Data'!G318-$D$5),ABS('House Vote Data'!G319-$D$6),ABS('House Vote Data'!G320-$D$7),ABS('House Vote Data'!G321-$D$8))</f>
        <v>0.0891883575639196</v>
      </c>
      <c r="I92" s="15" t="str">
        <f aca="false">IF(AND(G92=4,H92=MIN(J13:J101)),"&lt;&lt; MAGIC MUNICIPALITY","")</f>
        <v/>
      </c>
      <c r="J92" s="8" t="str">
        <f aca="false">IF(G92=4,H92,"")</f>
        <v/>
      </c>
    </row>
    <row r="93" customFormat="false" ht="15" hidden="false" customHeight="true" outlineLevel="0" collapsed="false">
      <c r="A93" s="8" t="s">
        <v>136</v>
      </c>
      <c r="B93" s="8" t="s">
        <v>111</v>
      </c>
      <c r="C93" s="8" t="n">
        <f aca="false">IF(IF('House Vote Data'!G322&gt;0.5,"D","R")=$E$5,1,0)</f>
        <v>0</v>
      </c>
      <c r="D93" s="8" t="n">
        <f aca="false">IF(IF('House Vote Data'!G323&gt;0.5,"D","R")=$E$6,1,0)</f>
        <v>1</v>
      </c>
      <c r="E93" s="8" t="n">
        <f aca="false">IF(IF('House Vote Data'!G324&gt;0.5,"D","R")=$E$7,1,0)</f>
        <v>0</v>
      </c>
      <c r="F93" s="8" t="n">
        <f aca="false">IF(IF('House Vote Data'!G325&gt;0.5,"D","R")=$E$8,1,0)</f>
        <v>1</v>
      </c>
      <c r="G93" s="8" t="n">
        <f aca="false">SUM(C93:F93)</f>
        <v>2</v>
      </c>
      <c r="H93" s="14" t="n">
        <f aca="false">AVERAGE(ABS('House Vote Data'!G322-$D$5),ABS('House Vote Data'!G323-$D$6),ABS('House Vote Data'!G324-$D$7),ABS('House Vote Data'!G325-$D$8))</f>
        <v>0.0864599926119391</v>
      </c>
      <c r="I93" s="15" t="str">
        <f aca="false">IF(AND(G93=4,H93=MIN(J13:J101)),"&lt;&lt; MAGIC MUNICIPALITY","")</f>
        <v/>
      </c>
      <c r="J93" s="8" t="str">
        <f aca="false">IF(G93=4,H93,"")</f>
        <v/>
      </c>
    </row>
    <row r="94" customFormat="false" ht="15" hidden="false" customHeight="true" outlineLevel="0" collapsed="false">
      <c r="A94" s="8" t="s">
        <v>137</v>
      </c>
      <c r="B94" s="8" t="s">
        <v>111</v>
      </c>
      <c r="C94" s="8" t="n">
        <f aca="false">IF(IF('House Vote Data'!G326&gt;0.5,"D","R")=$E$5,1,0)</f>
        <v>0</v>
      </c>
      <c r="D94" s="8" t="n">
        <f aca="false">IF(IF('House Vote Data'!G327&gt;0.5,"D","R")=$E$6,1,0)</f>
        <v>1</v>
      </c>
      <c r="E94" s="8" t="n">
        <f aca="false">IF(IF('House Vote Data'!G328&gt;0.5,"D","R")=$E$7,1,0)</f>
        <v>0</v>
      </c>
      <c r="F94" s="8" t="n">
        <f aca="false">IF(IF('House Vote Data'!G329&gt;0.5,"D","R")=$E$8,1,0)</f>
        <v>1</v>
      </c>
      <c r="G94" s="8" t="n">
        <f aca="false">SUM(C94:F94)</f>
        <v>2</v>
      </c>
      <c r="H94" s="14" t="n">
        <f aca="false">AVERAGE(ABS('House Vote Data'!G326-$D$5),ABS('House Vote Data'!G327-$D$6),ABS('House Vote Data'!G328-$D$7),ABS('House Vote Data'!G329-$D$8))</f>
        <v>0.178254159128794</v>
      </c>
      <c r="I94" s="15" t="str">
        <f aca="false">IF(AND(G94=4,H94=MIN(J13:J101)),"&lt;&lt; MAGIC MUNICIPALITY","")</f>
        <v/>
      </c>
      <c r="J94" s="8" t="str">
        <f aca="false">IF(G94=4,H94,"")</f>
        <v/>
      </c>
    </row>
    <row r="95" customFormat="false" ht="15" hidden="false" customHeight="true" outlineLevel="0" collapsed="false">
      <c r="A95" s="8" t="s">
        <v>138</v>
      </c>
      <c r="B95" s="8" t="s">
        <v>111</v>
      </c>
      <c r="C95" s="8" t="n">
        <f aca="false">IF(IF('House Vote Data'!G330&gt;0.5,"D","R")=$E$5,1,0)</f>
        <v>0</v>
      </c>
      <c r="D95" s="8" t="n">
        <f aca="false">IF(IF('House Vote Data'!G331&gt;0.5,"D","R")=$E$6,1,0)</f>
        <v>1</v>
      </c>
      <c r="E95" s="8" t="n">
        <f aca="false">IF(IF('House Vote Data'!G332&gt;0.5,"D","R")=$E$7,1,0)</f>
        <v>0</v>
      </c>
      <c r="F95" s="8" t="n">
        <f aca="false">IF(IF('House Vote Data'!G333&gt;0.5,"D","R")=$E$8,1,0)</f>
        <v>1</v>
      </c>
      <c r="G95" s="8" t="n">
        <f aca="false">SUM(C95:F95)</f>
        <v>2</v>
      </c>
      <c r="H95" s="14" t="n">
        <f aca="false">AVERAGE(ABS('House Vote Data'!G330-$D$5),ABS('House Vote Data'!G331-$D$6),ABS('House Vote Data'!G332-$D$7),ABS('House Vote Data'!G333-$D$8))</f>
        <v>0.023482524431014</v>
      </c>
      <c r="I95" s="15" t="str">
        <f aca="false">IF(AND(G95=4,H95=MIN(J13:J101)),"&lt;&lt; MAGIC MUNICIPALITY","")</f>
        <v/>
      </c>
      <c r="J95" s="8" t="str">
        <f aca="false">IF(G95=4,H95,"")</f>
        <v/>
      </c>
    </row>
    <row r="96" customFormat="false" ht="15" hidden="false" customHeight="true" outlineLevel="0" collapsed="false">
      <c r="A96" s="8" t="s">
        <v>139</v>
      </c>
      <c r="B96" s="8" t="s">
        <v>111</v>
      </c>
      <c r="C96" s="8" t="n">
        <f aca="false">IF(IF('House Vote Data'!G334&gt;0.5,"D","R")=$E$5,1,0)</f>
        <v>0</v>
      </c>
      <c r="D96" s="8" t="n">
        <f aca="false">IF(IF('House Vote Data'!G335&gt;0.5,"D","R")=$E$6,1,0)</f>
        <v>1</v>
      </c>
      <c r="E96" s="8" t="n">
        <f aca="false">IF(IF('House Vote Data'!G336&gt;0.5,"D","R")=$E$7,1,0)</f>
        <v>0</v>
      </c>
      <c r="F96" s="8" t="n">
        <f aca="false">IF(IF('House Vote Data'!G337&gt;0.5,"D","R")=$E$8,1,0)</f>
        <v>1</v>
      </c>
      <c r="G96" s="8" t="n">
        <f aca="false">SUM(C96:F96)</f>
        <v>2</v>
      </c>
      <c r="H96" s="14" t="n">
        <f aca="false">AVERAGE(ABS('House Vote Data'!G334-$D$5),ABS('House Vote Data'!G335-$D$6),ABS('House Vote Data'!G336-$D$7),ABS('House Vote Data'!G337-$D$8))</f>
        <v>0.105022552203138</v>
      </c>
      <c r="I96" s="15" t="str">
        <f aca="false">IF(AND(G96=4,H96=MIN(J13:J101)),"&lt;&lt; MAGIC MUNICIPALITY","")</f>
        <v/>
      </c>
      <c r="J96" s="8" t="str">
        <f aca="false">IF(G96=4,H96,"")</f>
        <v/>
      </c>
    </row>
    <row r="97" customFormat="false" ht="15" hidden="false" customHeight="true" outlineLevel="0" collapsed="false">
      <c r="A97" s="8" t="s">
        <v>103</v>
      </c>
      <c r="B97" s="8" t="s">
        <v>111</v>
      </c>
      <c r="C97" s="8" t="n">
        <f aca="false">IF(IF('House Vote Data'!G338&gt;0.5,"D","R")=$E$5,1,0)</f>
        <v>0</v>
      </c>
      <c r="D97" s="8" t="n">
        <f aca="false">IF(IF('House Vote Data'!G339&gt;0.5,"D","R")=$E$6,1,0)</f>
        <v>1</v>
      </c>
      <c r="E97" s="8" t="n">
        <f aca="false">IF(IF('House Vote Data'!G340&gt;0.5,"D","R")=$E$7,1,0)</f>
        <v>0</v>
      </c>
      <c r="F97" s="8" t="n">
        <f aca="false">IF(IF('House Vote Data'!G341&gt;0.5,"D","R")=$E$8,1,0)</f>
        <v>1</v>
      </c>
      <c r="G97" s="8" t="n">
        <f aca="false">SUM(C97:F97)</f>
        <v>2</v>
      </c>
      <c r="H97" s="14" t="n">
        <f aca="false">AVERAGE(ABS('House Vote Data'!G338-$D$5),ABS('House Vote Data'!G339-$D$6),ABS('House Vote Data'!G340-$D$7),ABS('House Vote Data'!G341-$D$8))</f>
        <v>0.153893498837467</v>
      </c>
      <c r="I97" s="15" t="str">
        <f aca="false">IF(AND(G97=4,H97=MIN(J13:J101)),"&lt;&lt; MAGIC MUNICIPALITY","")</f>
        <v/>
      </c>
      <c r="J97" s="8" t="str">
        <f aca="false">IF(G97=4,H97,"")</f>
        <v/>
      </c>
    </row>
    <row r="98" customFormat="false" ht="15" hidden="false" customHeight="true" outlineLevel="0" collapsed="false">
      <c r="A98" s="8" t="s">
        <v>140</v>
      </c>
      <c r="B98" s="8" t="s">
        <v>111</v>
      </c>
      <c r="C98" s="8" t="n">
        <f aca="false">IF(IF('House Vote Data'!G342&gt;0.5,"D","R")=$E$5,1,0)</f>
        <v>1</v>
      </c>
      <c r="D98" s="8" t="n">
        <f aca="false">IF(IF('House Vote Data'!G343&gt;0.5,"D","R")=$E$6,1,0)</f>
        <v>1</v>
      </c>
      <c r="E98" s="8" t="n">
        <f aca="false">IF(IF('House Vote Data'!G344&gt;0.5,"D","R")=$E$7,1,0)</f>
        <v>0</v>
      </c>
      <c r="F98" s="8" t="n">
        <f aca="false">IF(IF('House Vote Data'!G345&gt;0.5,"D","R")=$E$8,1,0)</f>
        <v>1</v>
      </c>
      <c r="G98" s="8" t="n">
        <f aca="false">SUM(C98:F98)</f>
        <v>3</v>
      </c>
      <c r="H98" s="14" t="n">
        <f aca="false">AVERAGE(ABS('House Vote Data'!G342-$D$5),ABS('House Vote Data'!G343-$D$6),ABS('House Vote Data'!G344-$D$7),ABS('House Vote Data'!G345-$D$8))</f>
        <v>0.028552608392235</v>
      </c>
      <c r="I98" s="15" t="str">
        <f aca="false">IF(AND(G98=4,H98=MIN(J13:J101)),"&lt;&lt; MAGIC MUNICIPALITY","")</f>
        <v/>
      </c>
      <c r="J98" s="8" t="str">
        <f aca="false">IF(G98=4,H98,"")</f>
        <v/>
      </c>
    </row>
    <row r="99" customFormat="false" ht="15" hidden="false" customHeight="true" outlineLevel="0" collapsed="false">
      <c r="A99" s="8" t="s">
        <v>141</v>
      </c>
      <c r="B99" s="8" t="s">
        <v>111</v>
      </c>
      <c r="C99" s="8" t="n">
        <f aca="false">IF(IF('House Vote Data'!G346&gt;0.5,"D","R")=$E$5,1,0)</f>
        <v>0</v>
      </c>
      <c r="D99" s="8" t="n">
        <f aca="false">IF(IF('House Vote Data'!G347&gt;0.5,"D","R")=$E$6,1,0)</f>
        <v>1</v>
      </c>
      <c r="E99" s="8" t="n">
        <f aca="false">IF(IF('House Vote Data'!G348&gt;0.5,"D","R")=$E$7,1,0)</f>
        <v>0</v>
      </c>
      <c r="F99" s="8" t="n">
        <f aca="false">IF(IF('House Vote Data'!G349&gt;0.5,"D","R")=$E$8,1,0)</f>
        <v>1</v>
      </c>
      <c r="G99" s="8" t="n">
        <f aca="false">SUM(C99:F99)</f>
        <v>2</v>
      </c>
      <c r="H99" s="14" t="n">
        <f aca="false">AVERAGE(ABS('House Vote Data'!G346-$D$5),ABS('House Vote Data'!G347-$D$6),ABS('House Vote Data'!G348-$D$7),ABS('House Vote Data'!G349-$D$8))</f>
        <v>0.0691788697211659</v>
      </c>
      <c r="I99" s="15" t="str">
        <f aca="false">IF(AND(G99=4,H99=MIN(J13:J101)),"&lt;&lt; MAGIC MUNICIPALITY","")</f>
        <v/>
      </c>
      <c r="J99" s="8" t="str">
        <f aca="false">IF(G99=4,H99,"")</f>
        <v/>
      </c>
    </row>
    <row r="100" customFormat="false" ht="15" hidden="false" customHeight="true" outlineLevel="0" collapsed="false">
      <c r="A100" s="8" t="s">
        <v>142</v>
      </c>
      <c r="B100" s="8" t="s">
        <v>111</v>
      </c>
      <c r="C100" s="8" t="n">
        <f aca="false">IF(IF('House Vote Data'!G350&gt;0.5,"D","R")=$E$5,1,0)</f>
        <v>1</v>
      </c>
      <c r="D100" s="8" t="n">
        <f aca="false">IF(IF('House Vote Data'!G351&gt;0.5,"D","R")=$E$6,1,0)</f>
        <v>0</v>
      </c>
      <c r="E100" s="8" t="n">
        <f aca="false">IF(IF('House Vote Data'!G352&gt;0.5,"D","R")=$E$7,1,0)</f>
        <v>1</v>
      </c>
      <c r="F100" s="8" t="n">
        <f aca="false">IF(IF('House Vote Data'!G353&gt;0.5,"D","R")=$E$8,1,0)</f>
        <v>0</v>
      </c>
      <c r="G100" s="8" t="n">
        <f aca="false">SUM(C100:F100)</f>
        <v>2</v>
      </c>
      <c r="H100" s="14" t="n">
        <f aca="false">AVERAGE(ABS('House Vote Data'!G350-$D$5),ABS('House Vote Data'!G351-$D$6),ABS('House Vote Data'!G352-$D$7),ABS('House Vote Data'!G353-$D$8))</f>
        <v>0.066261946812824</v>
      </c>
      <c r="I100" s="15" t="str">
        <f aca="false">IF(AND(G100=4,H100=MIN(J13:J101)),"&lt;&lt; MAGIC MUNICIPALITY","")</f>
        <v/>
      </c>
      <c r="J100" s="8" t="str">
        <f aca="false">IF(G100=4,H100,"")</f>
        <v/>
      </c>
    </row>
    <row r="101" customFormat="false" ht="15" hidden="false" customHeight="true" outlineLevel="0" collapsed="false">
      <c r="A101" s="8" t="s">
        <v>143</v>
      </c>
      <c r="B101" s="8" t="s">
        <v>111</v>
      </c>
      <c r="C101" s="8" t="n">
        <f aca="false">IF(IF('House Vote Data'!G354&gt;0.5,"D","R")=$E$5,1,0)</f>
        <v>0</v>
      </c>
      <c r="D101" s="8" t="n">
        <f aca="false">IF(IF('House Vote Data'!G355&gt;0.5,"D","R")=$E$6,1,0)</f>
        <v>1</v>
      </c>
      <c r="E101" s="8" t="n">
        <f aca="false">IF(IF('House Vote Data'!G356&gt;0.5,"D","R")=$E$7,1,0)</f>
        <v>0</v>
      </c>
      <c r="F101" s="8" t="n">
        <f aca="false">IF(IF('House Vote Data'!G357&gt;0.5,"D","R")=$E$8,1,0)</f>
        <v>1</v>
      </c>
      <c r="G101" s="8" t="n">
        <f aca="false">SUM(C101:F101)</f>
        <v>2</v>
      </c>
      <c r="H101" s="14" t="n">
        <f aca="false">AVERAGE(ABS('House Vote Data'!G354-$D$5),ABS('House Vote Data'!G355-$D$6),ABS('House Vote Data'!G356-$D$7),ABS('House Vote Data'!G357-$D$8))</f>
        <v>0.0784886780635716</v>
      </c>
      <c r="I101" s="15" t="str">
        <f aca="false">IF(AND(G101=4,H101=MIN(J13:J101)),"&lt;&lt; MAGIC MUNICIPALITY","")</f>
        <v/>
      </c>
      <c r="J101" s="8" t="str">
        <f aca="false">IF(G101=4,H101,"")</f>
        <v/>
      </c>
    </row>
  </sheetData>
  <mergeCells count="1">
    <mergeCell ref="A1:H1"/>
  </mergeCells>
  <conditionalFormatting sqref="I13:I101">
    <cfRule type="expression" priority="2" aboveAverage="0" equalAverage="0" bottom="0" percent="0" rank="0" text="" dxfId="5">
      <formula>I13&lt;&gt;""</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9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4"/>
    <col collapsed="false" customWidth="true" hidden="false" outlineLevel="0" max="3" min="3" style="1" width="9"/>
    <col collapsed="false" customWidth="true" hidden="false" outlineLevel="0" max="4" min="4" style="1" width="11"/>
    <col collapsed="false" customWidth="true" hidden="false" outlineLevel="0" max="5" min="5" style="1" width="16"/>
    <col collapsed="false" customWidth="true" hidden="false" outlineLevel="0" max="6" min="6" style="1" width="15"/>
    <col collapsed="false" customWidth="true" hidden="false" outlineLevel="0" max="7" min="7" style="1" width="18"/>
    <col collapsed="false" customWidth="true" hidden="true" outlineLevel="0" max="14" min="9" style="1" width="13"/>
  </cols>
  <sheetData>
    <row r="1" customFormat="false" ht="15.75" hidden="false" customHeight="true" outlineLevel="0" collapsed="false">
      <c r="A1" s="10" t="s">
        <v>176</v>
      </c>
      <c r="B1" s="10"/>
      <c r="C1" s="10"/>
      <c r="D1" s="10"/>
      <c r="E1" s="10"/>
      <c r="F1" s="10"/>
      <c r="G1" s="10"/>
      <c r="H1" s="10"/>
    </row>
    <row r="3" customFormat="false" ht="15" hidden="false" customHeight="true" outlineLevel="0" collapsed="false">
      <c r="A3" s="7" t="s">
        <v>177</v>
      </c>
    </row>
    <row r="4" customFormat="false" ht="15" hidden="false" customHeight="true" outlineLevel="0" collapsed="false">
      <c r="A4" s="7" t="n">
        <v>2018</v>
      </c>
      <c r="B4" s="7" t="n">
        <v>2020</v>
      </c>
      <c r="C4" s="7" t="n">
        <v>2022</v>
      </c>
      <c r="D4" s="7" t="n">
        <v>2024</v>
      </c>
    </row>
    <row r="5" customFormat="false" ht="15" hidden="false" customHeight="true" outlineLevel="0" collapsed="false">
      <c r="A5" s="9" t="n">
        <f aca="false">'Magic Municipality'!D5</f>
        <v>0.533275860759398</v>
      </c>
      <c r="B5" s="9" t="n">
        <f aca="false">'Magic Municipality'!D6</f>
        <v>0.49666571804358</v>
      </c>
      <c r="C5" s="9" t="n">
        <f aca="false">'Magic Municipality'!D7</f>
        <v>0.509830207045683</v>
      </c>
      <c r="D5" s="9" t="n">
        <f aca="false">'Magic Municipality'!D8</f>
        <v>0.49496422142549</v>
      </c>
    </row>
    <row r="7" customFormat="false" ht="15" hidden="false" customHeight="true" outlineLevel="0" collapsed="false">
      <c r="A7" s="7" t="s">
        <v>45</v>
      </c>
      <c r="B7" s="7" t="s">
        <v>46</v>
      </c>
      <c r="C7" s="7" t="s">
        <v>178</v>
      </c>
      <c r="D7" s="7" t="s">
        <v>179</v>
      </c>
      <c r="E7" s="7" t="s">
        <v>180</v>
      </c>
      <c r="F7" s="7" t="s">
        <v>156</v>
      </c>
      <c r="G7" s="7" t="s">
        <v>181</v>
      </c>
      <c r="M7" s="13" t="s">
        <v>182</v>
      </c>
      <c r="N7" s="13" t="s">
        <v>183</v>
      </c>
    </row>
    <row r="8" customFormat="false" ht="15" hidden="false" customHeight="true" outlineLevel="0" collapsed="false">
      <c r="A8" s="8" t="s">
        <v>56</v>
      </c>
      <c r="B8" s="8" t="s">
        <v>57</v>
      </c>
      <c r="C8" s="16" t="n">
        <f aca="false">SLOPE(I8:L8,$A$5:$D$5)</f>
        <v>1.40553361795672</v>
      </c>
      <c r="D8" s="16" t="n">
        <f aca="false">RSQ(I8:L8,$A$5:$D$5)</f>
        <v>0.484405462342021</v>
      </c>
      <c r="E8" s="16" t="n">
        <f aca="false">ABS(C8-1)</f>
        <v>0.405533617956721</v>
      </c>
      <c r="F8" s="9" t="n">
        <f aca="false">AVERAGE(I8:L8)</f>
        <v>0.375810510522599</v>
      </c>
      <c r="G8" s="7" t="str">
        <f aca="false">IF(N8&lt;=30,"YES","")</f>
        <v/>
      </c>
      <c r="I8" s="9" t="n">
        <f aca="false">'House Vote Data'!G2</f>
        <v>0.41994750656168</v>
      </c>
      <c r="J8" s="9" t="n">
        <f aca="false">'House Vote Data'!G3</f>
        <v>0.339960238568589</v>
      </c>
      <c r="K8" s="9" t="n">
        <f aca="false">'House Vote Data'!G4</f>
        <v>0.354922279792746</v>
      </c>
      <c r="L8" s="9" t="n">
        <f aca="false">'House Vote Data'!G5</f>
        <v>0.388412017167382</v>
      </c>
      <c r="M8" s="8" t="n">
        <f aca="false">E8+(1-D8)</f>
        <v>0.9211281556147</v>
      </c>
      <c r="N8" s="8" t="n">
        <f aca="false">RANK(M8,$M$8:$M$96,1)</f>
        <v>56</v>
      </c>
    </row>
    <row r="9" customFormat="false" ht="15" hidden="false" customHeight="true" outlineLevel="0" collapsed="false">
      <c r="A9" s="8" t="s">
        <v>58</v>
      </c>
      <c r="B9" s="8" t="s">
        <v>57</v>
      </c>
      <c r="C9" s="16" t="n">
        <f aca="false">SLOPE(I9:L9,$A$5:$D$5)</f>
        <v>1.69538941732063</v>
      </c>
      <c r="D9" s="16" t="n">
        <f aca="false">RSQ(I9:L9,$A$5:$D$5)</f>
        <v>0.717962907959092</v>
      </c>
      <c r="E9" s="16" t="n">
        <f aca="false">ABS(C9-1)</f>
        <v>0.695389417320633</v>
      </c>
      <c r="F9" s="9" t="n">
        <f aca="false">AVERAGE(I9:L9)</f>
        <v>0.282240496265658</v>
      </c>
      <c r="G9" s="7" t="str">
        <f aca="false">IF(N9&lt;=30,"YES","")</f>
        <v/>
      </c>
      <c r="I9" s="9" t="n">
        <f aca="false">'House Vote Data'!G6</f>
        <v>0.331010452961673</v>
      </c>
      <c r="J9" s="9" t="n">
        <f aca="false">'House Vote Data'!G7</f>
        <v>0.248138957816377</v>
      </c>
      <c r="K9" s="9" t="n">
        <f aca="false">'House Vote Data'!G8</f>
        <v>0.267515923566879</v>
      </c>
      <c r="L9" s="9" t="n">
        <f aca="false">'House Vote Data'!G9</f>
        <v>0.282296650717703</v>
      </c>
      <c r="M9" s="8" t="n">
        <f aca="false">E9+(1-D9)</f>
        <v>0.977426509361541</v>
      </c>
      <c r="N9" s="8" t="n">
        <f aca="false">RANK(M9,$M$8:$M$96,1)</f>
        <v>62</v>
      </c>
    </row>
    <row r="10" customFormat="false" ht="15" hidden="false" customHeight="true" outlineLevel="0" collapsed="false">
      <c r="A10" s="8" t="s">
        <v>59</v>
      </c>
      <c r="B10" s="8" t="s">
        <v>57</v>
      </c>
      <c r="C10" s="16" t="n">
        <f aca="false">SLOPE(I10:L10,$A$5:$D$5)</f>
        <v>2.5936404498912</v>
      </c>
      <c r="D10" s="16" t="n">
        <f aca="false">RSQ(I10:L10,$A$5:$D$5)</f>
        <v>0.690902660313999</v>
      </c>
      <c r="E10" s="16" t="n">
        <f aca="false">ABS(C10-1)</f>
        <v>1.5936404498912</v>
      </c>
      <c r="F10" s="9" t="n">
        <f aca="false">AVERAGE(I10:L10)</f>
        <v>0.330421681428041</v>
      </c>
      <c r="G10" s="7" t="str">
        <f aca="false">IF(N10&lt;=30,"YES","")</f>
        <v/>
      </c>
      <c r="I10" s="9" t="n">
        <f aca="false">'House Vote Data'!G10</f>
        <v>0.385964912280702</v>
      </c>
      <c r="J10" s="9" t="n">
        <f aca="false">'House Vote Data'!G11</f>
        <v>0.259345794392523</v>
      </c>
      <c r="K10" s="9" t="n">
        <f aca="false">'House Vote Data'!G12</f>
        <v>0.359195402298851</v>
      </c>
      <c r="L10" s="9" t="n">
        <f aca="false">'House Vote Data'!G13</f>
        <v>0.317180616740088</v>
      </c>
      <c r="M10" s="8" t="n">
        <f aca="false">E10+(1-D10)</f>
        <v>1.9027377895772</v>
      </c>
      <c r="N10" s="8" t="n">
        <f aca="false">RANK(M10,$M$8:$M$96,1)</f>
        <v>83</v>
      </c>
    </row>
    <row r="11" customFormat="false" ht="15" hidden="false" customHeight="true" outlineLevel="0" collapsed="false">
      <c r="A11" s="8" t="s">
        <v>60</v>
      </c>
      <c r="B11" s="8" t="s">
        <v>57</v>
      </c>
      <c r="C11" s="16" t="n">
        <f aca="false">SLOPE(I11:L11,$A$5:$D$5)</f>
        <v>2.0851402494354</v>
      </c>
      <c r="D11" s="16" t="n">
        <f aca="false">RSQ(I11:L11,$A$5:$D$5)</f>
        <v>0.973526478729881</v>
      </c>
      <c r="E11" s="16" t="n">
        <f aca="false">ABS(C11-1)</f>
        <v>1.0851402494354</v>
      </c>
      <c r="F11" s="9" t="n">
        <f aca="false">AVERAGE(I11:L11)</f>
        <v>0.281593729396407</v>
      </c>
      <c r="G11" s="7" t="str">
        <f aca="false">IF(N11&lt;=30,"YES","")</f>
        <v/>
      </c>
      <c r="I11" s="9" t="n">
        <f aca="false">'House Vote Data'!G14</f>
        <v>0.332133213321332</v>
      </c>
      <c r="J11" s="9" t="n">
        <f aca="false">'House Vote Data'!G15</f>
        <v>0.248407643312102</v>
      </c>
      <c r="K11" s="9" t="n">
        <f aca="false">'House Vote Data'!G16</f>
        <v>0.286815728604472</v>
      </c>
      <c r="L11" s="9" t="n">
        <f aca="false">'House Vote Data'!G17</f>
        <v>0.259018332347723</v>
      </c>
      <c r="M11" s="8" t="n">
        <f aca="false">E11+(1-D11)</f>
        <v>1.11161377070551</v>
      </c>
      <c r="N11" s="8" t="n">
        <f aca="false">RANK(M11,$M$8:$M$96,1)</f>
        <v>67</v>
      </c>
    </row>
    <row r="12" customFormat="false" ht="15" hidden="false" customHeight="true" outlineLevel="0" collapsed="false">
      <c r="A12" s="8" t="s">
        <v>61</v>
      </c>
      <c r="B12" s="8" t="s">
        <v>57</v>
      </c>
      <c r="C12" s="16" t="n">
        <f aca="false">SLOPE(I12:L12,$A$5:$D$5)</f>
        <v>2.23539371922906</v>
      </c>
      <c r="D12" s="16" t="n">
        <f aca="false">RSQ(I12:L12,$A$5:$D$5)</f>
        <v>0.632815315942407</v>
      </c>
      <c r="E12" s="16" t="n">
        <f aca="false">ABS(C12-1)</f>
        <v>1.23539371922906</v>
      </c>
      <c r="F12" s="9" t="n">
        <f aca="false">AVERAGE(I12:L12)</f>
        <v>0.377159557577086</v>
      </c>
      <c r="G12" s="7" t="str">
        <f aca="false">IF(N12&lt;=30,"YES","")</f>
        <v/>
      </c>
      <c r="I12" s="9" t="n">
        <f aca="false">'House Vote Data'!G18</f>
        <v>0.441558441558442</v>
      </c>
      <c r="J12" s="9" t="n">
        <f aca="false">'House Vote Data'!G19</f>
        <v>0.388429752066116</v>
      </c>
      <c r="K12" s="9" t="n">
        <f aca="false">'House Vote Data'!G20</f>
        <v>0.351063829787234</v>
      </c>
      <c r="L12" s="9" t="n">
        <f aca="false">'House Vote Data'!G21</f>
        <v>0.327586206896552</v>
      </c>
      <c r="M12" s="8" t="n">
        <f aca="false">E12+(1-D12)</f>
        <v>1.60257840328666</v>
      </c>
      <c r="N12" s="8" t="n">
        <f aca="false">RANK(M12,$M$8:$M$96,1)</f>
        <v>79</v>
      </c>
    </row>
    <row r="13" customFormat="false" ht="15" hidden="false" customHeight="true" outlineLevel="0" collapsed="false">
      <c r="A13" s="8" t="s">
        <v>62</v>
      </c>
      <c r="B13" s="8" t="s">
        <v>57</v>
      </c>
      <c r="C13" s="16" t="n">
        <f aca="false">SLOPE(I13:L13,$A$5:$D$5)</f>
        <v>1.48136203799296</v>
      </c>
      <c r="D13" s="16" t="n">
        <f aca="false">RSQ(I13:L13,$A$5:$D$5)</f>
        <v>0.883833254943413</v>
      </c>
      <c r="E13" s="16" t="n">
        <f aca="false">ABS(C13-1)</f>
        <v>0.481362037992956</v>
      </c>
      <c r="F13" s="9" t="n">
        <f aca="false">AVERAGE(I13:L13)</f>
        <v>0.285776945935851</v>
      </c>
      <c r="G13" s="7" t="str">
        <f aca="false">IF(N13&lt;=30,"YES","")</f>
        <v>YES</v>
      </c>
      <c r="I13" s="9" t="n">
        <f aca="false">'House Vote Data'!G22</f>
        <v>0.323281061519904</v>
      </c>
      <c r="J13" s="9" t="n">
        <f aca="false">'House Vote Data'!G23</f>
        <v>0.256608377389183</v>
      </c>
      <c r="K13" s="9" t="n">
        <f aca="false">'House Vote Data'!G24</f>
        <v>0.286006128702758</v>
      </c>
      <c r="L13" s="9" t="n">
        <f aca="false">'House Vote Data'!G25</f>
        <v>0.277212216131558</v>
      </c>
      <c r="M13" s="8" t="n">
        <f aca="false">E13+(1-D13)</f>
        <v>0.597528783049543</v>
      </c>
      <c r="N13" s="8" t="n">
        <f aca="false">RANK(M13,$M$8:$M$96,1)</f>
        <v>29</v>
      </c>
    </row>
    <row r="14" customFormat="false" ht="15" hidden="false" customHeight="true" outlineLevel="0" collapsed="false">
      <c r="A14" s="8" t="s">
        <v>63</v>
      </c>
      <c r="B14" s="8" t="s">
        <v>57</v>
      </c>
      <c r="C14" s="16" t="n">
        <f aca="false">SLOPE(I14:L14,$A$5:$D$5)</f>
        <v>1.88963119556967</v>
      </c>
      <c r="D14" s="16" t="n">
        <f aca="false">RSQ(I14:L14,$A$5:$D$5)</f>
        <v>0.918028193380051</v>
      </c>
      <c r="E14" s="16" t="n">
        <f aca="false">ABS(C14-1)</f>
        <v>0.889631195569668</v>
      </c>
      <c r="F14" s="9" t="n">
        <f aca="false">AVERAGE(I14:L14)</f>
        <v>0.446700687514864</v>
      </c>
      <c r="G14" s="7" t="str">
        <f aca="false">IF(N14&lt;=30,"YES","")</f>
        <v/>
      </c>
      <c r="I14" s="9" t="n">
        <f aca="false">'House Vote Data'!G26</f>
        <v>0.490059108006448</v>
      </c>
      <c r="J14" s="9" t="n">
        <f aca="false">'House Vote Data'!G27</f>
        <v>0.411331005044626</v>
      </c>
      <c r="K14" s="9" t="n">
        <f aca="false">'House Vote Data'!G28</f>
        <v>0.458333333333333</v>
      </c>
      <c r="L14" s="9" t="n">
        <f aca="false">'House Vote Data'!G29</f>
        <v>0.427079303675048</v>
      </c>
      <c r="M14" s="8" t="n">
        <f aca="false">E14+(1-D14)</f>
        <v>0.971603002189617</v>
      </c>
      <c r="N14" s="8" t="n">
        <f aca="false">RANK(M14,$M$8:$M$96,1)</f>
        <v>61</v>
      </c>
    </row>
    <row r="15" customFormat="false" ht="15" hidden="false" customHeight="true" outlineLevel="0" collapsed="false">
      <c r="A15" s="8" t="s">
        <v>64</v>
      </c>
      <c r="B15" s="8" t="s">
        <v>57</v>
      </c>
      <c r="C15" s="16" t="n">
        <f aca="false">SLOPE(I15:L15,$A$5:$D$5)</f>
        <v>0.79286036482056</v>
      </c>
      <c r="D15" s="16" t="n">
        <f aca="false">RSQ(I15:L15,$A$5:$D$5)</f>
        <v>0.534986079278234</v>
      </c>
      <c r="E15" s="16" t="n">
        <f aca="false">ABS(C15-1)</f>
        <v>0.20713963517944</v>
      </c>
      <c r="F15" s="9" t="n">
        <f aca="false">AVERAGE(I15:L15)</f>
        <v>0.330132514621399</v>
      </c>
      <c r="G15" s="7" t="str">
        <f aca="false">IF(N15&lt;=30,"YES","")</f>
        <v/>
      </c>
      <c r="I15" s="9" t="n">
        <f aca="false">'House Vote Data'!G30</f>
        <v>0.350393700787402</v>
      </c>
      <c r="J15" s="9" t="n">
        <f aca="false">'House Vote Data'!G31</f>
        <v>0.304268846503179</v>
      </c>
      <c r="K15" s="9" t="n">
        <f aca="false">'House Vote Data'!G32</f>
        <v>0.330943847072879</v>
      </c>
      <c r="L15" s="9" t="n">
        <f aca="false">'House Vote Data'!G33</f>
        <v>0.334923664122137</v>
      </c>
      <c r="M15" s="8" t="n">
        <f aca="false">E15+(1-D15)</f>
        <v>0.672153555901206</v>
      </c>
      <c r="N15" s="8" t="n">
        <f aca="false">RANK(M15,$M$8:$M$96,1)</f>
        <v>38</v>
      </c>
    </row>
    <row r="16" customFormat="false" ht="15" hidden="false" customHeight="true" outlineLevel="0" collapsed="false">
      <c r="A16" s="8" t="s">
        <v>65</v>
      </c>
      <c r="B16" s="8" t="s">
        <v>57</v>
      </c>
      <c r="C16" s="16" t="n">
        <f aca="false">SLOPE(I16:L16,$A$5:$D$5)</f>
        <v>2.28084450362734</v>
      </c>
      <c r="D16" s="16" t="n">
        <f aca="false">RSQ(I16:L16,$A$5:$D$5)</f>
        <v>0.902506529242134</v>
      </c>
      <c r="E16" s="16" t="n">
        <f aca="false">ABS(C16-1)</f>
        <v>1.28084450362734</v>
      </c>
      <c r="F16" s="9" t="n">
        <f aca="false">AVERAGE(I16:L16)</f>
        <v>0.432307339112754</v>
      </c>
      <c r="G16" s="7" t="str">
        <f aca="false">IF(N16&lt;=30,"YES","")</f>
        <v/>
      </c>
      <c r="I16" s="9" t="n">
        <f aca="false">'House Vote Data'!G34</f>
        <v>0.493492407809111</v>
      </c>
      <c r="J16" s="9" t="n">
        <f aca="false">'House Vote Data'!G35</f>
        <v>0.420547945205479</v>
      </c>
      <c r="K16" s="9" t="n">
        <f aca="false">'House Vote Data'!G36</f>
        <v>0.42</v>
      </c>
      <c r="L16" s="9" t="n">
        <f aca="false">'House Vote Data'!G37</f>
        <v>0.395189003436426</v>
      </c>
      <c r="M16" s="8" t="n">
        <f aca="false">E16+(1-D16)</f>
        <v>1.37833797438521</v>
      </c>
      <c r="N16" s="8" t="n">
        <f aca="false">RANK(M16,$M$8:$M$96,1)</f>
        <v>73</v>
      </c>
    </row>
    <row r="17" customFormat="false" ht="15" hidden="false" customHeight="true" outlineLevel="0" collapsed="false">
      <c r="A17" s="8" t="s">
        <v>66</v>
      </c>
      <c r="B17" s="8" t="s">
        <v>57</v>
      </c>
      <c r="C17" s="16" t="n">
        <f aca="false">SLOPE(I17:L17,$A$5:$D$5)</f>
        <v>1.37151693408764</v>
      </c>
      <c r="D17" s="16" t="n">
        <f aca="false">RSQ(I17:L17,$A$5:$D$5)</f>
        <v>0.710667017889073</v>
      </c>
      <c r="E17" s="16" t="n">
        <f aca="false">ABS(C17-1)</f>
        <v>0.371516934087639</v>
      </c>
      <c r="F17" s="9" t="n">
        <f aca="false">AVERAGE(I17:L17)</f>
        <v>0.300632559687274</v>
      </c>
      <c r="G17" s="7" t="str">
        <f aca="false">IF(N17&lt;=30,"YES","")</f>
        <v/>
      </c>
      <c r="I17" s="9" t="n">
        <f aca="false">'House Vote Data'!G38</f>
        <v>0.329545454545455</v>
      </c>
      <c r="J17" s="9" t="n">
        <f aca="false">'House Vote Data'!G39</f>
        <v>0.297872340425532</v>
      </c>
      <c r="K17" s="9" t="n">
        <f aca="false">'House Vote Data'!G40</f>
        <v>0.31304347826087</v>
      </c>
      <c r="L17" s="9" t="n">
        <f aca="false">'House Vote Data'!G41</f>
        <v>0.262068965517241</v>
      </c>
      <c r="M17" s="8" t="n">
        <f aca="false">E17+(1-D17)</f>
        <v>0.660849916198566</v>
      </c>
      <c r="N17" s="8" t="n">
        <f aca="false">RANK(M17,$M$8:$M$96,1)</f>
        <v>36</v>
      </c>
    </row>
    <row r="18" customFormat="false" ht="15" hidden="false" customHeight="true" outlineLevel="0" collapsed="false">
      <c r="A18" s="8" t="s">
        <v>67</v>
      </c>
      <c r="B18" s="8" t="s">
        <v>57</v>
      </c>
      <c r="C18" s="16" t="n">
        <f aca="false">SLOPE(I18:L18,$A$5:$D$5)</f>
        <v>0.0518016460512557</v>
      </c>
      <c r="D18" s="16" t="n">
        <f aca="false">RSQ(I18:L18,$A$5:$D$5)</f>
        <v>0.00479517685136877</v>
      </c>
      <c r="E18" s="16" t="n">
        <f aca="false">ABS(C18-1)</f>
        <v>0.948198353948744</v>
      </c>
      <c r="F18" s="9" t="n">
        <f aca="false">AVERAGE(I18:L18)</f>
        <v>0.203639561497434</v>
      </c>
      <c r="G18" s="7" t="str">
        <f aca="false">IF(N18&lt;=30,"YES","")</f>
        <v/>
      </c>
      <c r="I18" s="9" t="n">
        <f aca="false">'House Vote Data'!G42</f>
        <v>0.200980392156863</v>
      </c>
      <c r="J18" s="9" t="n">
        <f aca="false">'House Vote Data'!G43</f>
        <v>0.186131386861314</v>
      </c>
      <c r="K18" s="9" t="n">
        <f aca="false">'House Vote Data'!G44</f>
        <v>0.215767634854772</v>
      </c>
      <c r="L18" s="9" t="n">
        <f aca="false">'House Vote Data'!G45</f>
        <v>0.211678832116788</v>
      </c>
      <c r="M18" s="8" t="n">
        <f aca="false">E18+(1-D18)</f>
        <v>1.94340317709738</v>
      </c>
      <c r="N18" s="8" t="n">
        <f aca="false">RANK(M18,$M$8:$M$96,1)</f>
        <v>85</v>
      </c>
    </row>
    <row r="19" customFormat="false" ht="15" hidden="false" customHeight="true" outlineLevel="0" collapsed="false">
      <c r="A19" s="8" t="s">
        <v>68</v>
      </c>
      <c r="B19" s="8" t="s">
        <v>57</v>
      </c>
      <c r="C19" s="16" t="n">
        <f aca="false">SLOPE(I19:L19,$A$5:$D$5)</f>
        <v>2.26898720863794</v>
      </c>
      <c r="D19" s="16" t="n">
        <f aca="false">RSQ(I19:L19,$A$5:$D$5)</f>
        <v>0.917745537882735</v>
      </c>
      <c r="E19" s="16" t="n">
        <f aca="false">ABS(C19-1)</f>
        <v>1.26898720863794</v>
      </c>
      <c r="F19" s="9" t="n">
        <f aca="false">AVERAGE(I19:L19)</f>
        <v>0.414808169552878</v>
      </c>
      <c r="G19" s="7" t="str">
        <f aca="false">IF(N19&lt;=30,"YES","")</f>
        <v/>
      </c>
      <c r="I19" s="9" t="n">
        <f aca="false">'House Vote Data'!G46</f>
        <v>0.465829846582985</v>
      </c>
      <c r="J19" s="9" t="n">
        <f aca="false">'House Vote Data'!G47</f>
        <v>0.373611728120835</v>
      </c>
      <c r="K19" s="9" t="n">
        <f aca="false">'House Vote Data'!G48</f>
        <v>0.43131373725255</v>
      </c>
      <c r="L19" s="9" t="n">
        <f aca="false">'House Vote Data'!G49</f>
        <v>0.388477366255144</v>
      </c>
      <c r="M19" s="8" t="n">
        <f aca="false">E19+(1-D19)</f>
        <v>1.3512416707552</v>
      </c>
      <c r="N19" s="8" t="n">
        <f aca="false">RANK(M19,$M$8:$M$96,1)</f>
        <v>71</v>
      </c>
    </row>
    <row r="20" customFormat="false" ht="15" hidden="false" customHeight="true" outlineLevel="0" collapsed="false">
      <c r="A20" s="8" t="s">
        <v>69</v>
      </c>
      <c r="B20" s="8" t="s">
        <v>57</v>
      </c>
      <c r="C20" s="16" t="n">
        <f aca="false">SLOPE(I20:L20,$A$5:$D$5)</f>
        <v>2.11896990368702</v>
      </c>
      <c r="D20" s="16" t="n">
        <f aca="false">RSQ(I20:L20,$A$5:$D$5)</f>
        <v>0.993538260850966</v>
      </c>
      <c r="E20" s="16" t="n">
        <f aca="false">ABS(C20-1)</f>
        <v>1.11896990368702</v>
      </c>
      <c r="F20" s="9" t="n">
        <f aca="false">AVERAGE(I20:L20)</f>
        <v>0.317405319977375</v>
      </c>
      <c r="G20" s="7" t="str">
        <f aca="false">IF(N20&lt;=30,"YES","")</f>
        <v/>
      </c>
      <c r="I20" s="9" t="n">
        <f aca="false">'House Vote Data'!G50</f>
        <v>0.369485294117647</v>
      </c>
      <c r="J20" s="9" t="n">
        <f aca="false">'House Vote Data'!G51</f>
        <v>0.295825771324864</v>
      </c>
      <c r="K20" s="9" t="n">
        <f aca="false">'House Vote Data'!G52</f>
        <v>0.319465081723626</v>
      </c>
      <c r="L20" s="9" t="n">
        <f aca="false">'House Vote Data'!G53</f>
        <v>0.284845132743363</v>
      </c>
      <c r="M20" s="8" t="n">
        <f aca="false">E20+(1-D20)</f>
        <v>1.12543164283606</v>
      </c>
      <c r="N20" s="8" t="n">
        <f aca="false">RANK(M20,$M$8:$M$96,1)</f>
        <v>68</v>
      </c>
    </row>
    <row r="21" customFormat="false" ht="15" hidden="false" customHeight="true" outlineLevel="0" collapsed="false">
      <c r="A21" s="8" t="s">
        <v>70</v>
      </c>
      <c r="B21" s="8" t="s">
        <v>57</v>
      </c>
      <c r="C21" s="16" t="n">
        <f aca="false">SLOPE(I21:L21,$A$5:$D$5)</f>
        <v>1.82225889720591</v>
      </c>
      <c r="D21" s="16" t="n">
        <f aca="false">RSQ(I21:L21,$A$5:$D$5)</f>
        <v>0.882784118906269</v>
      </c>
      <c r="E21" s="16" t="n">
        <f aca="false">ABS(C21-1)</f>
        <v>0.822258897205906</v>
      </c>
      <c r="F21" s="9" t="n">
        <f aca="false">AVERAGE(I21:L21)</f>
        <v>0.302676313604592</v>
      </c>
      <c r="G21" s="7" t="str">
        <f aca="false">IF(N21&lt;=30,"YES","")</f>
        <v/>
      </c>
      <c r="I21" s="9" t="n">
        <f aca="false">'House Vote Data'!G54</f>
        <v>0.346938775510204</v>
      </c>
      <c r="J21" s="9" t="n">
        <f aca="false">'House Vote Data'!G55</f>
        <v>0.265315739868049</v>
      </c>
      <c r="K21" s="9" t="n">
        <f aca="false">'House Vote Data'!G56</f>
        <v>0.307952622673435</v>
      </c>
      <c r="L21" s="9" t="n">
        <f aca="false">'House Vote Data'!G57</f>
        <v>0.290498116366681</v>
      </c>
      <c r="M21" s="8" t="n">
        <f aca="false">E21+(1-D21)</f>
        <v>0.939474778299637</v>
      </c>
      <c r="N21" s="8" t="n">
        <f aca="false">RANK(M21,$M$8:$M$96,1)</f>
        <v>57</v>
      </c>
    </row>
    <row r="22" customFormat="false" ht="15" hidden="false" customHeight="true" outlineLevel="0" collapsed="false">
      <c r="A22" s="8" t="s">
        <v>71</v>
      </c>
      <c r="B22" s="8" t="s">
        <v>57</v>
      </c>
      <c r="C22" s="16" t="n">
        <f aca="false">SLOPE(I22:L22,$A$5:$D$5)</f>
        <v>2.595113993354</v>
      </c>
      <c r="D22" s="16" t="n">
        <f aca="false">RSQ(I22:L22,$A$5:$D$5)</f>
        <v>0.970139556969197</v>
      </c>
      <c r="E22" s="16" t="n">
        <f aca="false">ABS(C22-1)</f>
        <v>1.595113993354</v>
      </c>
      <c r="F22" s="9" t="n">
        <f aca="false">AVERAGE(I22:L22)</f>
        <v>0.411605814676528</v>
      </c>
      <c r="G22" s="7" t="str">
        <f aca="false">IF(N22&lt;=30,"YES","")</f>
        <v/>
      </c>
      <c r="I22" s="9" t="n">
        <f aca="false">'House Vote Data'!G58</f>
        <v>0.478011472275335</v>
      </c>
      <c r="J22" s="9" t="n">
        <f aca="false">'House Vote Data'!G59</f>
        <v>0.373454782042941</v>
      </c>
      <c r="K22" s="9" t="n">
        <f aca="false">'House Vote Data'!G60</f>
        <v>0.408710217755444</v>
      </c>
      <c r="L22" s="9" t="n">
        <f aca="false">'House Vote Data'!G61</f>
        <v>0.386246786632391</v>
      </c>
      <c r="M22" s="8" t="n">
        <f aca="false">E22+(1-D22)</f>
        <v>1.62497443638481</v>
      </c>
      <c r="N22" s="8" t="n">
        <f aca="false">RANK(M22,$M$8:$M$96,1)</f>
        <v>80</v>
      </c>
    </row>
    <row r="23" customFormat="false" ht="15" hidden="false" customHeight="true" outlineLevel="0" collapsed="false">
      <c r="A23" s="8" t="s">
        <v>72</v>
      </c>
      <c r="B23" s="8" t="s">
        <v>57</v>
      </c>
      <c r="C23" s="16" t="n">
        <f aca="false">SLOPE(I23:L23,$A$5:$D$5)</f>
        <v>0.992151014076085</v>
      </c>
      <c r="D23" s="16" t="n">
        <f aca="false">RSQ(I23:L23,$A$5:$D$5)</f>
        <v>0.398343583285223</v>
      </c>
      <c r="E23" s="16" t="n">
        <f aca="false">ABS(C23-1)</f>
        <v>0.00784898592391514</v>
      </c>
      <c r="F23" s="9" t="n">
        <f aca="false">AVERAGE(I23:L23)</f>
        <v>0.196901650695234</v>
      </c>
      <c r="G23" s="7" t="str">
        <f aca="false">IF(N23&lt;=30,"YES","")</f>
        <v>YES</v>
      </c>
      <c r="I23" s="9" t="n">
        <f aca="false">'House Vote Data'!G62</f>
        <v>0.229813664596273</v>
      </c>
      <c r="J23" s="9" t="n">
        <f aca="false">'House Vote Data'!G63</f>
        <v>0.1703125</v>
      </c>
      <c r="K23" s="9" t="n">
        <f aca="false">'House Vote Data'!G64</f>
        <v>0.177777777777778</v>
      </c>
      <c r="L23" s="9" t="n">
        <f aca="false">'House Vote Data'!G65</f>
        <v>0.209702660406886</v>
      </c>
      <c r="M23" s="8" t="n">
        <f aca="false">E23+(1-D23)</f>
        <v>0.609505402638692</v>
      </c>
      <c r="N23" s="8" t="n">
        <f aca="false">RANK(M23,$M$8:$M$96,1)</f>
        <v>30</v>
      </c>
    </row>
    <row r="24" customFormat="false" ht="15" hidden="false" customHeight="true" outlineLevel="0" collapsed="false">
      <c r="A24" s="8" t="s">
        <v>73</v>
      </c>
      <c r="B24" s="8" t="s">
        <v>57</v>
      </c>
      <c r="C24" s="16" t="n">
        <f aca="false">SLOPE(I24:L24,$A$5:$D$5)</f>
        <v>1.65972106467508</v>
      </c>
      <c r="D24" s="16" t="n">
        <f aca="false">RSQ(I24:L24,$A$5:$D$5)</f>
        <v>0.86818700932132</v>
      </c>
      <c r="E24" s="16" t="n">
        <f aca="false">ABS(C24-1)</f>
        <v>0.659721064675081</v>
      </c>
      <c r="F24" s="9" t="n">
        <f aca="false">AVERAGE(I24:L24)</f>
        <v>0.374776357608625</v>
      </c>
      <c r="G24" s="7" t="str">
        <f aca="false">IF(N24&lt;=30,"YES","")</f>
        <v/>
      </c>
      <c r="I24" s="9" t="n">
        <f aca="false">'House Vote Data'!G66</f>
        <v>0.412612612612613</v>
      </c>
      <c r="J24" s="9" t="n">
        <f aca="false">'House Vote Data'!G67</f>
        <v>0.339897597479323</v>
      </c>
      <c r="K24" s="9" t="n">
        <f aca="false">'House Vote Data'!G68</f>
        <v>0.386066003143007</v>
      </c>
      <c r="L24" s="9" t="n">
        <f aca="false">'House Vote Data'!G69</f>
        <v>0.360529217199559</v>
      </c>
      <c r="M24" s="8" t="n">
        <f aca="false">E24+(1-D24)</f>
        <v>0.791534055353761</v>
      </c>
      <c r="N24" s="8" t="n">
        <f aca="false">RANK(M24,$M$8:$M$96,1)</f>
        <v>45</v>
      </c>
    </row>
    <row r="25" customFormat="false" ht="15" hidden="false" customHeight="true" outlineLevel="0" collapsed="false">
      <c r="A25" s="8" t="s">
        <v>74</v>
      </c>
      <c r="B25" s="8" t="s">
        <v>57</v>
      </c>
      <c r="C25" s="16" t="n">
        <f aca="false">SLOPE(I25:L25,$A$5:$D$5)</f>
        <v>1.1251014174641</v>
      </c>
      <c r="D25" s="16" t="n">
        <f aca="false">RSQ(I25:L25,$A$5:$D$5)</f>
        <v>0.262138899613821</v>
      </c>
      <c r="E25" s="16" t="n">
        <f aca="false">ABS(C25-1)</f>
        <v>0.125101417464096</v>
      </c>
      <c r="F25" s="9" t="n">
        <f aca="false">AVERAGE(I25:L25)</f>
        <v>0.28623540958693</v>
      </c>
      <c r="G25" s="7" t="str">
        <f aca="false">IF(N25&lt;=30,"YES","")</f>
        <v/>
      </c>
      <c r="I25" s="9" t="n">
        <f aca="false">'House Vote Data'!G70</f>
        <v>0.321212121212121</v>
      </c>
      <c r="J25" s="9" t="n">
        <f aca="false">'House Vote Data'!G71</f>
        <v>0.237442922374429</v>
      </c>
      <c r="K25" s="9" t="n">
        <f aca="false">'House Vote Data'!G72</f>
        <v>0.272727272727273</v>
      </c>
      <c r="L25" s="9" t="n">
        <f aca="false">'House Vote Data'!G73</f>
        <v>0.313559322033898</v>
      </c>
      <c r="M25" s="8" t="n">
        <f aca="false">E25+(1-D25)</f>
        <v>0.862962517850274</v>
      </c>
      <c r="N25" s="8" t="n">
        <f aca="false">RANK(M25,$M$8:$M$96,1)</f>
        <v>53</v>
      </c>
    </row>
    <row r="26" customFormat="false" ht="15" hidden="false" customHeight="true" outlineLevel="0" collapsed="false">
      <c r="A26" s="8" t="s">
        <v>75</v>
      </c>
      <c r="B26" s="8" t="s">
        <v>57</v>
      </c>
      <c r="C26" s="16" t="n">
        <f aca="false">SLOPE(I26:L26,$A$5:$D$5)</f>
        <v>1.34121653462438</v>
      </c>
      <c r="D26" s="16" t="n">
        <f aca="false">RSQ(I26:L26,$A$5:$D$5)</f>
        <v>0.893069305788528</v>
      </c>
      <c r="E26" s="16" t="n">
        <f aca="false">ABS(C26-1)</f>
        <v>0.341216534624383</v>
      </c>
      <c r="F26" s="9" t="n">
        <f aca="false">AVERAGE(I26:L26)</f>
        <v>0.374089368771831</v>
      </c>
      <c r="G26" s="7" t="str">
        <f aca="false">IF(N26&lt;=30,"YES","")</f>
        <v>YES</v>
      </c>
      <c r="I26" s="9" t="n">
        <f aca="false">'House Vote Data'!G74</f>
        <v>0.411265213699406</v>
      </c>
      <c r="J26" s="9" t="n">
        <f aca="false">'House Vote Data'!G75</f>
        <v>0.365015536464997</v>
      </c>
      <c r="K26" s="9" t="n">
        <f aca="false">'House Vote Data'!G76</f>
        <v>0.364014801110083</v>
      </c>
      <c r="L26" s="9" t="n">
        <f aca="false">'House Vote Data'!G77</f>
        <v>0.356061923812837</v>
      </c>
      <c r="M26" s="8" t="n">
        <f aca="false">E26+(1-D26)</f>
        <v>0.448147228835855</v>
      </c>
      <c r="N26" s="8" t="n">
        <f aca="false">RANK(M26,$M$8:$M$96,1)</f>
        <v>21</v>
      </c>
    </row>
    <row r="27" customFormat="false" ht="15" hidden="false" customHeight="true" outlineLevel="0" collapsed="false">
      <c r="A27" s="8" t="s">
        <v>76</v>
      </c>
      <c r="B27" s="8" t="s">
        <v>57</v>
      </c>
      <c r="C27" s="16" t="n">
        <f aca="false">SLOPE(I27:L27,$A$5:$D$5)</f>
        <v>2.49081890987326</v>
      </c>
      <c r="D27" s="16" t="n">
        <f aca="false">RSQ(I27:L27,$A$5:$D$5)</f>
        <v>0.962985902052551</v>
      </c>
      <c r="E27" s="16" t="n">
        <f aca="false">ABS(C27-1)</f>
        <v>1.49081890987326</v>
      </c>
      <c r="F27" s="9" t="n">
        <f aca="false">AVERAGE(I27:L27)</f>
        <v>0.444814367380901</v>
      </c>
      <c r="G27" s="7" t="str">
        <f aca="false">IF(N27&lt;=30,"YES","")</f>
        <v/>
      </c>
      <c r="I27" s="9" t="n">
        <f aca="false">'House Vote Data'!G78</f>
        <v>0.505281690140845</v>
      </c>
      <c r="J27" s="9" t="n">
        <f aca="false">'House Vote Data'!G79</f>
        <v>0.403383214053351</v>
      </c>
      <c r="K27" s="9" t="n">
        <f aca="false">'House Vote Data'!G80</f>
        <v>0.451012145748988</v>
      </c>
      <c r="L27" s="9" t="n">
        <f aca="false">'House Vote Data'!G81</f>
        <v>0.41958041958042</v>
      </c>
      <c r="M27" s="8" t="n">
        <f aca="false">E27+(1-D27)</f>
        <v>1.52783300782071</v>
      </c>
      <c r="N27" s="8" t="n">
        <f aca="false">RANK(M27,$M$8:$M$96,1)</f>
        <v>76</v>
      </c>
    </row>
    <row r="28" customFormat="false" ht="15" hidden="false" customHeight="true" outlineLevel="0" collapsed="false">
      <c r="A28" s="8" t="s">
        <v>77</v>
      </c>
      <c r="B28" s="8" t="s">
        <v>57</v>
      </c>
      <c r="C28" s="16" t="n">
        <f aca="false">SLOPE(I28:L28,$A$5:$D$5)</f>
        <v>1.74851245757498</v>
      </c>
      <c r="D28" s="16" t="n">
        <f aca="false">RSQ(I28:L28,$A$5:$D$5)</f>
        <v>0.89723037098751</v>
      </c>
      <c r="E28" s="16" t="n">
        <f aca="false">ABS(C28-1)</f>
        <v>0.74851245757498</v>
      </c>
      <c r="F28" s="9" t="n">
        <f aca="false">AVERAGE(I28:L28)</f>
        <v>0.302788316082723</v>
      </c>
      <c r="G28" s="7" t="str">
        <f aca="false">IF(N28&lt;=30,"YES","")</f>
        <v/>
      </c>
      <c r="I28" s="9" t="n">
        <f aca="false">'House Vote Data'!G82</f>
        <v>0.350485991995426</v>
      </c>
      <c r="J28" s="9" t="n">
        <f aca="false">'House Vote Data'!G83</f>
        <v>0.276481835564054</v>
      </c>
      <c r="K28" s="9" t="n">
        <f aca="false">'House Vote Data'!G84</f>
        <v>0.293289535429376</v>
      </c>
      <c r="L28" s="9" t="n">
        <f aca="false">'House Vote Data'!G85</f>
        <v>0.290895901342038</v>
      </c>
      <c r="M28" s="8" t="n">
        <f aca="false">E28+(1-D28)</f>
        <v>0.85128208658747</v>
      </c>
      <c r="N28" s="8" t="n">
        <f aca="false">RANK(M28,$M$8:$M$96,1)</f>
        <v>51</v>
      </c>
    </row>
    <row r="29" customFormat="false" ht="15" hidden="false" customHeight="true" outlineLevel="0" collapsed="false">
      <c r="A29" s="8" t="s">
        <v>78</v>
      </c>
      <c r="B29" s="8" t="s">
        <v>57</v>
      </c>
      <c r="C29" s="16" t="n">
        <f aca="false">SLOPE(I29:L29,$A$5:$D$5)</f>
        <v>1.11388969067823</v>
      </c>
      <c r="D29" s="16" t="n">
        <f aca="false">RSQ(I29:L29,$A$5:$D$5)</f>
        <v>0.580448363710175</v>
      </c>
      <c r="E29" s="16" t="n">
        <f aca="false">ABS(C29-1)</f>
        <v>0.113889690678232</v>
      </c>
      <c r="F29" s="9" t="n">
        <f aca="false">AVERAGE(I29:L29)</f>
        <v>0.287817850728569</v>
      </c>
      <c r="G29" s="7" t="str">
        <f aca="false">IF(N29&lt;=30,"YES","")</f>
        <v>YES</v>
      </c>
      <c r="I29" s="9" t="n">
        <f aca="false">'House Vote Data'!G86</f>
        <v>0.322314049586777</v>
      </c>
      <c r="J29" s="9" t="n">
        <f aca="false">'House Vote Data'!G87</f>
        <v>0.264537264537265</v>
      </c>
      <c r="K29" s="9" t="n">
        <f aca="false">'House Vote Data'!G88</f>
        <v>0.271920088790233</v>
      </c>
      <c r="L29" s="9" t="n">
        <f aca="false">'House Vote Data'!G89</f>
        <v>0.2925</v>
      </c>
      <c r="M29" s="8" t="n">
        <f aca="false">E29+(1-D29)</f>
        <v>0.533441326968057</v>
      </c>
      <c r="N29" s="8" t="n">
        <f aca="false">RANK(M29,$M$8:$M$96,1)</f>
        <v>24</v>
      </c>
    </row>
    <row r="30" customFormat="false" ht="15" hidden="false" customHeight="true" outlineLevel="0" collapsed="false">
      <c r="A30" s="8" t="s">
        <v>79</v>
      </c>
      <c r="B30" s="8" t="s">
        <v>57</v>
      </c>
      <c r="C30" s="16" t="n">
        <f aca="false">SLOPE(I30:L30,$A$5:$D$5)</f>
        <v>3.53885512038513</v>
      </c>
      <c r="D30" s="16" t="n">
        <f aca="false">RSQ(I30:L30,$A$5:$D$5)</f>
        <v>0.876290620142233</v>
      </c>
      <c r="E30" s="16" t="n">
        <f aca="false">ABS(C30-1)</f>
        <v>2.53885512038513</v>
      </c>
      <c r="F30" s="9" t="n">
        <f aca="false">AVERAGE(I30:L30)</f>
        <v>0.432815265165371</v>
      </c>
      <c r="G30" s="7" t="str">
        <f aca="false">IF(N30&lt;=30,"YES","")</f>
        <v/>
      </c>
      <c r="I30" s="9" t="n">
        <f aca="false">'House Vote Data'!G90</f>
        <v>0.510204081632653</v>
      </c>
      <c r="J30" s="9" t="n">
        <f aca="false">'House Vote Data'!G91</f>
        <v>0.405228758169935</v>
      </c>
      <c r="K30" s="9" t="n">
        <f aca="false">'House Vote Data'!G92</f>
        <v>0.46</v>
      </c>
      <c r="L30" s="9" t="n">
        <f aca="false">'House Vote Data'!G93</f>
        <v>0.355828220858896</v>
      </c>
      <c r="M30" s="8" t="n">
        <f aca="false">E30+(1-D30)</f>
        <v>2.6625645002429</v>
      </c>
      <c r="N30" s="8" t="n">
        <f aca="false">RANK(M30,$M$8:$M$96,1)</f>
        <v>89</v>
      </c>
    </row>
    <row r="31" customFormat="false" ht="15" hidden="false" customHeight="true" outlineLevel="0" collapsed="false">
      <c r="A31" s="8" t="s">
        <v>80</v>
      </c>
      <c r="B31" s="8" t="s">
        <v>81</v>
      </c>
      <c r="C31" s="16" t="n">
        <f aca="false">SLOPE(I31:L31,$A$5:$D$5)</f>
        <v>2.02045043106919</v>
      </c>
      <c r="D31" s="16" t="n">
        <f aca="false">RSQ(I31:L31,$A$5:$D$5)</f>
        <v>0.923499784980338</v>
      </c>
      <c r="E31" s="16" t="n">
        <f aca="false">ABS(C31-1)</f>
        <v>1.02045043106919</v>
      </c>
      <c r="F31" s="9" t="n">
        <f aca="false">AVERAGE(I31:L31)</f>
        <v>0.48055533340665</v>
      </c>
      <c r="G31" s="7" t="str">
        <f aca="false">IF(N31&lt;=30,"YES","")</f>
        <v/>
      </c>
      <c r="I31" s="9" t="n">
        <f aca="false">'House Vote Data'!G94</f>
        <v>0.527906976744186</v>
      </c>
      <c r="J31" s="9" t="n">
        <f aca="false">'House Vote Data'!G95</f>
        <v>0.467005076142132</v>
      </c>
      <c r="K31" s="9" t="n">
        <f aca="false">'House Vote Data'!G96</f>
        <v>0.487660414610069</v>
      </c>
      <c r="L31" s="9" t="n">
        <f aca="false">'House Vote Data'!G97</f>
        <v>0.439648866130212</v>
      </c>
      <c r="M31" s="8" t="n">
        <f aca="false">E31+(1-D31)</f>
        <v>1.09695064608885</v>
      </c>
      <c r="N31" s="8" t="n">
        <f aca="false">RANK(M31,$M$8:$M$96,1)</f>
        <v>66</v>
      </c>
    </row>
    <row r="32" customFormat="false" ht="15" hidden="false" customHeight="true" outlineLevel="0" collapsed="false">
      <c r="A32" s="8" t="s">
        <v>82</v>
      </c>
      <c r="B32" s="8" t="s">
        <v>81</v>
      </c>
      <c r="C32" s="16" t="n">
        <f aca="false">SLOPE(I32:L32,$A$5:$D$5)</f>
        <v>1.78633197507391</v>
      </c>
      <c r="D32" s="16" t="n">
        <f aca="false">RSQ(I32:L32,$A$5:$D$5)</f>
        <v>0.819607617114293</v>
      </c>
      <c r="E32" s="16" t="n">
        <f aca="false">ABS(C32-1)</f>
        <v>0.786331975073908</v>
      </c>
      <c r="F32" s="9" t="n">
        <f aca="false">AVERAGE(I32:L32)</f>
        <v>0.685303652241092</v>
      </c>
      <c r="G32" s="7" t="str">
        <f aca="false">IF(N32&lt;=30,"YES","")</f>
        <v/>
      </c>
      <c r="I32" s="9" t="n">
        <f aca="false">'House Vote Data'!G98</f>
        <v>0.73070432868672</v>
      </c>
      <c r="J32" s="9" t="n">
        <f aca="false">'House Vote Data'!G99</f>
        <v>0.6835901198337</v>
      </c>
      <c r="K32" s="9" t="n">
        <f aca="false">'House Vote Data'!G100</f>
        <v>0.681297939841773</v>
      </c>
      <c r="L32" s="9" t="n">
        <f aca="false">'House Vote Data'!G101</f>
        <v>0.645622220602172</v>
      </c>
      <c r="M32" s="8" t="n">
        <f aca="false">E32+(1-D32)</f>
        <v>0.966724357959616</v>
      </c>
      <c r="N32" s="8" t="n">
        <f aca="false">RANK(M32,$M$8:$M$96,1)</f>
        <v>60</v>
      </c>
    </row>
    <row r="33" customFormat="false" ht="15" hidden="false" customHeight="true" outlineLevel="0" collapsed="false">
      <c r="A33" s="8" t="s">
        <v>83</v>
      </c>
      <c r="B33" s="8" t="s">
        <v>81</v>
      </c>
      <c r="C33" s="16" t="n">
        <f aca="false">SLOPE(I33:L33,$A$5:$D$5)</f>
        <v>1.06033825041085</v>
      </c>
      <c r="D33" s="16" t="n">
        <f aca="false">RSQ(I33:L33,$A$5:$D$5)</f>
        <v>0.923233099737065</v>
      </c>
      <c r="E33" s="16" t="n">
        <f aca="false">ABS(C33-1)</f>
        <v>0.0603382504108501</v>
      </c>
      <c r="F33" s="9" t="n">
        <f aca="false">AVERAGE(I33:L33)</f>
        <v>0.648188918268791</v>
      </c>
      <c r="G33" s="7" t="str">
        <f aca="false">IF(N33&lt;=30,"YES","")</f>
        <v>YES</v>
      </c>
      <c r="I33" s="9" t="n">
        <f aca="false">'House Vote Data'!G102</f>
        <v>0.671428571428571</v>
      </c>
      <c r="J33" s="9" t="n">
        <f aca="false">'House Vote Data'!G103</f>
        <v>0.631153133833707</v>
      </c>
      <c r="K33" s="9" t="n">
        <f aca="false">'House Vote Data'!G104</f>
        <v>0.657204410087441</v>
      </c>
      <c r="L33" s="9" t="n">
        <f aca="false">'House Vote Data'!G105</f>
        <v>0.632969557725445</v>
      </c>
      <c r="M33" s="8" t="n">
        <f aca="false">E33+(1-D33)</f>
        <v>0.137105150673785</v>
      </c>
      <c r="N33" s="8" t="n">
        <f aca="false">RANK(M33,$M$8:$M$96,1)</f>
        <v>3</v>
      </c>
    </row>
    <row r="34" customFormat="false" ht="15" hidden="false" customHeight="true" outlineLevel="0" collapsed="false">
      <c r="A34" s="8" t="s">
        <v>84</v>
      </c>
      <c r="B34" s="8" t="s">
        <v>81</v>
      </c>
      <c r="C34" s="16" t="n">
        <f aca="false">SLOPE(I34:L34,$A$5:$D$5)</f>
        <v>1.81609634472267</v>
      </c>
      <c r="D34" s="16" t="n">
        <f aca="false">RSQ(I34:L34,$A$5:$D$5)</f>
        <v>0.999962054200872</v>
      </c>
      <c r="E34" s="16" t="n">
        <f aca="false">ABS(C34-1)</f>
        <v>0.816096344722668</v>
      </c>
      <c r="F34" s="9" t="n">
        <f aca="false">AVERAGE(I34:L34)</f>
        <v>0.535971789165492</v>
      </c>
      <c r="G34" s="7" t="str">
        <f aca="false">IF(N34&lt;=30,"YES","")</f>
        <v/>
      </c>
      <c r="I34" s="9" t="n">
        <f aca="false">'House Vote Data'!G106</f>
        <v>0.580694586312564</v>
      </c>
      <c r="J34" s="9" t="n">
        <f aca="false">'House Vote Data'!G107</f>
        <v>0.513970110461339</v>
      </c>
      <c r="K34" s="9" t="n">
        <f aca="false">'House Vote Data'!G108</f>
        <v>0.537914691943128</v>
      </c>
      <c r="L34" s="9" t="n">
        <f aca="false">'House Vote Data'!G109</f>
        <v>0.511307767944936</v>
      </c>
      <c r="M34" s="8" t="n">
        <f aca="false">E34+(1-D34)</f>
        <v>0.816134290521796</v>
      </c>
      <c r="N34" s="8" t="n">
        <f aca="false">RANK(M34,$M$8:$M$96,1)</f>
        <v>49</v>
      </c>
    </row>
    <row r="35" customFormat="false" ht="15" hidden="false" customHeight="true" outlineLevel="0" collapsed="false">
      <c r="A35" s="8" t="s">
        <v>85</v>
      </c>
      <c r="B35" s="8" t="s">
        <v>81</v>
      </c>
      <c r="C35" s="16" t="n">
        <f aca="false">SLOPE(I35:L35,$A$5:$D$5)</f>
        <v>1.62676349392539</v>
      </c>
      <c r="D35" s="16" t="n">
        <f aca="false">RSQ(I35:L35,$A$5:$D$5)</f>
        <v>0.938996569639684</v>
      </c>
      <c r="E35" s="16" t="n">
        <f aca="false">ABS(C35-1)</f>
        <v>0.626763493925389</v>
      </c>
      <c r="F35" s="9" t="n">
        <f aca="false">AVERAGE(I35:L35)</f>
        <v>0.498213009841276</v>
      </c>
      <c r="G35" s="7" t="str">
        <f aca="false">IF(N35&lt;=30,"YES","")</f>
        <v/>
      </c>
      <c r="I35" s="9" t="n">
        <f aca="false">'House Vote Data'!G110</f>
        <v>0.534932221063608</v>
      </c>
      <c r="J35" s="9" t="n">
        <f aca="false">'House Vote Data'!G111</f>
        <v>0.470903010033445</v>
      </c>
      <c r="K35" s="9" t="n">
        <f aca="false">'House Vote Data'!G112</f>
        <v>0.509433962264151</v>
      </c>
      <c r="L35" s="9" t="n">
        <f aca="false">'House Vote Data'!G113</f>
        <v>0.477582846003899</v>
      </c>
      <c r="M35" s="8" t="n">
        <f aca="false">E35+(1-D35)</f>
        <v>0.687766924285705</v>
      </c>
      <c r="N35" s="8" t="n">
        <f aca="false">RANK(M35,$M$8:$M$96,1)</f>
        <v>40</v>
      </c>
    </row>
    <row r="36" customFormat="false" ht="15" hidden="false" customHeight="true" outlineLevel="0" collapsed="false">
      <c r="A36" s="8" t="s">
        <v>86</v>
      </c>
      <c r="B36" s="8" t="s">
        <v>81</v>
      </c>
      <c r="C36" s="16" t="n">
        <f aca="false">SLOPE(I36:L36,$A$5:$D$5)</f>
        <v>1.623028463801</v>
      </c>
      <c r="D36" s="16" t="n">
        <f aca="false">RSQ(I36:L36,$A$5:$D$5)</f>
        <v>0.976575470202516</v>
      </c>
      <c r="E36" s="16" t="n">
        <f aca="false">ABS(C36-1)</f>
        <v>0.623028463800997</v>
      </c>
      <c r="F36" s="9" t="n">
        <f aca="false">AVERAGE(I36:L36)</f>
        <v>0.524259156168924</v>
      </c>
      <c r="G36" s="7" t="str">
        <f aca="false">IF(N36&lt;=30,"YES","")</f>
        <v/>
      </c>
      <c r="I36" s="9" t="n">
        <f aca="false">'House Vote Data'!G114</f>
        <v>0.561702127659575</v>
      </c>
      <c r="J36" s="9" t="n">
        <f aca="false">'House Vote Data'!G115</f>
        <v>0.502288329519451</v>
      </c>
      <c r="K36" s="9" t="n">
        <f aca="false">'House Vote Data'!G116</f>
        <v>0.532767925983038</v>
      </c>
      <c r="L36" s="9" t="n">
        <f aca="false">'House Vote Data'!G117</f>
        <v>0.500278241513634</v>
      </c>
      <c r="M36" s="8" t="n">
        <f aca="false">E36+(1-D36)</f>
        <v>0.646452993598481</v>
      </c>
      <c r="N36" s="8" t="n">
        <f aca="false">RANK(M36,$M$8:$M$96,1)</f>
        <v>33</v>
      </c>
    </row>
    <row r="37" customFormat="false" ht="15" hidden="false" customHeight="true" outlineLevel="0" collapsed="false">
      <c r="A37" s="8" t="s">
        <v>87</v>
      </c>
      <c r="B37" s="8" t="s">
        <v>81</v>
      </c>
      <c r="C37" s="16" t="n">
        <f aca="false">SLOPE(I37:L37,$A$5:$D$5)</f>
        <v>0.735737864586885</v>
      </c>
      <c r="D37" s="16" t="n">
        <f aca="false">RSQ(I37:L37,$A$5:$D$5)</f>
        <v>0.612117877600777</v>
      </c>
      <c r="E37" s="16" t="n">
        <f aca="false">ABS(C37-1)</f>
        <v>0.264262135413115</v>
      </c>
      <c r="F37" s="9" t="n">
        <f aca="false">AVERAGE(I37:L37)</f>
        <v>0.541822300867192</v>
      </c>
      <c r="G37" s="7" t="str">
        <f aca="false">IF(N37&lt;=30,"YES","")</f>
        <v/>
      </c>
      <c r="I37" s="9" t="n">
        <f aca="false">'House Vote Data'!G118</f>
        <v>0.554568238778765</v>
      </c>
      <c r="J37" s="9" t="n">
        <f aca="false">'House Vote Data'!G119</f>
        <v>0.524339360222531</v>
      </c>
      <c r="K37" s="9" t="n">
        <f aca="false">'House Vote Data'!G120</f>
        <v>0.557435090479937</v>
      </c>
      <c r="L37" s="9" t="n">
        <f aca="false">'House Vote Data'!G121</f>
        <v>0.530946513987535</v>
      </c>
      <c r="M37" s="8" t="n">
        <f aca="false">E37+(1-D37)</f>
        <v>0.652144257812338</v>
      </c>
      <c r="N37" s="8" t="n">
        <f aca="false">RANK(M37,$M$8:$M$96,1)</f>
        <v>34</v>
      </c>
    </row>
    <row r="38" customFormat="false" ht="15" hidden="false" customHeight="true" outlineLevel="0" collapsed="false">
      <c r="A38" s="8" t="s">
        <v>88</v>
      </c>
      <c r="B38" s="8" t="s">
        <v>81</v>
      </c>
      <c r="C38" s="16" t="n">
        <f aca="false">SLOPE(I38:L38,$A$5:$D$5)</f>
        <v>1.20701235461954</v>
      </c>
      <c r="D38" s="16" t="n">
        <f aca="false">RSQ(I38:L38,$A$5:$D$5)</f>
        <v>0.731284082234852</v>
      </c>
      <c r="E38" s="16" t="n">
        <f aca="false">ABS(C38-1)</f>
        <v>0.207012354619536</v>
      </c>
      <c r="F38" s="9" t="n">
        <f aca="false">AVERAGE(I38:L38)</f>
        <v>0.675398291960347</v>
      </c>
      <c r="G38" s="7" t="str">
        <f aca="false">IF(N38&lt;=30,"YES","")</f>
        <v>YES</v>
      </c>
      <c r="I38" s="9" t="n">
        <f aca="false">'House Vote Data'!G122</f>
        <v>0.699350649350649</v>
      </c>
      <c r="J38" s="9" t="n">
        <f aca="false">'House Vote Data'!G123</f>
        <v>0.667718665464382</v>
      </c>
      <c r="K38" s="9" t="n">
        <f aca="false">'House Vote Data'!G124</f>
        <v>0.690768237572628</v>
      </c>
      <c r="L38" s="9" t="n">
        <f aca="false">'House Vote Data'!G125</f>
        <v>0.643755615453729</v>
      </c>
      <c r="M38" s="8" t="n">
        <f aca="false">E38+(1-D38)</f>
        <v>0.475728272384684</v>
      </c>
      <c r="N38" s="8" t="n">
        <f aca="false">RANK(M38,$M$8:$M$96,1)</f>
        <v>22</v>
      </c>
    </row>
    <row r="39" customFormat="false" ht="15" hidden="false" customHeight="true" outlineLevel="0" collapsed="false">
      <c r="A39" s="8" t="s">
        <v>89</v>
      </c>
      <c r="B39" s="8" t="s">
        <v>81</v>
      </c>
      <c r="C39" s="16" t="n">
        <f aca="false">SLOPE(I39:L39,$A$5:$D$5)</f>
        <v>1.21335648391705</v>
      </c>
      <c r="D39" s="16" t="n">
        <f aca="false">RSQ(I39:L39,$A$5:$D$5)</f>
        <v>0.678524646532825</v>
      </c>
      <c r="E39" s="16" t="n">
        <f aca="false">ABS(C39-1)</f>
        <v>0.213356483917045</v>
      </c>
      <c r="F39" s="9" t="n">
        <f aca="false">AVERAGE(I39:L39)</f>
        <v>0.566092901383646</v>
      </c>
      <c r="G39" s="7" t="str">
        <f aca="false">IF(N39&lt;=30,"YES","")</f>
        <v>YES</v>
      </c>
      <c r="I39" s="9" t="n">
        <f aca="false">'House Vote Data'!G126</f>
        <v>0.597560975609756</v>
      </c>
      <c r="J39" s="9" t="n">
        <f aca="false">'House Vote Data'!G127</f>
        <v>0.571227080394922</v>
      </c>
      <c r="K39" s="9" t="n">
        <f aca="false">'House Vote Data'!G128</f>
        <v>0.561027837259101</v>
      </c>
      <c r="L39" s="9" t="n">
        <f aca="false">'House Vote Data'!G129</f>
        <v>0.534555712270804</v>
      </c>
      <c r="M39" s="8" t="n">
        <f aca="false">E39+(1-D39)</f>
        <v>0.534831837384221</v>
      </c>
      <c r="N39" s="8" t="n">
        <f aca="false">RANK(M39,$M$8:$M$96,1)</f>
        <v>25</v>
      </c>
    </row>
    <row r="40" customFormat="false" ht="15" hidden="false" customHeight="true" outlineLevel="0" collapsed="false">
      <c r="A40" s="8" t="s">
        <v>90</v>
      </c>
      <c r="B40" s="8" t="s">
        <v>81</v>
      </c>
      <c r="C40" s="16" t="n">
        <f aca="false">SLOPE(I40:L40,$A$5:$D$5)</f>
        <v>1.36334650068482</v>
      </c>
      <c r="D40" s="16" t="n">
        <f aca="false">RSQ(I40:L40,$A$5:$D$5)</f>
        <v>0.992064659321789</v>
      </c>
      <c r="E40" s="16" t="n">
        <f aca="false">ABS(C40-1)</f>
        <v>0.363346500684817</v>
      </c>
      <c r="F40" s="9" t="n">
        <f aca="false">AVERAGE(I40:L40)</f>
        <v>0.329391240231538</v>
      </c>
      <c r="G40" s="7" t="str">
        <f aca="false">IF(N40&lt;=30,"YES","")</f>
        <v>YES</v>
      </c>
      <c r="I40" s="9" t="n">
        <f aca="false">'House Vote Data'!G130</f>
        <v>0.362445414847162</v>
      </c>
      <c r="J40" s="9" t="n">
        <f aca="false">'House Vote Data'!G131</f>
        <v>0.310149407521896</v>
      </c>
      <c r="K40" s="9" t="n">
        <f aca="false">'House Vote Data'!G132</f>
        <v>0.3325</v>
      </c>
      <c r="L40" s="9" t="n">
        <f aca="false">'House Vote Data'!G133</f>
        <v>0.312470138557095</v>
      </c>
      <c r="M40" s="8" t="n">
        <f aca="false">E40+(1-D40)</f>
        <v>0.371281841363029</v>
      </c>
      <c r="N40" s="8" t="n">
        <f aca="false">RANK(M40,$M$8:$M$96,1)</f>
        <v>14</v>
      </c>
    </row>
    <row r="41" customFormat="false" ht="15" hidden="false" customHeight="true" outlineLevel="0" collapsed="false">
      <c r="A41" s="8" t="s">
        <v>91</v>
      </c>
      <c r="B41" s="8" t="s">
        <v>81</v>
      </c>
      <c r="C41" s="16" t="n">
        <f aca="false">SLOPE(I41:L41,$A$5:$D$5)</f>
        <v>0.531303454718526</v>
      </c>
      <c r="D41" s="16" t="n">
        <f aca="false">RSQ(I41:L41,$A$5:$D$5)</f>
        <v>0.421774898944886</v>
      </c>
      <c r="E41" s="16" t="n">
        <f aca="false">ABS(C41-1)</f>
        <v>0.468696545281474</v>
      </c>
      <c r="F41" s="9" t="n">
        <f aca="false">AVERAGE(I41:L41)</f>
        <v>0.50687502749352</v>
      </c>
      <c r="G41" s="7" t="str">
        <f aca="false">IF(N41&lt;=30,"YES","")</f>
        <v/>
      </c>
      <c r="I41" s="9" t="n">
        <f aca="false">'House Vote Data'!G134</f>
        <v>0.513847464848743</v>
      </c>
      <c r="J41" s="9" t="n">
        <f aca="false">'House Vote Data'!G135</f>
        <v>0.494140230349566</v>
      </c>
      <c r="K41" s="9" t="n">
        <f aca="false">'House Vote Data'!G136</f>
        <v>0.523913997367266</v>
      </c>
      <c r="L41" s="9" t="n">
        <f aca="false">'House Vote Data'!G137</f>
        <v>0.495598417408506</v>
      </c>
      <c r="M41" s="8" t="n">
        <f aca="false">E41+(1-D41)</f>
        <v>1.04692164633659</v>
      </c>
      <c r="N41" s="8" t="n">
        <f aca="false">RANK(M41,$M$8:$M$96,1)</f>
        <v>65</v>
      </c>
    </row>
    <row r="42" customFormat="false" ht="15" hidden="false" customHeight="true" outlineLevel="0" collapsed="false">
      <c r="A42" s="8" t="s">
        <v>92</v>
      </c>
      <c r="B42" s="8" t="s">
        <v>81</v>
      </c>
      <c r="C42" s="16" t="n">
        <f aca="false">SLOPE(I42:L42,$A$5:$D$5)</f>
        <v>0.638608890837983</v>
      </c>
      <c r="D42" s="16" t="n">
        <f aca="false">RSQ(I42:L42,$A$5:$D$5)</f>
        <v>0.608731162306421</v>
      </c>
      <c r="E42" s="16" t="n">
        <f aca="false">ABS(C42-1)</f>
        <v>0.361391109162017</v>
      </c>
      <c r="F42" s="9" t="n">
        <f aca="false">AVERAGE(I42:L42)</f>
        <v>0.385150931372503</v>
      </c>
      <c r="G42" s="7" t="str">
        <f aca="false">IF(N42&lt;=30,"YES","")</f>
        <v/>
      </c>
      <c r="I42" s="9" t="n">
        <f aca="false">'House Vote Data'!G138</f>
        <v>0.398488120950324</v>
      </c>
      <c r="J42" s="9" t="n">
        <f aca="false">'House Vote Data'!G139</f>
        <v>0.365659777424483</v>
      </c>
      <c r="K42" s="9" t="n">
        <f aca="false">'House Vote Data'!G140</f>
        <v>0.39333641832485</v>
      </c>
      <c r="L42" s="9" t="n">
        <f aca="false">'House Vote Data'!G141</f>
        <v>0.383119408790354</v>
      </c>
      <c r="M42" s="8" t="n">
        <f aca="false">E42+(1-D42)</f>
        <v>0.752659946855596</v>
      </c>
      <c r="N42" s="8" t="n">
        <f aca="false">RANK(M42,$M$8:$M$96,1)</f>
        <v>43</v>
      </c>
    </row>
    <row r="43" customFormat="false" ht="15" hidden="false" customHeight="true" outlineLevel="0" collapsed="false">
      <c r="A43" s="8" t="s">
        <v>93</v>
      </c>
      <c r="B43" s="8" t="s">
        <v>81</v>
      </c>
      <c r="C43" s="16" t="n">
        <f aca="false">SLOPE(I43:L43,$A$5:$D$5)</f>
        <v>0.564628275202796</v>
      </c>
      <c r="D43" s="16" t="n">
        <f aca="false">RSQ(I43:L43,$A$5:$D$5)</f>
        <v>0.738561254987019</v>
      </c>
      <c r="E43" s="16" t="n">
        <f aca="false">ABS(C43-1)</f>
        <v>0.435371724797204</v>
      </c>
      <c r="F43" s="9" t="n">
        <f aca="false">AVERAGE(I43:L43)</f>
        <v>0.366159631460626</v>
      </c>
      <c r="G43" s="7" t="str">
        <f aca="false">IF(N43&lt;=30,"YES","")</f>
        <v/>
      </c>
      <c r="I43" s="9" t="n">
        <f aca="false">'House Vote Data'!G142</f>
        <v>0.376718606782768</v>
      </c>
      <c r="J43" s="9" t="n">
        <f aca="false">'House Vote Data'!G143</f>
        <v>0.358198924731183</v>
      </c>
      <c r="K43" s="9" t="n">
        <f aca="false">'House Vote Data'!G144</f>
        <v>0.375513557929334</v>
      </c>
      <c r="L43" s="9" t="n">
        <f aca="false">'House Vote Data'!G145</f>
        <v>0.354207436399217</v>
      </c>
      <c r="M43" s="8" t="n">
        <f aca="false">E43+(1-D43)</f>
        <v>0.696810469810185</v>
      </c>
      <c r="N43" s="8" t="n">
        <f aca="false">RANK(M43,$M$8:$M$96,1)</f>
        <v>42</v>
      </c>
    </row>
    <row r="44" customFormat="false" ht="15" hidden="false" customHeight="true" outlineLevel="0" collapsed="false">
      <c r="A44" s="8" t="s">
        <v>94</v>
      </c>
      <c r="B44" s="8" t="s">
        <v>81</v>
      </c>
      <c r="C44" s="16" t="n">
        <f aca="false">SLOPE(I44:L44,$A$5:$D$5)</f>
        <v>0.490484449182313</v>
      </c>
      <c r="D44" s="16" t="n">
        <f aca="false">RSQ(I44:L44,$A$5:$D$5)</f>
        <v>0.716904444508319</v>
      </c>
      <c r="E44" s="16" t="n">
        <f aca="false">ABS(C44-1)</f>
        <v>0.509515550817687</v>
      </c>
      <c r="F44" s="9" t="n">
        <f aca="false">AVERAGE(I44:L44)</f>
        <v>0.326383216169298</v>
      </c>
      <c r="G44" s="7" t="str">
        <f aca="false">IF(N44&lt;=30,"YES","")</f>
        <v/>
      </c>
      <c r="I44" s="9" t="n">
        <f aca="false">'House Vote Data'!G146</f>
        <v>0.335668103448276</v>
      </c>
      <c r="J44" s="9" t="n">
        <f aca="false">'House Vote Data'!G147</f>
        <v>0.321795359452263</v>
      </c>
      <c r="K44" s="9" t="n">
        <f aca="false">'House Vote Data'!G148</f>
        <v>0.333952624245239</v>
      </c>
      <c r="L44" s="9" t="n">
        <f aca="false">'House Vote Data'!G149</f>
        <v>0.314116777531412</v>
      </c>
      <c r="M44" s="8" t="n">
        <f aca="false">E44+(1-D44)</f>
        <v>0.792611106309368</v>
      </c>
      <c r="N44" s="8" t="n">
        <f aca="false">RANK(M44,$M$8:$M$96,1)</f>
        <v>47</v>
      </c>
    </row>
    <row r="45" customFormat="false" ht="15" hidden="false" customHeight="true" outlineLevel="0" collapsed="false">
      <c r="A45" s="8" t="s">
        <v>95</v>
      </c>
      <c r="B45" s="8" t="s">
        <v>81</v>
      </c>
      <c r="C45" s="16" t="n">
        <f aca="false">SLOPE(I45:L45,$A$5:$D$5)</f>
        <v>0.269818131696253</v>
      </c>
      <c r="D45" s="16" t="n">
        <f aca="false">RSQ(I45:L45,$A$5:$D$5)</f>
        <v>0.171638444364757</v>
      </c>
      <c r="E45" s="16" t="n">
        <f aca="false">ABS(C45-1)</f>
        <v>0.730181868303747</v>
      </c>
      <c r="F45" s="9" t="n">
        <f aca="false">AVERAGE(I45:L45)</f>
        <v>0.541125769930642</v>
      </c>
      <c r="G45" s="7" t="str">
        <f aca="false">IF(N45&lt;=30,"YES","")</f>
        <v/>
      </c>
      <c r="I45" s="9" t="n">
        <f aca="false">'House Vote Data'!G150</f>
        <v>0.541960784313726</v>
      </c>
      <c r="J45" s="9" t="n">
        <f aca="false">'House Vote Data'!G151</f>
        <v>0.536887452880991</v>
      </c>
      <c r="K45" s="9" t="n">
        <f aca="false">'House Vote Data'!G152</f>
        <v>0.556497175141243</v>
      </c>
      <c r="L45" s="9" t="n">
        <f aca="false">'House Vote Data'!G153</f>
        <v>0.529157667386609</v>
      </c>
      <c r="M45" s="8" t="n">
        <f aca="false">E45+(1-D45)</f>
        <v>1.55854342393899</v>
      </c>
      <c r="N45" s="8" t="n">
        <f aca="false">RANK(M45,$M$8:$M$96,1)</f>
        <v>78</v>
      </c>
    </row>
    <row r="46" customFormat="false" ht="15" hidden="false" customHeight="true" outlineLevel="0" collapsed="false">
      <c r="A46" s="8" t="s">
        <v>96</v>
      </c>
      <c r="B46" s="8" t="s">
        <v>81</v>
      </c>
      <c r="C46" s="16" t="n">
        <f aca="false">SLOPE(I46:L46,$A$5:$D$5)</f>
        <v>0.469327436925558</v>
      </c>
      <c r="D46" s="16" t="n">
        <f aca="false">RSQ(I46:L46,$A$5:$D$5)</f>
        <v>0.583586129895815</v>
      </c>
      <c r="E46" s="16" t="n">
        <f aca="false">ABS(C46-1)</f>
        <v>0.530672563074442</v>
      </c>
      <c r="F46" s="9" t="n">
        <f aca="false">AVERAGE(I46:L46)</f>
        <v>0.411386626579685</v>
      </c>
      <c r="G46" s="7" t="str">
        <f aca="false">IF(N46&lt;=30,"YES","")</f>
        <v/>
      </c>
      <c r="I46" s="9" t="n">
        <f aca="false">'House Vote Data'!G154</f>
        <v>0.419369437320863</v>
      </c>
      <c r="J46" s="9" t="n">
        <f aca="false">'House Vote Data'!G155</f>
        <v>0.399631109744851</v>
      </c>
      <c r="K46" s="9" t="n">
        <f aca="false">'House Vote Data'!G156</f>
        <v>0.421796034728521</v>
      </c>
      <c r="L46" s="9" t="n">
        <f aca="false">'House Vote Data'!G157</f>
        <v>0.404749924524504</v>
      </c>
      <c r="M46" s="8" t="n">
        <f aca="false">E46+(1-D46)</f>
        <v>0.947086433178628</v>
      </c>
      <c r="N46" s="8" t="n">
        <f aca="false">RANK(M46,$M$8:$M$96,1)</f>
        <v>59</v>
      </c>
    </row>
    <row r="47" customFormat="false" ht="15" hidden="false" customHeight="true" outlineLevel="0" collapsed="false">
      <c r="A47" s="8" t="s">
        <v>97</v>
      </c>
      <c r="B47" s="8" t="s">
        <v>81</v>
      </c>
      <c r="C47" s="16" t="n">
        <f aca="false">SLOPE(I47:L47,$A$5:$D$5)</f>
        <v>0.413024426364684</v>
      </c>
      <c r="D47" s="16" t="n">
        <f aca="false">RSQ(I47:L47,$A$5:$D$5)</f>
        <v>0.703523868556367</v>
      </c>
      <c r="E47" s="16" t="n">
        <f aca="false">ABS(C47-1)</f>
        <v>0.586975573635316</v>
      </c>
      <c r="F47" s="9" t="n">
        <f aca="false">AVERAGE(I47:L47)</f>
        <v>0.50114822037264</v>
      </c>
      <c r="G47" s="7" t="str">
        <f aca="false">IF(N47&lt;=30,"YES","")</f>
        <v/>
      </c>
      <c r="I47" s="9" t="n">
        <f aca="false">'House Vote Data'!G158</f>
        <v>0.50872344100881</v>
      </c>
      <c r="J47" s="9" t="n">
        <f aca="false">'House Vote Data'!G159</f>
        <v>0.49302496328928</v>
      </c>
      <c r="K47" s="9" t="n">
        <f aca="false">'House Vote Data'!G160</f>
        <v>0.508636934673367</v>
      </c>
      <c r="L47" s="9" t="n">
        <f aca="false">'House Vote Data'!G161</f>
        <v>0.494207542519103</v>
      </c>
      <c r="M47" s="8" t="n">
        <f aca="false">E47+(1-D47)</f>
        <v>0.883451705078949</v>
      </c>
      <c r="N47" s="8" t="n">
        <f aca="false">RANK(M47,$M$8:$M$96,1)</f>
        <v>54</v>
      </c>
    </row>
    <row r="48" customFormat="false" ht="15" hidden="false" customHeight="true" outlineLevel="0" collapsed="false">
      <c r="A48" s="8" t="s">
        <v>98</v>
      </c>
      <c r="B48" s="8" t="s">
        <v>81</v>
      </c>
      <c r="C48" s="16" t="n">
        <f aca="false">SLOPE(I48:L48,$A$5:$D$5)</f>
        <v>1.62248059062028</v>
      </c>
      <c r="D48" s="16" t="n">
        <f aca="false">RSQ(I48:L48,$A$5:$D$5)</f>
        <v>0.768430227577892</v>
      </c>
      <c r="E48" s="16" t="n">
        <f aca="false">ABS(C48-1)</f>
        <v>0.622480590620277</v>
      </c>
      <c r="F48" s="9" t="n">
        <f aca="false">AVERAGE(I48:L48)</f>
        <v>0.429324807388493</v>
      </c>
      <c r="G48" s="7" t="str">
        <f aca="false">IF(N48&lt;=30,"YES","")</f>
        <v/>
      </c>
      <c r="I48" s="9" t="n">
        <f aca="false">'House Vote Data'!G162</f>
        <v>0.461736887360275</v>
      </c>
      <c r="J48" s="9" t="n">
        <f aca="false">'House Vote Data'!G163</f>
        <v>0.394306800210859</v>
      </c>
      <c r="K48" s="9" t="n">
        <f aca="false">'House Vote Data'!G164</f>
        <v>0.452257586972613</v>
      </c>
      <c r="L48" s="9" t="n">
        <f aca="false">'House Vote Data'!G165</f>
        <v>0.408997955010225</v>
      </c>
      <c r="M48" s="8" t="n">
        <f aca="false">E48+(1-D48)</f>
        <v>0.854050363042385</v>
      </c>
      <c r="N48" s="8" t="n">
        <f aca="false">RANK(M48,$M$8:$M$96,1)</f>
        <v>52</v>
      </c>
    </row>
    <row r="49" customFormat="false" ht="15" hidden="false" customHeight="true" outlineLevel="0" collapsed="false">
      <c r="A49" s="8" t="s">
        <v>99</v>
      </c>
      <c r="B49" s="8" t="s">
        <v>81</v>
      </c>
      <c r="C49" s="16" t="n">
        <f aca="false">SLOPE(I49:L49,$A$5:$D$5)</f>
        <v>0.88821937914089</v>
      </c>
      <c r="D49" s="16" t="n">
        <f aca="false">RSQ(I49:L49,$A$5:$D$5)</f>
        <v>0.758553057394118</v>
      </c>
      <c r="E49" s="16" t="n">
        <f aca="false">ABS(C49-1)</f>
        <v>0.11178062085911</v>
      </c>
      <c r="F49" s="9" t="n">
        <f aca="false">AVERAGE(I49:L49)</f>
        <v>0.549087590017066</v>
      </c>
      <c r="G49" s="7" t="str">
        <f aca="false">IF(N49&lt;=30,"YES","")</f>
        <v>YES</v>
      </c>
      <c r="I49" s="9" t="n">
        <f aca="false">'House Vote Data'!G166</f>
        <v>0.566116636528029</v>
      </c>
      <c r="J49" s="9" t="n">
        <f aca="false">'House Vote Data'!G167</f>
        <v>0.532417757904823</v>
      </c>
      <c r="K49" s="9" t="n">
        <f aca="false">'House Vote Data'!G168</f>
        <v>0.563197944460915</v>
      </c>
      <c r="L49" s="9" t="n">
        <f aca="false">'House Vote Data'!G169</f>
        <v>0.534618021174499</v>
      </c>
      <c r="M49" s="8" t="n">
        <f aca="false">E49+(1-D49)</f>
        <v>0.353227563464992</v>
      </c>
      <c r="N49" s="8" t="n">
        <f aca="false">RANK(M49,$M$8:$M$96,1)</f>
        <v>12</v>
      </c>
    </row>
    <row r="50" customFormat="false" ht="15" hidden="false" customHeight="true" outlineLevel="0" collapsed="false">
      <c r="A50" s="8" t="s">
        <v>100</v>
      </c>
      <c r="B50" s="8" t="s">
        <v>81</v>
      </c>
      <c r="C50" s="16" t="n">
        <f aca="false">SLOPE(I50:L50,$A$5:$D$5)</f>
        <v>0.507078459184661</v>
      </c>
      <c r="D50" s="16" t="n">
        <f aca="false">RSQ(I50:L50,$A$5:$D$5)</f>
        <v>0.700353551212013</v>
      </c>
      <c r="E50" s="16" t="n">
        <f aca="false">ABS(C50-1)</f>
        <v>0.492921540815339</v>
      </c>
      <c r="F50" s="9" t="n">
        <f aca="false">AVERAGE(I50:L50)</f>
        <v>0.524149557099014</v>
      </c>
      <c r="G50" s="7" t="str">
        <f aca="false">IF(N50&lt;=30,"YES","")</f>
        <v/>
      </c>
      <c r="I50" s="9" t="n">
        <f aca="false">'House Vote Data'!G170</f>
        <v>0.533326411960133</v>
      </c>
      <c r="J50" s="9" t="n">
        <f aca="false">'House Vote Data'!G171</f>
        <v>0.516682751964704</v>
      </c>
      <c r="K50" s="9" t="n">
        <f aca="false">'House Vote Data'!G172</f>
        <v>0.533374755902716</v>
      </c>
      <c r="L50" s="9" t="n">
        <f aca="false">'House Vote Data'!G173</f>
        <v>0.513214308568503</v>
      </c>
      <c r="M50" s="8" t="n">
        <f aca="false">E50+(1-D50)</f>
        <v>0.792567989603326</v>
      </c>
      <c r="N50" s="8" t="n">
        <f aca="false">RANK(M50,$M$8:$M$96,1)</f>
        <v>46</v>
      </c>
    </row>
    <row r="51" customFormat="false" ht="15" hidden="false" customHeight="true" outlineLevel="0" collapsed="false">
      <c r="A51" s="8" t="s">
        <v>101</v>
      </c>
      <c r="B51" s="8" t="s">
        <v>81</v>
      </c>
      <c r="C51" s="16" t="n">
        <f aca="false">SLOPE(I51:L51,$A$5:$D$5)</f>
        <v>0.729763505320911</v>
      </c>
      <c r="D51" s="16" t="n">
        <f aca="false">RSQ(I51:L51,$A$5:$D$5)</f>
        <v>0.791403890072841</v>
      </c>
      <c r="E51" s="16" t="n">
        <f aca="false">ABS(C51-1)</f>
        <v>0.270236494679089</v>
      </c>
      <c r="F51" s="9" t="n">
        <f aca="false">AVERAGE(I51:L51)</f>
        <v>0.442842608762003</v>
      </c>
      <c r="G51" s="7" t="str">
        <f aca="false">IF(N51&lt;=30,"YES","")</f>
        <v>YES</v>
      </c>
      <c r="I51" s="9" t="n">
        <f aca="false">'House Vote Data'!G174</f>
        <v>0.457244982128128</v>
      </c>
      <c r="J51" s="9" t="n">
        <f aca="false">'House Vote Data'!G175</f>
        <v>0.42920610392119</v>
      </c>
      <c r="K51" s="9" t="n">
        <f aca="false">'House Vote Data'!G176</f>
        <v>0.453369031682285</v>
      </c>
      <c r="L51" s="9" t="n">
        <f aca="false">'House Vote Data'!G177</f>
        <v>0.43155031731641</v>
      </c>
      <c r="M51" s="8" t="n">
        <f aca="false">E51+(1-D51)</f>
        <v>0.478832604606247</v>
      </c>
      <c r="N51" s="8" t="n">
        <f aca="false">RANK(M51,$M$8:$M$96,1)</f>
        <v>23</v>
      </c>
    </row>
    <row r="52" customFormat="false" ht="15" hidden="false" customHeight="true" outlineLevel="0" collapsed="false">
      <c r="A52" s="8" t="s">
        <v>102</v>
      </c>
      <c r="B52" s="8" t="s">
        <v>81</v>
      </c>
      <c r="C52" s="16" t="n">
        <f aca="false">SLOPE(I52:L52,$A$5:$D$5)</f>
        <v>0.403505222273787</v>
      </c>
      <c r="D52" s="16" t="n">
        <f aca="false">RSQ(I52:L52,$A$5:$D$5)</f>
        <v>0.231160270958343</v>
      </c>
      <c r="E52" s="16" t="n">
        <f aca="false">ABS(C52-1)</f>
        <v>0.596494777726213</v>
      </c>
      <c r="F52" s="9" t="n">
        <f aca="false">AVERAGE(I52:L52)</f>
        <v>0.487184273379115</v>
      </c>
      <c r="G52" s="7" t="str">
        <f aca="false">IF(N52&lt;=30,"YES","")</f>
        <v/>
      </c>
      <c r="I52" s="9" t="n">
        <f aca="false">'House Vote Data'!G178</f>
        <v>0.492183288409704</v>
      </c>
      <c r="J52" s="9" t="n">
        <f aca="false">'House Vote Data'!G179</f>
        <v>0.466854041480907</v>
      </c>
      <c r="K52" s="9" t="n">
        <f aca="false">'House Vote Data'!G180</f>
        <v>0.502108262108262</v>
      </c>
      <c r="L52" s="9" t="n">
        <f aca="false">'House Vote Data'!G181</f>
        <v>0.487591501517586</v>
      </c>
      <c r="M52" s="8" t="n">
        <f aca="false">E52+(1-D52)</f>
        <v>1.36533450676787</v>
      </c>
      <c r="N52" s="8" t="n">
        <f aca="false">RANK(M52,$M$8:$M$96,1)</f>
        <v>72</v>
      </c>
    </row>
    <row r="53" customFormat="false" ht="15" hidden="false" customHeight="true" outlineLevel="0" collapsed="false">
      <c r="A53" s="8" t="s">
        <v>103</v>
      </c>
      <c r="B53" s="8" t="s">
        <v>81</v>
      </c>
      <c r="C53" s="16" t="n">
        <f aca="false">SLOPE(I53:L53,$A$5:$D$5)</f>
        <v>0.879951839169</v>
      </c>
      <c r="D53" s="16" t="n">
        <f aca="false">RSQ(I53:L53,$A$5:$D$5)</f>
        <v>0.78887990953839</v>
      </c>
      <c r="E53" s="16" t="n">
        <f aca="false">ABS(C53-1)</f>
        <v>0.120048160831</v>
      </c>
      <c r="F53" s="9" t="n">
        <f aca="false">AVERAGE(I53:L53)</f>
        <v>0.337555971947404</v>
      </c>
      <c r="G53" s="7" t="str">
        <f aca="false">IF(N53&lt;=30,"YES","")</f>
        <v>YES</v>
      </c>
      <c r="I53" s="9" t="n">
        <f aca="false">'House Vote Data'!G182</f>
        <v>0.35468179975679</v>
      </c>
      <c r="J53" s="9" t="n">
        <f aca="false">'House Vote Data'!G183</f>
        <v>0.323181937516409</v>
      </c>
      <c r="K53" s="9" t="n">
        <f aca="false">'House Vote Data'!G184</f>
        <v>0.350632069194943</v>
      </c>
      <c r="L53" s="9" t="n">
        <f aca="false">'House Vote Data'!G185</f>
        <v>0.321728081321474</v>
      </c>
      <c r="M53" s="8" t="n">
        <f aca="false">E53+(1-D53)</f>
        <v>0.33116825129261</v>
      </c>
      <c r="N53" s="8" t="n">
        <f aca="false">RANK(M53,$M$8:$M$96,1)</f>
        <v>10</v>
      </c>
    </row>
    <row r="54" customFormat="false" ht="15" hidden="false" customHeight="true" outlineLevel="0" collapsed="false">
      <c r="A54" s="8" t="s">
        <v>104</v>
      </c>
      <c r="B54" s="8" t="s">
        <v>81</v>
      </c>
      <c r="C54" s="16" t="n">
        <f aca="false">SLOPE(I54:L54,$A$5:$D$5)</f>
        <v>0.310890582138448</v>
      </c>
      <c r="D54" s="16" t="n">
        <f aca="false">RSQ(I54:L54,$A$5:$D$5)</f>
        <v>0.173417880900322</v>
      </c>
      <c r="E54" s="16" t="n">
        <f aca="false">ABS(C54-1)</f>
        <v>0.689109417861552</v>
      </c>
      <c r="F54" s="9" t="n">
        <f aca="false">AVERAGE(I54:L54)</f>
        <v>0.348827814296064</v>
      </c>
      <c r="G54" s="7" t="str">
        <f aca="false">IF(N54&lt;=30,"YES","")</f>
        <v/>
      </c>
      <c r="I54" s="9" t="n">
        <f aca="false">'House Vote Data'!G186</f>
        <v>0.351131994873986</v>
      </c>
      <c r="J54" s="9" t="n">
        <f aca="false">'House Vote Data'!G187</f>
        <v>0.332301021988232</v>
      </c>
      <c r="K54" s="9" t="n">
        <f aca="false">'House Vote Data'!G188</f>
        <v>0.364413075780089</v>
      </c>
      <c r="L54" s="9" t="n">
        <f aca="false">'House Vote Data'!G189</f>
        <v>0.347465164541951</v>
      </c>
      <c r="M54" s="8" t="n">
        <f aca="false">E54+(1-D54)</f>
        <v>1.51569153696123</v>
      </c>
      <c r="N54" s="8" t="n">
        <f aca="false">RANK(M54,$M$8:$M$96,1)</f>
        <v>75</v>
      </c>
    </row>
    <row r="55" customFormat="false" ht="15" hidden="false" customHeight="true" outlineLevel="0" collapsed="false">
      <c r="A55" s="8" t="s">
        <v>105</v>
      </c>
      <c r="B55" s="8" t="s">
        <v>81</v>
      </c>
      <c r="C55" s="16" t="n">
        <f aca="false">SLOPE(I55:L55,$A$5:$D$5)</f>
        <v>1.12956046840864</v>
      </c>
      <c r="D55" s="16" t="n">
        <f aca="false">RSQ(I55:L55,$A$5:$D$5)</f>
        <v>0.945926415823831</v>
      </c>
      <c r="E55" s="16" t="n">
        <f aca="false">ABS(C55-1)</f>
        <v>0.129560468408644</v>
      </c>
      <c r="F55" s="9" t="n">
        <f aca="false">AVERAGE(I55:L55)</f>
        <v>0.533384119901341</v>
      </c>
      <c r="G55" s="7" t="str">
        <f aca="false">IF(N55&lt;=30,"YES","")</f>
        <v>YES</v>
      </c>
      <c r="I55" s="9" t="n">
        <f aca="false">'House Vote Data'!G190</f>
        <v>0.560712358337831</v>
      </c>
      <c r="J55" s="9" t="n">
        <f aca="false">'House Vote Data'!G191</f>
        <v>0.525618436817253</v>
      </c>
      <c r="K55" s="9" t="n">
        <f aca="false">'House Vote Data'!G192</f>
        <v>0.535172949863972</v>
      </c>
      <c r="L55" s="9" t="n">
        <f aca="false">'House Vote Data'!G193</f>
        <v>0.51203273458631</v>
      </c>
      <c r="M55" s="8" t="n">
        <f aca="false">E55+(1-D55)</f>
        <v>0.183634052584813</v>
      </c>
      <c r="N55" s="8" t="n">
        <f aca="false">RANK(M55,$M$8:$M$96,1)</f>
        <v>5</v>
      </c>
    </row>
    <row r="56" customFormat="false" ht="15" hidden="false" customHeight="true" outlineLevel="0" collapsed="false">
      <c r="A56" s="8" t="s">
        <v>106</v>
      </c>
      <c r="B56" s="8" t="s">
        <v>107</v>
      </c>
      <c r="C56" s="16" t="n">
        <f aca="false">SLOPE(I56:L56,$A$5:$D$5)</f>
        <v>0.841832278418839</v>
      </c>
      <c r="D56" s="16" t="n">
        <f aca="false">RSQ(I56:L56,$A$5:$D$5)</f>
        <v>0.467610273629324</v>
      </c>
      <c r="E56" s="16" t="n">
        <f aca="false">ABS(C56-1)</f>
        <v>0.158167721581161</v>
      </c>
      <c r="F56" s="9" t="n">
        <f aca="false">AVERAGE(I56:L56)</f>
        <v>0.317772215600385</v>
      </c>
      <c r="G56" s="7" t="str">
        <f aca="false">IF(N56&lt;=30,"YES","")</f>
        <v/>
      </c>
      <c r="I56" s="9" t="n">
        <f aca="false">'House Vote Data'!G194</f>
        <v>0.343035343035343</v>
      </c>
      <c r="J56" s="9" t="n">
        <f aca="false">'House Vote Data'!G195</f>
        <v>0.328114363512594</v>
      </c>
      <c r="K56" s="9" t="n">
        <f aca="false">'House Vote Data'!G196</f>
        <v>0.30464135021097</v>
      </c>
      <c r="L56" s="9" t="n">
        <f aca="false">'House Vote Data'!G197</f>
        <v>0.295297805642633</v>
      </c>
      <c r="M56" s="8" t="n">
        <f aca="false">E56+(1-D56)</f>
        <v>0.690557447951836</v>
      </c>
      <c r="N56" s="8" t="n">
        <f aca="false">RANK(M56,$M$8:$M$96,1)</f>
        <v>41</v>
      </c>
    </row>
    <row r="57" customFormat="false" ht="15" hidden="false" customHeight="true" outlineLevel="0" collapsed="false">
      <c r="A57" s="8" t="s">
        <v>108</v>
      </c>
      <c r="B57" s="8" t="s">
        <v>107</v>
      </c>
      <c r="C57" s="16" t="n">
        <f aca="false">SLOPE(I57:L57,$A$5:$D$5)</f>
        <v>1.61727579182186</v>
      </c>
      <c r="D57" s="16" t="n">
        <f aca="false">RSQ(I57:L57,$A$5:$D$5)</f>
        <v>0.67658592169046</v>
      </c>
      <c r="E57" s="16" t="n">
        <f aca="false">ABS(C57-1)</f>
        <v>0.617275791821863</v>
      </c>
      <c r="F57" s="9" t="n">
        <f aca="false">AVERAGE(I57:L57)</f>
        <v>0.359685043778874</v>
      </c>
      <c r="G57" s="7" t="str">
        <f aca="false">IF(N57&lt;=30,"YES","")</f>
        <v/>
      </c>
      <c r="I57" s="9" t="n">
        <f aca="false">'House Vote Data'!G198</f>
        <v>0.406854838709677</v>
      </c>
      <c r="J57" s="9" t="n">
        <f aca="false">'House Vote Data'!G199</f>
        <v>0.363891726251277</v>
      </c>
      <c r="K57" s="9" t="n">
        <f aca="false">'House Vote Data'!G200</f>
        <v>0.339767054908486</v>
      </c>
      <c r="L57" s="9" t="n">
        <f aca="false">'House Vote Data'!G201</f>
        <v>0.328226555246054</v>
      </c>
      <c r="M57" s="8" t="n">
        <f aca="false">E57+(1-D57)</f>
        <v>0.940689870131403</v>
      </c>
      <c r="N57" s="8" t="n">
        <f aca="false">RANK(M57,$M$8:$M$96,1)</f>
        <v>58</v>
      </c>
    </row>
    <row r="58" customFormat="false" ht="15" hidden="false" customHeight="true" outlineLevel="0" collapsed="false">
      <c r="A58" s="8" t="s">
        <v>109</v>
      </c>
      <c r="B58" s="8" t="s">
        <v>107</v>
      </c>
      <c r="C58" s="16" t="n">
        <f aca="false">SLOPE(I58:L58,$A$5:$D$5)</f>
        <v>1.34263181456109</v>
      </c>
      <c r="D58" s="16" t="n">
        <f aca="false">RSQ(I58:L58,$A$5:$D$5)</f>
        <v>0.432716651385049</v>
      </c>
      <c r="E58" s="16" t="n">
        <f aca="false">ABS(C58-1)</f>
        <v>0.342631814561088</v>
      </c>
      <c r="F58" s="9" t="n">
        <f aca="false">AVERAGE(I58:L58)</f>
        <v>0.372021991755633</v>
      </c>
      <c r="G58" s="7" t="str">
        <f aca="false">IF(N58&lt;=30,"YES","")</f>
        <v/>
      </c>
      <c r="I58" s="9" t="n">
        <f aca="false">'House Vote Data'!G202</f>
        <v>0.416004239533651</v>
      </c>
      <c r="J58" s="9" t="n">
        <f aca="false">'House Vote Data'!G203</f>
        <v>0.387142352525609</v>
      </c>
      <c r="K58" s="9" t="n">
        <f aca="false">'House Vote Data'!G204</f>
        <v>0.341726618705036</v>
      </c>
      <c r="L58" s="9" t="n">
        <f aca="false">'House Vote Data'!G205</f>
        <v>0.343214756258235</v>
      </c>
      <c r="M58" s="8" t="n">
        <f aca="false">E58+(1-D58)</f>
        <v>0.90991516317604</v>
      </c>
      <c r="N58" s="8" t="n">
        <f aca="false">RANK(M58,$M$8:$M$96,1)</f>
        <v>55</v>
      </c>
    </row>
    <row r="59" customFormat="false" ht="15" hidden="false" customHeight="true" outlineLevel="0" collapsed="false">
      <c r="A59" s="8" t="s">
        <v>110</v>
      </c>
      <c r="B59" s="8" t="s">
        <v>111</v>
      </c>
      <c r="C59" s="16" t="n">
        <f aca="false">SLOPE(I59:L59,$A$5:$D$5)</f>
        <v>0.0669671779245837</v>
      </c>
      <c r="D59" s="16" t="n">
        <f aca="false">RSQ(I59:L59,$A$5:$D$5)</f>
        <v>0.012470405402932</v>
      </c>
      <c r="E59" s="16" t="n">
        <f aca="false">ABS(C59-1)</f>
        <v>0.933032822075416</v>
      </c>
      <c r="F59" s="9" t="n">
        <f aca="false">AVERAGE(I59:L59)</f>
        <v>0.43584255809793</v>
      </c>
      <c r="G59" s="7" t="str">
        <f aca="false">IF(N59&lt;=30,"YES","")</f>
        <v/>
      </c>
      <c r="I59" s="9" t="n">
        <f aca="false">'House Vote Data'!G206</f>
        <v>0.431558935361217</v>
      </c>
      <c r="J59" s="9" t="n">
        <f aca="false">'House Vote Data'!G207</f>
        <v>0.432106216053108</v>
      </c>
      <c r="K59" s="9" t="n">
        <f aca="false">'House Vote Data'!G208</f>
        <v>0.451538461538462</v>
      </c>
      <c r="L59" s="9" t="n">
        <f aca="false">'House Vote Data'!G209</f>
        <v>0.428166619438935</v>
      </c>
      <c r="M59" s="8" t="n">
        <f aca="false">E59+(1-D59)</f>
        <v>1.92056241667248</v>
      </c>
      <c r="N59" s="8" t="n">
        <f aca="false">RANK(M59,$M$8:$M$96,1)</f>
        <v>84</v>
      </c>
    </row>
    <row r="60" customFormat="false" ht="15" hidden="false" customHeight="true" outlineLevel="0" collapsed="false">
      <c r="A60" s="8" t="s">
        <v>112</v>
      </c>
      <c r="B60" s="8" t="s">
        <v>111</v>
      </c>
      <c r="C60" s="16" t="n">
        <f aca="false">SLOPE(I60:L60,$A$5:$D$5)</f>
        <v>1.54807161977334</v>
      </c>
      <c r="D60" s="16" t="n">
        <f aca="false">RSQ(I60:L60,$A$5:$D$5)</f>
        <v>0.995667333409325</v>
      </c>
      <c r="E60" s="16" t="n">
        <f aca="false">ABS(C60-1)</f>
        <v>0.54807161977334</v>
      </c>
      <c r="F60" s="9" t="n">
        <f aca="false">AVERAGE(I60:L60)</f>
        <v>0.436100236376213</v>
      </c>
      <c r="G60" s="7" t="str">
        <f aca="false">IF(N60&lt;=30,"YES","")</f>
        <v>YES</v>
      </c>
      <c r="I60" s="9" t="n">
        <f aca="false">'House Vote Data'!G210</f>
        <v>0.473328831870358</v>
      </c>
      <c r="J60" s="9" t="n">
        <f aca="false">'House Vote Data'!G211</f>
        <v>0.418292154312961</v>
      </c>
      <c r="K60" s="9" t="n">
        <f aca="false">'House Vote Data'!G212</f>
        <v>0.43995171997586</v>
      </c>
      <c r="L60" s="9" t="n">
        <f aca="false">'House Vote Data'!G213</f>
        <v>0.412828239345674</v>
      </c>
      <c r="M60" s="8" t="n">
        <f aca="false">E60+(1-D60)</f>
        <v>0.552404286364015</v>
      </c>
      <c r="N60" s="8" t="n">
        <f aca="false">RANK(M60,$M$8:$M$96,1)</f>
        <v>27</v>
      </c>
    </row>
    <row r="61" customFormat="false" ht="15" hidden="false" customHeight="true" outlineLevel="0" collapsed="false">
      <c r="A61" s="8" t="s">
        <v>113</v>
      </c>
      <c r="B61" s="8" t="s">
        <v>111</v>
      </c>
      <c r="C61" s="16" t="n">
        <f aca="false">SLOPE(I61:L61,$A$5:$D$5)</f>
        <v>0.419551270668587</v>
      </c>
      <c r="D61" s="16" t="n">
        <f aca="false">RSQ(I61:L61,$A$5:$D$5)</f>
        <v>0.824135598312494</v>
      </c>
      <c r="E61" s="16" t="n">
        <f aca="false">ABS(C61-1)</f>
        <v>0.580448729331413</v>
      </c>
      <c r="F61" s="9" t="n">
        <f aca="false">AVERAGE(I61:L61)</f>
        <v>0.463197156353849</v>
      </c>
      <c r="G61" s="7" t="str">
        <f aca="false">IF(N61&lt;=30,"YES","")</f>
        <v/>
      </c>
      <c r="I61" s="9" t="n">
        <f aca="false">'House Vote Data'!G214</f>
        <v>0.474226804123711</v>
      </c>
      <c r="J61" s="9" t="n">
        <f aca="false">'House Vote Data'!G215</f>
        <v>0.45447409733124</v>
      </c>
      <c r="K61" s="9" t="n">
        <f aca="false">'House Vote Data'!G216</f>
        <v>0.462264150943396</v>
      </c>
      <c r="L61" s="9" t="n">
        <f aca="false">'House Vote Data'!G217</f>
        <v>0.46182357301705</v>
      </c>
      <c r="M61" s="8" t="n">
        <f aca="false">E61+(1-D61)</f>
        <v>0.75631313101892</v>
      </c>
      <c r="N61" s="8" t="n">
        <f aca="false">RANK(M61,$M$8:$M$96,1)</f>
        <v>44</v>
      </c>
    </row>
    <row r="62" customFormat="false" ht="15" hidden="false" customHeight="true" outlineLevel="0" collapsed="false">
      <c r="A62" s="8" t="s">
        <v>83</v>
      </c>
      <c r="B62" s="8" t="s">
        <v>111</v>
      </c>
      <c r="C62" s="16" t="n">
        <f aca="false">SLOPE(I62:L62,$A$5:$D$5)</f>
        <v>1.09593833876459</v>
      </c>
      <c r="D62" s="16" t="n">
        <f aca="false">RSQ(I62:L62,$A$5:$D$5)</f>
        <v>0.99955138188247</v>
      </c>
      <c r="E62" s="16" t="n">
        <f aca="false">ABS(C62-1)</f>
        <v>0.0959383387645871</v>
      </c>
      <c r="F62" s="9" t="n">
        <f aca="false">AVERAGE(I62:L62)</f>
        <v>0.68396921577818</v>
      </c>
      <c r="G62" s="7" t="str">
        <f aca="false">IF(N62&lt;=30,"YES","")</f>
        <v>YES</v>
      </c>
      <c r="I62" s="9" t="n">
        <f aca="false">'House Vote Data'!G218</f>
        <v>0.710825709594183</v>
      </c>
      <c r="J62" s="9" t="n">
        <f aca="false">'House Vote Data'!G219</f>
        <v>0.671224063052919</v>
      </c>
      <c r="K62" s="9" t="n">
        <f aca="false">'House Vote Data'!G220</f>
        <v>0.685420581408202</v>
      </c>
      <c r="L62" s="9" t="n">
        <f aca="false">'House Vote Data'!G221</f>
        <v>0.668406509057415</v>
      </c>
      <c r="M62" s="8" t="n">
        <f aca="false">E62+(1-D62)</f>
        <v>0.0963869568821172</v>
      </c>
      <c r="N62" s="8" t="n">
        <f aca="false">RANK(M62,$M$8:$M$96,1)</f>
        <v>1</v>
      </c>
    </row>
    <row r="63" customFormat="false" ht="15" hidden="false" customHeight="true" outlineLevel="0" collapsed="false">
      <c r="A63" s="8" t="s">
        <v>114</v>
      </c>
      <c r="B63" s="8" t="s">
        <v>111</v>
      </c>
      <c r="C63" s="16" t="n">
        <f aca="false">SLOPE(I63:L63,$A$5:$D$5)</f>
        <v>0.315760781244199</v>
      </c>
      <c r="D63" s="16" t="n">
        <f aca="false">RSQ(I63:L63,$A$5:$D$5)</f>
        <v>0.507603579011079</v>
      </c>
      <c r="E63" s="16" t="n">
        <f aca="false">ABS(C63-1)</f>
        <v>0.684239218755801</v>
      </c>
      <c r="F63" s="9" t="n">
        <f aca="false">AVERAGE(I63:L63)</f>
        <v>0.538622465514914</v>
      </c>
      <c r="G63" s="7" t="str">
        <f aca="false">IF(N63&lt;=30,"YES","")</f>
        <v/>
      </c>
      <c r="I63" s="9" t="n">
        <f aca="false">'House Vote Data'!G222</f>
        <v>0.544053078349107</v>
      </c>
      <c r="J63" s="9" t="n">
        <f aca="false">'House Vote Data'!G223</f>
        <v>0.528722233015996</v>
      </c>
      <c r="K63" s="9" t="n">
        <f aca="false">'House Vote Data'!G224</f>
        <v>0.545699583435433</v>
      </c>
      <c r="L63" s="9" t="n">
        <f aca="false">'House Vote Data'!G225</f>
        <v>0.536014967259121</v>
      </c>
      <c r="M63" s="8" t="n">
        <f aca="false">E63+(1-D63)</f>
        <v>1.17663563974472</v>
      </c>
      <c r="N63" s="8" t="n">
        <f aca="false">RANK(M63,$M$8:$M$96,1)</f>
        <v>69</v>
      </c>
    </row>
    <row r="64" customFormat="false" ht="15" hidden="false" customHeight="true" outlineLevel="0" collapsed="false">
      <c r="A64" s="8" t="s">
        <v>115</v>
      </c>
      <c r="B64" s="8" t="s">
        <v>111</v>
      </c>
      <c r="C64" s="16" t="n">
        <f aca="false">SLOPE(I64:L64,$A$5:$D$5)</f>
        <v>0.328799106342054</v>
      </c>
      <c r="D64" s="16" t="n">
        <f aca="false">RSQ(I64:L64,$A$5:$D$5)</f>
        <v>0.292243763896962</v>
      </c>
      <c r="E64" s="16" t="n">
        <f aca="false">ABS(C64-1)</f>
        <v>0.671200893657946</v>
      </c>
      <c r="F64" s="9" t="n">
        <f aca="false">AVERAGE(I64:L64)</f>
        <v>0.385058784471513</v>
      </c>
      <c r="G64" s="7" t="str">
        <f aca="false">IF(N64&lt;=30,"YES","")</f>
        <v/>
      </c>
      <c r="I64" s="9" t="n">
        <f aca="false">'House Vote Data'!G226</f>
        <v>0.389980074010817</v>
      </c>
      <c r="J64" s="9" t="n">
        <f aca="false">'House Vote Data'!G227</f>
        <v>0.36999813884236</v>
      </c>
      <c r="K64" s="9" t="n">
        <f aca="false">'House Vote Data'!G228</f>
        <v>0.394862468742896</v>
      </c>
      <c r="L64" s="9" t="n">
        <f aca="false">'House Vote Data'!G229</f>
        <v>0.385394456289979</v>
      </c>
      <c r="M64" s="8" t="n">
        <f aca="false">E64+(1-D64)</f>
        <v>1.37895712976098</v>
      </c>
      <c r="N64" s="8" t="n">
        <f aca="false">RANK(M64,$M$8:$M$96,1)</f>
        <v>74</v>
      </c>
    </row>
    <row r="65" customFormat="false" ht="15" hidden="false" customHeight="true" outlineLevel="0" collapsed="false">
      <c r="A65" s="8" t="s">
        <v>116</v>
      </c>
      <c r="B65" s="8" t="s">
        <v>111</v>
      </c>
      <c r="C65" s="16" t="n">
        <f aca="false">SLOPE(I65:L65,$A$5:$D$5)</f>
        <v>3.3634516605414</v>
      </c>
      <c r="D65" s="16" t="n">
        <f aca="false">RSQ(I65:L65,$A$5:$D$5)</f>
        <v>0.984808588382979</v>
      </c>
      <c r="E65" s="16" t="n">
        <f aca="false">ABS(C65-1)</f>
        <v>2.3634516605414</v>
      </c>
      <c r="F65" s="9" t="n">
        <f aca="false">AVERAGE(I65:L65)</f>
        <v>0.367680574358329</v>
      </c>
      <c r="G65" s="7" t="str">
        <f aca="false">IF(N65&lt;=30,"YES","")</f>
        <v/>
      </c>
      <c r="I65" s="9" t="n">
        <f aca="false">'House Vote Data'!G230</f>
        <v>0.454545454545455</v>
      </c>
      <c r="J65" s="9" t="n">
        <f aca="false">'House Vote Data'!G231</f>
        <v>0.330508474576271</v>
      </c>
      <c r="K65" s="9" t="n">
        <f aca="false">'House Vote Data'!G232</f>
        <v>0.36046511627907</v>
      </c>
      <c r="L65" s="9" t="n">
        <f aca="false">'House Vote Data'!G233</f>
        <v>0.32520325203252</v>
      </c>
      <c r="M65" s="8" t="n">
        <f aca="false">E65+(1-D65)</f>
        <v>2.37864307215842</v>
      </c>
      <c r="N65" s="8" t="n">
        <f aca="false">RANK(M65,$M$8:$M$96,1)</f>
        <v>87</v>
      </c>
    </row>
    <row r="66" customFormat="false" ht="15" hidden="false" customHeight="true" outlineLevel="0" collapsed="false">
      <c r="A66" s="8" t="s">
        <v>117</v>
      </c>
      <c r="B66" s="8" t="s">
        <v>111</v>
      </c>
      <c r="C66" s="16" t="n">
        <f aca="false">SLOPE(I66:L66,$A$5:$D$5)</f>
        <v>0.104151499905892</v>
      </c>
      <c r="D66" s="16" t="n">
        <f aca="false">RSQ(I66:L66,$A$5:$D$5)</f>
        <v>0.0148984180510133</v>
      </c>
      <c r="E66" s="16" t="n">
        <f aca="false">ABS(C66-1)</f>
        <v>0.895848500094108</v>
      </c>
      <c r="F66" s="9" t="n">
        <f aca="false">AVERAGE(I66:L66)</f>
        <v>0.4246642354395</v>
      </c>
      <c r="G66" s="7" t="str">
        <f aca="false">IF(N66&lt;=30,"YES","")</f>
        <v/>
      </c>
      <c r="I66" s="9" t="n">
        <f aca="false">'House Vote Data'!G234</f>
        <v>0.421898543445505</v>
      </c>
      <c r="J66" s="9" t="n">
        <f aca="false">'House Vote Data'!G235</f>
        <v>0.405135045015005</v>
      </c>
      <c r="K66" s="9" t="n">
        <f aca="false">'House Vote Data'!G236</f>
        <v>0.440603893524037</v>
      </c>
      <c r="L66" s="9" t="n">
        <f aca="false">'House Vote Data'!G237</f>
        <v>0.431019459773453</v>
      </c>
      <c r="M66" s="8" t="n">
        <f aca="false">E66+(1-D66)</f>
        <v>1.88095008204309</v>
      </c>
      <c r="N66" s="8" t="n">
        <f aca="false">RANK(M66,$M$8:$M$96,1)</f>
        <v>82</v>
      </c>
    </row>
    <row r="67" customFormat="false" ht="15" hidden="false" customHeight="true" outlineLevel="0" collapsed="false">
      <c r="A67" s="8" t="s">
        <v>118</v>
      </c>
      <c r="B67" s="8" t="s">
        <v>111</v>
      </c>
      <c r="C67" s="16" t="n">
        <f aca="false">SLOPE(I67:L67,$A$5:$D$5)</f>
        <v>0.406551986369316</v>
      </c>
      <c r="D67" s="16" t="n">
        <f aca="false">RSQ(I67:L67,$A$5:$D$5)</f>
        <v>0.0450966997325616</v>
      </c>
      <c r="E67" s="16" t="n">
        <f aca="false">ABS(C67-1)</f>
        <v>0.593448013630684</v>
      </c>
      <c r="F67" s="9" t="n">
        <f aca="false">AVERAGE(I67:L67)</f>
        <v>0.381646160638556</v>
      </c>
      <c r="G67" s="7" t="str">
        <f aca="false">IF(N67&lt;=30,"YES","")</f>
        <v/>
      </c>
      <c r="I67" s="9" t="n">
        <f aca="false">'House Vote Data'!G238</f>
        <v>0.39039039039039</v>
      </c>
      <c r="J67" s="9" t="n">
        <f aca="false">'House Vote Data'!G239</f>
        <v>0.333333333333333</v>
      </c>
      <c r="K67" s="9" t="n">
        <f aca="false">'House Vote Data'!G240</f>
        <v>0.39031339031339</v>
      </c>
      <c r="L67" s="9" t="n">
        <f aca="false">'House Vote Data'!G241</f>
        <v>0.41254752851711</v>
      </c>
      <c r="M67" s="8" t="n">
        <f aca="false">E67+(1-D67)</f>
        <v>1.54835131389812</v>
      </c>
      <c r="N67" s="8" t="n">
        <f aca="false">RANK(M67,$M$8:$M$96,1)</f>
        <v>77</v>
      </c>
    </row>
    <row r="68" customFormat="false" ht="15" hidden="false" customHeight="true" outlineLevel="0" collapsed="false">
      <c r="A68" s="8" t="s">
        <v>119</v>
      </c>
      <c r="B68" s="8" t="s">
        <v>111</v>
      </c>
      <c r="C68" s="16" t="n">
        <f aca="false">SLOPE(I68:L68,$A$5:$D$5)</f>
        <v>1.62082276678995</v>
      </c>
      <c r="D68" s="16" t="n">
        <f aca="false">RSQ(I68:L68,$A$5:$D$5)</f>
        <v>0.96081045645194</v>
      </c>
      <c r="E68" s="16" t="n">
        <f aca="false">ABS(C68-1)</f>
        <v>0.620822766789948</v>
      </c>
      <c r="F68" s="9" t="n">
        <f aca="false">AVERAGE(I68:L68)</f>
        <v>0.724868199119088</v>
      </c>
      <c r="G68" s="7" t="str">
        <f aca="false">IF(N68&lt;=30,"YES","")</f>
        <v/>
      </c>
      <c r="I68" s="9" t="n">
        <f aca="false">'House Vote Data'!G242</f>
        <v>0.761668172237278</v>
      </c>
      <c r="J68" s="9" t="n">
        <f aca="false">'House Vote Data'!G243</f>
        <v>0.706110668789809</v>
      </c>
      <c r="K68" s="9" t="n">
        <f aca="false">'House Vote Data'!G244</f>
        <v>0.734526998449175</v>
      </c>
      <c r="L68" s="9" t="n">
        <f aca="false">'House Vote Data'!G245</f>
        <v>0.697166957000092</v>
      </c>
      <c r="M68" s="8" t="n">
        <f aca="false">E68+(1-D68)</f>
        <v>0.660012310338008</v>
      </c>
      <c r="N68" s="8" t="n">
        <f aca="false">RANK(M68,$M$8:$M$96,1)</f>
        <v>35</v>
      </c>
    </row>
    <row r="69" customFormat="false" ht="15" hidden="false" customHeight="true" outlineLevel="0" collapsed="false">
      <c r="A69" s="8" t="s">
        <v>120</v>
      </c>
      <c r="B69" s="8" t="s">
        <v>111</v>
      </c>
      <c r="C69" s="16" t="n">
        <f aca="false">SLOPE(I69:L69,$A$5:$D$5)</f>
        <v>0.741648227042657</v>
      </c>
      <c r="D69" s="16" t="n">
        <f aca="false">RSQ(I69:L69,$A$5:$D$5)</f>
        <v>0.967289618346975</v>
      </c>
      <c r="E69" s="16" t="n">
        <f aca="false">ABS(C69-1)</f>
        <v>0.258351772957343</v>
      </c>
      <c r="F69" s="9" t="n">
        <f aca="false">AVERAGE(I69:L69)</f>
        <v>0.523139765825721</v>
      </c>
      <c r="G69" s="7" t="str">
        <f aca="false">IF(N69&lt;=30,"YES","")</f>
        <v>YES</v>
      </c>
      <c r="I69" s="9" t="n">
        <f aca="false">'House Vote Data'!G246</f>
        <v>0.541628684290489</v>
      </c>
      <c r="J69" s="9" t="n">
        <f aca="false">'House Vote Data'!G247</f>
        <v>0.511316350350147</v>
      </c>
      <c r="K69" s="9" t="n">
        <f aca="false">'House Vote Data'!G248</f>
        <v>0.52367758186398</v>
      </c>
      <c r="L69" s="9" t="n">
        <f aca="false">'House Vote Data'!G249</f>
        <v>0.515936446798267</v>
      </c>
      <c r="M69" s="8" t="n">
        <f aca="false">E69+(1-D69)</f>
        <v>0.291062154610368</v>
      </c>
      <c r="N69" s="8" t="n">
        <f aca="false">RANK(M69,$M$8:$M$96,1)</f>
        <v>8</v>
      </c>
    </row>
    <row r="70" customFormat="false" ht="15" hidden="false" customHeight="true" outlineLevel="0" collapsed="false">
      <c r="A70" s="8" t="s">
        <v>121</v>
      </c>
      <c r="B70" s="8" t="s">
        <v>111</v>
      </c>
      <c r="C70" s="16" t="n">
        <f aca="false">SLOPE(I70:L70,$A$5:$D$5)</f>
        <v>1.36588728043849</v>
      </c>
      <c r="D70" s="16" t="n">
        <f aca="false">RSQ(I70:L70,$A$5:$D$5)</f>
        <v>0.55171969252118</v>
      </c>
      <c r="E70" s="16" t="n">
        <f aca="false">ABS(C70-1)</f>
        <v>0.365887280438491</v>
      </c>
      <c r="F70" s="9" t="n">
        <f aca="false">AVERAGE(I70:L70)</f>
        <v>0.619164936896678</v>
      </c>
      <c r="G70" s="7" t="str">
        <f aca="false">IF(N70&lt;=30,"YES","")</f>
        <v/>
      </c>
      <c r="I70" s="9" t="n">
        <f aca="false">'House Vote Data'!G250</f>
        <v>0.662666666666667</v>
      </c>
      <c r="J70" s="9" t="n">
        <f aca="false">'House Vote Data'!G251</f>
        <v>0.625407166123778</v>
      </c>
      <c r="K70" s="9" t="n">
        <f aca="false">'House Vote Data'!G252</f>
        <v>0.592592592592593</v>
      </c>
      <c r="L70" s="9" t="n">
        <f aca="false">'House Vote Data'!G253</f>
        <v>0.595993322203673</v>
      </c>
      <c r="M70" s="8" t="n">
        <f aca="false">E70+(1-D70)</f>
        <v>0.814167587917311</v>
      </c>
      <c r="N70" s="8" t="n">
        <f aca="false">RANK(M70,$M$8:$M$96,1)</f>
        <v>48</v>
      </c>
    </row>
    <row r="71" customFormat="false" ht="15" hidden="false" customHeight="true" outlineLevel="0" collapsed="false">
      <c r="A71" s="8" t="s">
        <v>122</v>
      </c>
      <c r="B71" s="8" t="s">
        <v>111</v>
      </c>
      <c r="C71" s="16" t="n">
        <f aca="false">SLOPE(I71:L71,$A$5:$D$5)</f>
        <v>3.44954100492341</v>
      </c>
      <c r="D71" s="16" t="n">
        <f aca="false">RSQ(I71:L71,$A$5:$D$5)</f>
        <v>0.800556132857509</v>
      </c>
      <c r="E71" s="16" t="n">
        <f aca="false">ABS(C71-1)</f>
        <v>2.44954100492341</v>
      </c>
      <c r="F71" s="9" t="n">
        <f aca="false">AVERAGE(I71:L71)</f>
        <v>0.547725180575569</v>
      </c>
      <c r="G71" s="7" t="str">
        <f aca="false">IF(N71&lt;=30,"YES","")</f>
        <v/>
      </c>
      <c r="I71" s="9" t="n">
        <f aca="false">'House Vote Data'!G254</f>
        <v>0.648648648648649</v>
      </c>
      <c r="J71" s="9" t="n">
        <f aca="false">'House Vote Data'!G255</f>
        <v>0.502487562189055</v>
      </c>
      <c r="K71" s="9" t="n">
        <f aca="false">'House Vote Data'!G256</f>
        <v>0.51063829787234</v>
      </c>
      <c r="L71" s="9" t="n">
        <f aca="false">'House Vote Data'!G257</f>
        <v>0.529126213592233</v>
      </c>
      <c r="M71" s="8" t="n">
        <f aca="false">E71+(1-D71)</f>
        <v>2.6489848720659</v>
      </c>
      <c r="N71" s="8" t="n">
        <f aca="false">RANK(M71,$M$8:$M$96,1)</f>
        <v>88</v>
      </c>
    </row>
    <row r="72" customFormat="false" ht="15" hidden="false" customHeight="true" outlineLevel="0" collapsed="false">
      <c r="A72" s="8" t="s">
        <v>89</v>
      </c>
      <c r="B72" s="8" t="s">
        <v>111</v>
      </c>
      <c r="C72" s="16" t="n">
        <f aca="false">SLOPE(I72:L72,$A$5:$D$5)</f>
        <v>0.0428419575130055</v>
      </c>
      <c r="D72" s="16" t="n">
        <f aca="false">RSQ(I72:L72,$A$5:$D$5)</f>
        <v>0.00861027520737849</v>
      </c>
      <c r="E72" s="16" t="n">
        <f aca="false">ABS(C72-1)</f>
        <v>0.957158042486995</v>
      </c>
      <c r="F72" s="9" t="n">
        <f aca="false">AVERAGE(I72:L72)</f>
        <v>0.543282828254617</v>
      </c>
      <c r="G72" s="7" t="str">
        <f aca="false">IF(N72&lt;=30,"YES","")</f>
        <v/>
      </c>
      <c r="I72" s="9" t="n">
        <f aca="false">'House Vote Data'!G258</f>
        <v>0.54089709762533</v>
      </c>
      <c r="J72" s="9" t="n">
        <f aca="false">'House Vote Data'!G259</f>
        <v>0.533719904197655</v>
      </c>
      <c r="K72" s="9" t="n">
        <f aca="false">'House Vote Data'!G260</f>
        <v>0.553231055323106</v>
      </c>
      <c r="L72" s="9" t="n">
        <f aca="false">'House Vote Data'!G261</f>
        <v>0.545283255872378</v>
      </c>
      <c r="M72" s="8" t="n">
        <f aca="false">E72+(1-D72)</f>
        <v>1.94854776727962</v>
      </c>
      <c r="N72" s="8" t="n">
        <f aca="false">RANK(M72,$M$8:$M$96,1)</f>
        <v>86</v>
      </c>
    </row>
    <row r="73" customFormat="false" ht="15" hidden="false" customHeight="true" outlineLevel="0" collapsed="false">
      <c r="A73" s="8" t="s">
        <v>123</v>
      </c>
      <c r="B73" s="8" t="s">
        <v>111</v>
      </c>
      <c r="C73" s="16" t="n">
        <f aca="false">SLOPE(I73:L73,$A$5:$D$5)</f>
        <v>1.53599248974631</v>
      </c>
      <c r="D73" s="16" t="n">
        <f aca="false">RSQ(I73:L73,$A$5:$D$5)</f>
        <v>0.986882958419095</v>
      </c>
      <c r="E73" s="16" t="n">
        <f aca="false">ABS(C73-1)</f>
        <v>0.535992489746312</v>
      </c>
      <c r="F73" s="9" t="n">
        <f aca="false">AVERAGE(I73:L73)</f>
        <v>0.527092441845504</v>
      </c>
      <c r="G73" s="7" t="str">
        <f aca="false">IF(N73&lt;=30,"YES","")</f>
        <v>YES</v>
      </c>
      <c r="I73" s="9" t="n">
        <f aca="false">'House Vote Data'!G262</f>
        <v>0.563291139240506</v>
      </c>
      <c r="J73" s="9" t="n">
        <f aca="false">'House Vote Data'!G263</f>
        <v>0.505838967424708</v>
      </c>
      <c r="K73" s="9" t="n">
        <f aca="false">'House Vote Data'!G264</f>
        <v>0.53322969296541</v>
      </c>
      <c r="L73" s="9" t="n">
        <f aca="false">'House Vote Data'!G265</f>
        <v>0.506009967751393</v>
      </c>
      <c r="M73" s="8" t="n">
        <f aca="false">E73+(1-D73)</f>
        <v>0.549109531327218</v>
      </c>
      <c r="N73" s="8" t="n">
        <f aca="false">RANK(M73,$M$8:$M$96,1)</f>
        <v>26</v>
      </c>
    </row>
    <row r="74" customFormat="false" ht="15" hidden="false" customHeight="true" outlineLevel="0" collapsed="false">
      <c r="A74" s="8" t="s">
        <v>81</v>
      </c>
      <c r="B74" s="8" t="s">
        <v>111</v>
      </c>
      <c r="C74" s="16" t="n">
        <f aca="false">SLOPE(I74:L74,$A$5:$D$5)</f>
        <v>0.75422315547335</v>
      </c>
      <c r="D74" s="16" t="n">
        <f aca="false">RSQ(I74:L74,$A$5:$D$5)</f>
        <v>0.917241609198482</v>
      </c>
      <c r="E74" s="16" t="n">
        <f aca="false">ABS(C74-1)</f>
        <v>0.24577684452665</v>
      </c>
      <c r="F74" s="9" t="n">
        <f aca="false">AVERAGE(I74:L74)</f>
        <v>0.346508016322232</v>
      </c>
      <c r="G74" s="7" t="str">
        <f aca="false">IF(N74&lt;=30,"YES","")</f>
        <v>YES</v>
      </c>
      <c r="I74" s="9" t="n">
        <f aca="false">'House Vote Data'!G266</f>
        <v>0.36297341801929</v>
      </c>
      <c r="J74" s="9" t="n">
        <f aca="false">'House Vote Data'!G267</f>
        <v>0.334167318217357</v>
      </c>
      <c r="K74" s="9" t="n">
        <f aca="false">'House Vote Data'!G268</f>
        <v>0.353113983548766</v>
      </c>
      <c r="L74" s="9" t="n">
        <f aca="false">'House Vote Data'!G269</f>
        <v>0.335777345503516</v>
      </c>
      <c r="M74" s="8" t="n">
        <f aca="false">E74+(1-D74)</f>
        <v>0.328535235328167</v>
      </c>
      <c r="N74" s="8" t="n">
        <f aca="false">RANK(M74,$M$8:$M$96,1)</f>
        <v>9</v>
      </c>
    </row>
    <row r="75" customFormat="false" ht="15" hidden="false" customHeight="true" outlineLevel="0" collapsed="false">
      <c r="A75" s="8" t="s">
        <v>124</v>
      </c>
      <c r="B75" s="8" t="s">
        <v>111</v>
      </c>
      <c r="C75" s="16" t="n">
        <f aca="false">SLOPE(I75:L75,$A$5:$D$5)</f>
        <v>1.98744776535846</v>
      </c>
      <c r="D75" s="16" t="n">
        <f aca="false">RSQ(I75:L75,$A$5:$D$5)</f>
        <v>0.987391237651183</v>
      </c>
      <c r="E75" s="16" t="n">
        <f aca="false">ABS(C75-1)</f>
        <v>0.987447765358458</v>
      </c>
      <c r="F75" s="9" t="n">
        <f aca="false">AVERAGE(I75:L75)</f>
        <v>0.362460491630996</v>
      </c>
      <c r="G75" s="7" t="str">
        <f aca="false">IF(N75&lt;=30,"YES","")</f>
        <v/>
      </c>
      <c r="I75" s="9" t="n">
        <f aca="false">'House Vote Data'!G270</f>
        <v>0.411458333333333</v>
      </c>
      <c r="J75" s="9" t="n">
        <f aca="false">'House Vote Data'!G271</f>
        <v>0.333525014376078</v>
      </c>
      <c r="K75" s="9" t="n">
        <f aca="false">'House Vote Data'!G272</f>
        <v>0.365</v>
      </c>
      <c r="L75" s="9" t="n">
        <f aca="false">'House Vote Data'!G273</f>
        <v>0.339858618814573</v>
      </c>
      <c r="M75" s="8" t="n">
        <f aca="false">E75+(1-D75)</f>
        <v>1.00005652770728</v>
      </c>
      <c r="N75" s="8" t="n">
        <f aca="false">RANK(M75,$M$8:$M$96,1)</f>
        <v>64</v>
      </c>
    </row>
    <row r="76" customFormat="false" ht="15" hidden="false" customHeight="true" outlineLevel="0" collapsed="false">
      <c r="A76" s="8" t="s">
        <v>125</v>
      </c>
      <c r="B76" s="8" t="s">
        <v>111</v>
      </c>
      <c r="C76" s="16" t="n">
        <f aca="false">SLOPE(I76:L76,$A$5:$D$5)</f>
        <v>0.187546771978684</v>
      </c>
      <c r="D76" s="16" t="n">
        <f aca="false">RSQ(I76:L76,$A$5:$D$5)</f>
        <v>0.0782726123341349</v>
      </c>
      <c r="E76" s="16" t="n">
        <f aca="false">ABS(C76-1)</f>
        <v>0.812453228021317</v>
      </c>
      <c r="F76" s="9" t="n">
        <f aca="false">AVERAGE(I76:L76)</f>
        <v>0.439687004067185</v>
      </c>
      <c r="G76" s="7" t="str">
        <f aca="false">IF(N76&lt;=30,"YES","")</f>
        <v/>
      </c>
      <c r="I76" s="9" t="n">
        <f aca="false">'House Vote Data'!G274</f>
        <v>0.444444444444444</v>
      </c>
      <c r="J76" s="9" t="n">
        <f aca="false">'House Vote Data'!G275</f>
        <v>0.422817281728173</v>
      </c>
      <c r="K76" s="9" t="n">
        <f aca="false">'House Vote Data'!G276</f>
        <v>0.441200324412003</v>
      </c>
      <c r="L76" s="9" t="n">
        <f aca="false">'House Vote Data'!G277</f>
        <v>0.450285965684118</v>
      </c>
      <c r="M76" s="8" t="n">
        <f aca="false">E76+(1-D76)</f>
        <v>1.73418061568718</v>
      </c>
      <c r="N76" s="8" t="n">
        <f aca="false">RANK(M76,$M$8:$M$96,1)</f>
        <v>81</v>
      </c>
    </row>
    <row r="77" customFormat="false" ht="15" hidden="false" customHeight="true" outlineLevel="0" collapsed="false">
      <c r="A77" s="8" t="s">
        <v>126</v>
      </c>
      <c r="B77" s="8" t="s">
        <v>111</v>
      </c>
      <c r="C77" s="16" t="n">
        <f aca="false">SLOPE(I77:L77,$A$5:$D$5)</f>
        <v>0.537752333069431</v>
      </c>
      <c r="D77" s="16" t="n">
        <f aca="false">RSQ(I77:L77,$A$5:$D$5)</f>
        <v>0.618105250923929</v>
      </c>
      <c r="E77" s="16" t="n">
        <f aca="false">ABS(C77-1)</f>
        <v>0.462247666930569</v>
      </c>
      <c r="F77" s="9" t="n">
        <f aca="false">AVERAGE(I77:L77)</f>
        <v>0.482097242784183</v>
      </c>
      <c r="G77" s="7" t="str">
        <f aca="false">IF(N77&lt;=30,"YES","")</f>
        <v/>
      </c>
      <c r="I77" s="9" t="n">
        <f aca="false">'House Vote Data'!G278</f>
        <v>0.491866769945779</v>
      </c>
      <c r="J77" s="9" t="n">
        <f aca="false">'House Vote Data'!G279</f>
        <v>0.467990556867102</v>
      </c>
      <c r="K77" s="9" t="n">
        <f aca="false">'House Vote Data'!G280</f>
        <v>0.492491985827569</v>
      </c>
      <c r="L77" s="9" t="n">
        <f aca="false">'House Vote Data'!G281</f>
        <v>0.476039658496282</v>
      </c>
      <c r="M77" s="8" t="n">
        <f aca="false">E77+(1-D77)</f>
        <v>0.844142416006641</v>
      </c>
      <c r="N77" s="8" t="n">
        <f aca="false">RANK(M77,$M$8:$M$96,1)</f>
        <v>50</v>
      </c>
    </row>
    <row r="78" customFormat="false" ht="15" hidden="false" customHeight="true" outlineLevel="0" collapsed="false">
      <c r="A78" s="8" t="s">
        <v>127</v>
      </c>
      <c r="B78" s="8" t="s">
        <v>111</v>
      </c>
      <c r="C78" s="16" t="n">
        <f aca="false">SLOPE(I78:L78,$A$5:$D$5)</f>
        <v>0.734426690738191</v>
      </c>
      <c r="D78" s="16" t="n">
        <f aca="false">RSQ(I78:L78,$A$5:$D$5)</f>
        <v>0.913476707767098</v>
      </c>
      <c r="E78" s="16" t="n">
        <f aca="false">ABS(C78-1)</f>
        <v>0.265573309261809</v>
      </c>
      <c r="F78" s="9" t="n">
        <f aca="false">AVERAGE(I78:L78)</f>
        <v>0.342704571305577</v>
      </c>
      <c r="G78" s="7" t="str">
        <f aca="false">IF(N78&lt;=30,"YES","")</f>
        <v>YES</v>
      </c>
      <c r="I78" s="9" t="n">
        <f aca="false">'House Vote Data'!G282</f>
        <v>0.3585291113381</v>
      </c>
      <c r="J78" s="9" t="n">
        <f aca="false">'House Vote Data'!G283</f>
        <v>0.331892826274849</v>
      </c>
      <c r="K78" s="9" t="n">
        <f aca="false">'House Vote Data'!G284</f>
        <v>0.349537037037037</v>
      </c>
      <c r="L78" s="9" t="n">
        <f aca="false">'House Vote Data'!G285</f>
        <v>0.330859310572324</v>
      </c>
      <c r="M78" s="8" t="n">
        <f aca="false">E78+(1-D78)</f>
        <v>0.352096601494712</v>
      </c>
      <c r="N78" s="8" t="n">
        <f aca="false">RANK(M78,$M$8:$M$96,1)</f>
        <v>11</v>
      </c>
    </row>
    <row r="79" customFormat="false" ht="15" hidden="false" customHeight="true" outlineLevel="0" collapsed="false">
      <c r="A79" s="8" t="s">
        <v>128</v>
      </c>
      <c r="B79" s="8" t="s">
        <v>111</v>
      </c>
      <c r="C79" s="16" t="n">
        <f aca="false">SLOPE(I79:L79,$A$5:$D$5)</f>
        <v>1.25555286087498</v>
      </c>
      <c r="D79" s="16" t="n">
        <f aca="false">RSQ(I79:L79,$A$5:$D$5)</f>
        <v>0.840867426880384</v>
      </c>
      <c r="E79" s="16" t="n">
        <f aca="false">ABS(C79-1)</f>
        <v>0.255552860874977</v>
      </c>
      <c r="F79" s="9" t="n">
        <f aca="false">AVERAGE(I79:L79)</f>
        <v>0.503810327814116</v>
      </c>
      <c r="G79" s="7" t="str">
        <f aca="false">IF(N79&lt;=30,"YES","")</f>
        <v>YES</v>
      </c>
      <c r="I79" s="9" t="n">
        <f aca="false">'House Vote Data'!G286</f>
        <v>0.530573847601129</v>
      </c>
      <c r="J79" s="9" t="n">
        <f aca="false">'House Vote Data'!G287</f>
        <v>0.478023740776388</v>
      </c>
      <c r="K79" s="9" t="n">
        <f aca="false">'House Vote Data'!G288</f>
        <v>0.517073170731707</v>
      </c>
      <c r="L79" s="9" t="n">
        <f aca="false">'House Vote Data'!G289</f>
        <v>0.489570552147239</v>
      </c>
      <c r="M79" s="8" t="n">
        <f aca="false">E79+(1-D79)</f>
        <v>0.414685433994593</v>
      </c>
      <c r="N79" s="8" t="n">
        <f aca="false">RANK(M79,$M$8:$M$96,1)</f>
        <v>17</v>
      </c>
    </row>
    <row r="80" customFormat="false" ht="15" hidden="false" customHeight="true" outlineLevel="0" collapsed="false">
      <c r="A80" s="8" t="s">
        <v>129</v>
      </c>
      <c r="B80" s="8" t="s">
        <v>111</v>
      </c>
      <c r="C80" s="16" t="n">
        <f aca="false">SLOPE(I80:L80,$A$5:$D$5)</f>
        <v>0.822939867286669</v>
      </c>
      <c r="D80" s="16" t="n">
        <f aca="false">RSQ(I80:L80,$A$5:$D$5)</f>
        <v>0.556855112113627</v>
      </c>
      <c r="E80" s="16" t="n">
        <f aca="false">ABS(C80-1)</f>
        <v>0.177060132713331</v>
      </c>
      <c r="F80" s="9" t="n">
        <f aca="false">AVERAGE(I80:L80)</f>
        <v>0.49083324936826</v>
      </c>
      <c r="G80" s="7" t="str">
        <f aca="false">IF(N80&lt;=30,"YES","")</f>
        <v/>
      </c>
      <c r="I80" s="9" t="n">
        <f aca="false">'House Vote Data'!G290</f>
        <v>0.507095553453169</v>
      </c>
      <c r="J80" s="9" t="n">
        <f aca="false">'House Vote Data'!G291</f>
        <v>0.464421855146125</v>
      </c>
      <c r="K80" s="9" t="n">
        <f aca="false">'House Vote Data'!G292</f>
        <v>0.503912363067293</v>
      </c>
      <c r="L80" s="9" t="n">
        <f aca="false">'House Vote Data'!G293</f>
        <v>0.487903225806452</v>
      </c>
      <c r="M80" s="8" t="n">
        <f aca="false">E80+(1-D80)</f>
        <v>0.620205020599703</v>
      </c>
      <c r="N80" s="8" t="n">
        <f aca="false">RANK(M80,$M$8:$M$96,1)</f>
        <v>31</v>
      </c>
    </row>
    <row r="81" customFormat="false" ht="15" hidden="false" customHeight="true" outlineLevel="0" collapsed="false">
      <c r="A81" s="8" t="s">
        <v>111</v>
      </c>
      <c r="B81" s="8" t="s">
        <v>111</v>
      </c>
      <c r="C81" s="16" t="n">
        <f aca="false">SLOPE(I81:L81,$A$5:$D$5)</f>
        <v>1.3501867211698</v>
      </c>
      <c r="D81" s="16" t="n">
        <f aca="false">RSQ(I81:L81,$A$5:$D$5)</f>
        <v>0.71166176905</v>
      </c>
      <c r="E81" s="16" t="n">
        <f aca="false">ABS(C81-1)</f>
        <v>0.350186721169799</v>
      </c>
      <c r="F81" s="9" t="n">
        <f aca="false">AVERAGE(I81:L81)</f>
        <v>0.476459327524166</v>
      </c>
      <c r="G81" s="7" t="str">
        <f aca="false">IF(N81&lt;=30,"YES","")</f>
        <v/>
      </c>
      <c r="I81" s="9" t="n">
        <f aca="false">'House Vote Data'!G294</f>
        <v>0.502436053593179</v>
      </c>
      <c r="J81" s="9" t="n">
        <f aca="false">'House Vote Data'!G295</f>
        <v>0.445263754963131</v>
      </c>
      <c r="K81" s="9" t="n">
        <f aca="false">'House Vote Data'!G296</f>
        <v>0.49834479246244</v>
      </c>
      <c r="L81" s="9" t="n">
        <f aca="false">'House Vote Data'!G297</f>
        <v>0.459792709077913</v>
      </c>
      <c r="M81" s="8" t="n">
        <f aca="false">E81+(1-D81)</f>
        <v>0.638524952119799</v>
      </c>
      <c r="N81" s="8" t="n">
        <f aca="false">RANK(M81,$M$8:$M$96,1)</f>
        <v>32</v>
      </c>
    </row>
    <row r="82" customFormat="false" ht="15" hidden="false" customHeight="true" outlineLevel="0" collapsed="false">
      <c r="A82" s="8" t="s">
        <v>130</v>
      </c>
      <c r="B82" s="8" t="s">
        <v>111</v>
      </c>
      <c r="C82" s="16" t="n">
        <f aca="false">SLOPE(I82:L82,$A$5:$D$5)</f>
        <v>0.913232623364295</v>
      </c>
      <c r="D82" s="16" t="n">
        <f aca="false">RSQ(I82:L82,$A$5:$D$5)</f>
        <v>0.937642604262978</v>
      </c>
      <c r="E82" s="16" t="n">
        <f aca="false">ABS(C82-1)</f>
        <v>0.0867673766357054</v>
      </c>
      <c r="F82" s="9" t="n">
        <f aca="false">AVERAGE(I82:L82)</f>
        <v>0.518742156056046</v>
      </c>
      <c r="G82" s="7" t="str">
        <f aca="false">IF(N82&lt;=30,"YES","")</f>
        <v>YES</v>
      </c>
      <c r="I82" s="9" t="n">
        <f aca="false">'House Vote Data'!G298</f>
        <v>0.539835936622092</v>
      </c>
      <c r="J82" s="9" t="n">
        <f aca="false">'House Vote Data'!G299</f>
        <v>0.502551020408163</v>
      </c>
      <c r="K82" s="9" t="n">
        <f aca="false">'House Vote Data'!G300</f>
        <v>0.523901871424416</v>
      </c>
      <c r="L82" s="9" t="n">
        <f aca="false">'House Vote Data'!G301</f>
        <v>0.508679795769511</v>
      </c>
      <c r="M82" s="8" t="n">
        <f aca="false">E82+(1-D82)</f>
        <v>0.149124772372728</v>
      </c>
      <c r="N82" s="8" t="n">
        <f aca="false">RANK(M82,$M$8:$M$96,1)</f>
        <v>4</v>
      </c>
    </row>
    <row r="83" customFormat="false" ht="15" hidden="false" customHeight="true" outlineLevel="0" collapsed="false">
      <c r="A83" s="8" t="s">
        <v>131</v>
      </c>
      <c r="B83" s="8" t="s">
        <v>111</v>
      </c>
      <c r="C83" s="16" t="n">
        <f aca="false">SLOPE(I83:L83,$A$5:$D$5)</f>
        <v>0.961452176926308</v>
      </c>
      <c r="D83" s="16" t="n">
        <f aca="false">RSQ(I83:L83,$A$5:$D$5)</f>
        <v>0.941274715026061</v>
      </c>
      <c r="E83" s="16" t="n">
        <f aca="false">ABS(C83-1)</f>
        <v>0.0385478230736925</v>
      </c>
      <c r="F83" s="9" t="n">
        <f aca="false">AVERAGE(I83:L83)</f>
        <v>0.391875507375266</v>
      </c>
      <c r="G83" s="7" t="str">
        <f aca="false">IF(N83&lt;=30,"YES","")</f>
        <v>YES</v>
      </c>
      <c r="I83" s="9" t="n">
        <f aca="false">'House Vote Data'!G302</f>
        <v>0.414029084687767</v>
      </c>
      <c r="J83" s="9" t="n">
        <f aca="false">'House Vote Data'!G303</f>
        <v>0.383701188455009</v>
      </c>
      <c r="K83" s="9" t="n">
        <f aca="false">'House Vote Data'!G304</f>
        <v>0.396431342125679</v>
      </c>
      <c r="L83" s="9" t="n">
        <f aca="false">'House Vote Data'!G305</f>
        <v>0.373340414232608</v>
      </c>
      <c r="M83" s="8" t="n">
        <f aca="false">E83+(1-D83)</f>
        <v>0.097273108047632</v>
      </c>
      <c r="N83" s="8" t="n">
        <f aca="false">RANK(M83,$M$8:$M$96,1)</f>
        <v>2</v>
      </c>
    </row>
    <row r="84" customFormat="false" ht="15" hidden="false" customHeight="true" outlineLevel="0" collapsed="false">
      <c r="A84" s="8" t="s">
        <v>132</v>
      </c>
      <c r="B84" s="8" t="s">
        <v>111</v>
      </c>
      <c r="C84" s="16" t="n">
        <f aca="false">SLOPE(I84:L84,$A$5:$D$5)</f>
        <v>1.30095841147263</v>
      </c>
      <c r="D84" s="16" t="n">
        <f aca="false">RSQ(I84:L84,$A$5:$D$5)</f>
        <v>0.867093492416097</v>
      </c>
      <c r="E84" s="16" t="n">
        <f aca="false">ABS(C84-1)</f>
        <v>0.300958411472627</v>
      </c>
      <c r="F84" s="9" t="n">
        <f aca="false">AVERAGE(I84:L84)</f>
        <v>0.361950469589255</v>
      </c>
      <c r="G84" s="7" t="str">
        <f aca="false">IF(N84&lt;=30,"YES","")</f>
        <v>YES</v>
      </c>
      <c r="I84" s="9" t="n">
        <f aca="false">'House Vote Data'!G306</f>
        <v>0.398900667451904</v>
      </c>
      <c r="J84" s="9" t="n">
        <f aca="false">'House Vote Data'!G307</f>
        <v>0.351851851851852</v>
      </c>
      <c r="K84" s="9" t="n">
        <f aca="false">'House Vote Data'!G308</f>
        <v>0.350032530904359</v>
      </c>
      <c r="L84" s="9" t="n">
        <f aca="false">'House Vote Data'!G309</f>
        <v>0.347016828148904</v>
      </c>
      <c r="M84" s="8" t="n">
        <f aca="false">E84+(1-D84)</f>
        <v>0.43386491905653</v>
      </c>
      <c r="N84" s="8" t="n">
        <f aca="false">RANK(M84,$M$8:$M$96,1)</f>
        <v>18</v>
      </c>
    </row>
    <row r="85" customFormat="false" ht="15" hidden="false" customHeight="true" outlineLevel="0" collapsed="false">
      <c r="A85" s="8" t="s">
        <v>133</v>
      </c>
      <c r="B85" s="8" t="s">
        <v>111</v>
      </c>
      <c r="C85" s="16" t="n">
        <f aca="false">SLOPE(I85:L85,$A$5:$D$5)</f>
        <v>0.852478161702745</v>
      </c>
      <c r="D85" s="16" t="n">
        <f aca="false">RSQ(I85:L85,$A$5:$D$5)</f>
        <v>0.475053669737761</v>
      </c>
      <c r="E85" s="16" t="n">
        <f aca="false">ABS(C85-1)</f>
        <v>0.147521838297255</v>
      </c>
      <c r="F85" s="9" t="n">
        <f aca="false">AVERAGE(I85:L85)</f>
        <v>0.34696713736112</v>
      </c>
      <c r="G85" s="7" t="str">
        <f aca="false">IF(N85&lt;=30,"YES","")</f>
        <v/>
      </c>
      <c r="I85" s="9" t="n">
        <f aca="false">'House Vote Data'!G310</f>
        <v>0.373493975903614</v>
      </c>
      <c r="J85" s="9" t="n">
        <f aca="false">'House Vote Data'!G311</f>
        <v>0.324110671936759</v>
      </c>
      <c r="K85" s="9" t="n">
        <f aca="false">'House Vote Data'!G312</f>
        <v>0.335051546391753</v>
      </c>
      <c r="L85" s="9" t="n">
        <f aca="false">'House Vote Data'!G313</f>
        <v>0.355212355212355</v>
      </c>
      <c r="M85" s="8" t="n">
        <f aca="false">E85+(1-D85)</f>
        <v>0.672468168559494</v>
      </c>
      <c r="N85" s="8" t="n">
        <f aca="false">RANK(M85,$M$8:$M$96,1)</f>
        <v>39</v>
      </c>
    </row>
    <row r="86" customFormat="false" ht="15" hidden="false" customHeight="true" outlineLevel="0" collapsed="false">
      <c r="A86" s="8" t="s">
        <v>134</v>
      </c>
      <c r="B86" s="8" t="s">
        <v>111</v>
      </c>
      <c r="C86" s="16" t="n">
        <f aca="false">SLOPE(I86:L86,$A$5:$D$5)</f>
        <v>1.43637172119665</v>
      </c>
      <c r="D86" s="16" t="n">
        <f aca="false">RSQ(I86:L86,$A$5:$D$5)</f>
        <v>0.990381665666342</v>
      </c>
      <c r="E86" s="16" t="n">
        <f aca="false">ABS(C86-1)</f>
        <v>0.436371721196651</v>
      </c>
      <c r="F86" s="9" t="n">
        <f aca="false">AVERAGE(I86:L86)</f>
        <v>0.383688714912847</v>
      </c>
      <c r="G86" s="7" t="str">
        <f aca="false">IF(N86&lt;=30,"YES","")</f>
        <v>YES</v>
      </c>
      <c r="I86" s="9" t="n">
        <f aca="false">'House Vote Data'!G314</f>
        <v>0.420415224913495</v>
      </c>
      <c r="J86" s="9" t="n">
        <f aca="false">'House Vote Data'!G315</f>
        <v>0.366962305986696</v>
      </c>
      <c r="K86" s="9" t="n">
        <f aca="false">'House Vote Data'!G316</f>
        <v>0.381656804733728</v>
      </c>
      <c r="L86" s="9" t="n">
        <f aca="false">'House Vote Data'!G317</f>
        <v>0.365720524017467</v>
      </c>
      <c r="M86" s="8" t="n">
        <f aca="false">E86+(1-D86)</f>
        <v>0.44599005553031</v>
      </c>
      <c r="N86" s="8" t="n">
        <f aca="false">RANK(M86,$M$8:$M$96,1)</f>
        <v>20</v>
      </c>
    </row>
    <row r="87" customFormat="false" ht="15" hidden="false" customHeight="true" outlineLevel="0" collapsed="false">
      <c r="A87" s="8" t="s">
        <v>135</v>
      </c>
      <c r="B87" s="8" t="s">
        <v>111</v>
      </c>
      <c r="C87" s="16" t="n">
        <f aca="false">SLOPE(I87:L87,$A$5:$D$5)</f>
        <v>1.21856794666963</v>
      </c>
      <c r="D87" s="16" t="n">
        <f aca="false">RSQ(I87:L87,$A$5:$D$5)</f>
        <v>0.949117678139461</v>
      </c>
      <c r="E87" s="16" t="n">
        <f aca="false">ABS(C87-1)</f>
        <v>0.21856794666963</v>
      </c>
      <c r="F87" s="9" t="n">
        <f aca="false">AVERAGE(I87:L87)</f>
        <v>0.419495644254618</v>
      </c>
      <c r="G87" s="7" t="str">
        <f aca="false">IF(N87&lt;=30,"YES","")</f>
        <v>YES</v>
      </c>
      <c r="I87" s="9" t="n">
        <f aca="false">'House Vote Data'!G318</f>
        <v>0.452229299363057</v>
      </c>
      <c r="J87" s="9" t="n">
        <f aca="false">'House Vote Data'!G319</f>
        <v>0.407692307692308</v>
      </c>
      <c r="K87" s="9" t="n">
        <f aca="false">'House Vote Data'!G320</f>
        <v>0.41343669250646</v>
      </c>
      <c r="L87" s="9" t="n">
        <f aca="false">'House Vote Data'!G321</f>
        <v>0.404624277456647</v>
      </c>
      <c r="M87" s="8" t="n">
        <f aca="false">E87+(1-D87)</f>
        <v>0.26945026853017</v>
      </c>
      <c r="N87" s="8" t="n">
        <f aca="false">RANK(M87,$M$8:$M$96,1)</f>
        <v>7</v>
      </c>
    </row>
    <row r="88" customFormat="false" ht="15" hidden="false" customHeight="true" outlineLevel="0" collapsed="false">
      <c r="A88" s="8" t="s">
        <v>136</v>
      </c>
      <c r="B88" s="8" t="s">
        <v>111</v>
      </c>
      <c r="C88" s="16" t="n">
        <f aca="false">SLOPE(I88:L88,$A$5:$D$5)</f>
        <v>0.518416925079337</v>
      </c>
      <c r="D88" s="16" t="n">
        <f aca="false">RSQ(I88:L88,$A$5:$D$5)</f>
        <v>0.4879479591448</v>
      </c>
      <c r="E88" s="16" t="n">
        <f aca="false">ABS(C88-1)</f>
        <v>0.481583074920663</v>
      </c>
      <c r="F88" s="9" t="n">
        <f aca="false">AVERAGE(I88:L88)</f>
        <v>0.422224009206599</v>
      </c>
      <c r="G88" s="7" t="str">
        <f aca="false">IF(N88&lt;=30,"YES","")</f>
        <v/>
      </c>
      <c r="I88" s="9" t="n">
        <f aca="false">'House Vote Data'!G322</f>
        <v>0.431460674157303</v>
      </c>
      <c r="J88" s="9" t="n">
        <f aca="false">'House Vote Data'!G323</f>
        <v>0.404761904761905</v>
      </c>
      <c r="K88" s="9" t="n">
        <f aca="false">'House Vote Data'!G324</f>
        <v>0.433155080213904</v>
      </c>
      <c r="L88" s="9" t="n">
        <f aca="false">'House Vote Data'!G325</f>
        <v>0.419518377693283</v>
      </c>
      <c r="M88" s="8" t="n">
        <f aca="false">E88+(1-D88)</f>
        <v>0.993635115775862</v>
      </c>
      <c r="N88" s="8" t="n">
        <f aca="false">RANK(M88,$M$8:$M$96,1)</f>
        <v>63</v>
      </c>
    </row>
    <row r="89" customFormat="false" ht="15" hidden="false" customHeight="true" outlineLevel="0" collapsed="false">
      <c r="A89" s="8" t="s">
        <v>137</v>
      </c>
      <c r="B89" s="8" t="s">
        <v>111</v>
      </c>
      <c r="C89" s="16" t="n">
        <f aca="false">SLOPE(I89:L89,$A$5:$D$5)</f>
        <v>1.22476963535253</v>
      </c>
      <c r="D89" s="16" t="n">
        <f aca="false">RSQ(I89:L89,$A$5:$D$5)</f>
        <v>0.994879113785532</v>
      </c>
      <c r="E89" s="16" t="n">
        <f aca="false">ABS(C89-1)</f>
        <v>0.224769635352528</v>
      </c>
      <c r="F89" s="9" t="n">
        <f aca="false">AVERAGE(I89:L89)</f>
        <v>0.330429842689744</v>
      </c>
      <c r="G89" s="7" t="str">
        <f aca="false">IF(N89&lt;=30,"YES","")</f>
        <v>YES</v>
      </c>
      <c r="I89" s="9" t="n">
        <f aca="false">'House Vote Data'!G326</f>
        <v>0.36136023916293</v>
      </c>
      <c r="J89" s="9" t="n">
        <f aca="false">'House Vote Data'!G327</f>
        <v>0.316964285714286</v>
      </c>
      <c r="K89" s="9" t="n">
        <f aca="false">'House Vote Data'!G328</f>
        <v>0.3296</v>
      </c>
      <c r="L89" s="9" t="n">
        <f aca="false">'House Vote Data'!G329</f>
        <v>0.313794845881759</v>
      </c>
      <c r="M89" s="8" t="n">
        <f aca="false">E89+(1-D89)</f>
        <v>0.229890521566996</v>
      </c>
      <c r="N89" s="8" t="n">
        <f aca="false">RANK(M89,$M$8:$M$96,1)</f>
        <v>6</v>
      </c>
    </row>
    <row r="90" customFormat="false" ht="15" hidden="false" customHeight="true" outlineLevel="0" collapsed="false">
      <c r="A90" s="8" t="s">
        <v>138</v>
      </c>
      <c r="B90" s="8" t="s">
        <v>111</v>
      </c>
      <c r="C90" s="16" t="n">
        <f aca="false">SLOPE(I90:L90,$A$5:$D$5)</f>
        <v>0.761627358331222</v>
      </c>
      <c r="D90" s="16" t="n">
        <f aca="false">RSQ(I90:L90,$A$5:$D$5)</f>
        <v>0.658762827178197</v>
      </c>
      <c r="E90" s="16" t="n">
        <f aca="false">ABS(C90-1)</f>
        <v>0.238372641668778</v>
      </c>
      <c r="F90" s="9" t="n">
        <f aca="false">AVERAGE(I90:L90)</f>
        <v>0.485201477387524</v>
      </c>
      <c r="G90" s="7" t="str">
        <f aca="false">IF(N90&lt;=30,"YES","")</f>
        <v>YES</v>
      </c>
      <c r="I90" s="9" t="n">
        <f aca="false">'House Vote Data'!G330</f>
        <v>0.499801823226318</v>
      </c>
      <c r="J90" s="9" t="n">
        <f aca="false">'House Vote Data'!G331</f>
        <v>0.465316455696203</v>
      </c>
      <c r="K90" s="9" t="n">
        <f aca="false">'House Vote Data'!G332</f>
        <v>0.497944988934556</v>
      </c>
      <c r="L90" s="9" t="n">
        <f aca="false">'House Vote Data'!G333</f>
        <v>0.477742641693019</v>
      </c>
      <c r="M90" s="8" t="n">
        <f aca="false">E90+(1-D90)</f>
        <v>0.579609814490581</v>
      </c>
      <c r="N90" s="8" t="n">
        <f aca="false">RANK(M90,$M$8:$M$96,1)</f>
        <v>28</v>
      </c>
    </row>
    <row r="91" customFormat="false" ht="15" hidden="false" customHeight="true" outlineLevel="0" collapsed="false">
      <c r="A91" s="8" t="s">
        <v>139</v>
      </c>
      <c r="B91" s="8" t="s">
        <v>111</v>
      </c>
      <c r="C91" s="16" t="n">
        <f aca="false">SLOPE(I91:L91,$A$5:$D$5)</f>
        <v>0.94786020150253</v>
      </c>
      <c r="D91" s="16" t="n">
        <f aca="false">RSQ(I91:L91,$A$5:$D$5)</f>
        <v>0.694103141096297</v>
      </c>
      <c r="E91" s="16" t="n">
        <f aca="false">ABS(C91-1)</f>
        <v>0.0521397984974705</v>
      </c>
      <c r="F91" s="9" t="n">
        <f aca="false">AVERAGE(I91:L91)</f>
        <v>0.4036614496154</v>
      </c>
      <c r="G91" s="7" t="str">
        <f aca="false">IF(N91&lt;=30,"YES","")</f>
        <v>YES</v>
      </c>
      <c r="I91" s="9" t="n">
        <f aca="false">'House Vote Data'!G334</f>
        <v>0.420875420875421</v>
      </c>
      <c r="J91" s="9" t="n">
        <f aca="false">'House Vote Data'!G335</f>
        <v>0.385162601626016</v>
      </c>
      <c r="K91" s="9" t="n">
        <f aca="false">'House Vote Data'!G336</f>
        <v>0.421270718232044</v>
      </c>
      <c r="L91" s="9" t="n">
        <f aca="false">'House Vote Data'!G337</f>
        <v>0.387337057728119</v>
      </c>
      <c r="M91" s="8" t="n">
        <f aca="false">E91+(1-D91)</f>
        <v>0.358036657401173</v>
      </c>
      <c r="N91" s="8" t="n">
        <f aca="false">RANK(M91,$M$8:$M$96,1)</f>
        <v>13</v>
      </c>
    </row>
    <row r="92" customFormat="false" ht="15" hidden="false" customHeight="true" outlineLevel="0" collapsed="false">
      <c r="A92" s="8" t="s">
        <v>103</v>
      </c>
      <c r="B92" s="8" t="s">
        <v>111</v>
      </c>
      <c r="C92" s="16" t="n">
        <f aca="false">SLOPE(I92:L92,$A$5:$D$5)</f>
        <v>1.35619328565148</v>
      </c>
      <c r="D92" s="16" t="n">
        <f aca="false">RSQ(I92:L92,$A$5:$D$5)</f>
        <v>0.974649025949188</v>
      </c>
      <c r="E92" s="16" t="n">
        <f aca="false">ABS(C92-1)</f>
        <v>0.356193285651478</v>
      </c>
      <c r="F92" s="9" t="n">
        <f aca="false">AVERAGE(I92:L92)</f>
        <v>0.354790502981071</v>
      </c>
      <c r="G92" s="7" t="str">
        <f aca="false">IF(N92&lt;=30,"YES","")</f>
        <v>YES</v>
      </c>
      <c r="I92" s="9" t="n">
        <f aca="false">'House Vote Data'!G338</f>
        <v>0.388829215896885</v>
      </c>
      <c r="J92" s="9" t="n">
        <f aca="false">'House Vote Data'!G339</f>
        <v>0.343656343656344</v>
      </c>
      <c r="K92" s="9" t="n">
        <f aca="false">'House Vote Data'!G340</f>
        <v>0.353982300884956</v>
      </c>
      <c r="L92" s="9" t="n">
        <f aca="false">'House Vote Data'!G341</f>
        <v>0.332694151486098</v>
      </c>
      <c r="M92" s="8" t="n">
        <f aca="false">E92+(1-D92)</f>
        <v>0.38154425970229</v>
      </c>
      <c r="N92" s="8" t="n">
        <f aca="false">RANK(M92,$M$8:$M$96,1)</f>
        <v>16</v>
      </c>
    </row>
    <row r="93" customFormat="false" ht="15" hidden="false" customHeight="true" outlineLevel="0" collapsed="false">
      <c r="A93" s="8" t="s">
        <v>140</v>
      </c>
      <c r="B93" s="8" t="s">
        <v>111</v>
      </c>
      <c r="C93" s="16" t="n">
        <f aca="false">SLOPE(I93:L93,$A$5:$D$5)</f>
        <v>2.11460512192582</v>
      </c>
      <c r="D93" s="16" t="n">
        <f aca="false">RSQ(I93:L93,$A$5:$D$5)</f>
        <v>0.796610379193393</v>
      </c>
      <c r="E93" s="16" t="n">
        <f aca="false">ABS(C93-1)</f>
        <v>1.11460512192582</v>
      </c>
      <c r="F93" s="9" t="n">
        <f aca="false">AVERAGE(I93:L93)</f>
        <v>0.481099096849421</v>
      </c>
      <c r="G93" s="7" t="str">
        <f aca="false">IF(N93&lt;=30,"YES","")</f>
        <v/>
      </c>
      <c r="I93" s="9" t="n">
        <f aca="false">'House Vote Data'!G342</f>
        <v>0.535211267605634</v>
      </c>
      <c r="J93" s="9" t="n">
        <f aca="false">'House Vote Data'!G343</f>
        <v>0.43304347826087</v>
      </c>
      <c r="K93" s="9" t="n">
        <f aca="false">'House Vote Data'!G344</f>
        <v>0.480676328502416</v>
      </c>
      <c r="L93" s="9" t="n">
        <f aca="false">'House Vote Data'!G345</f>
        <v>0.475465313028765</v>
      </c>
      <c r="M93" s="8" t="n">
        <f aca="false">E93+(1-D93)</f>
        <v>1.31799474273242</v>
      </c>
      <c r="N93" s="8" t="n">
        <f aca="false">RANK(M93,$M$8:$M$96,1)</f>
        <v>70</v>
      </c>
    </row>
    <row r="94" customFormat="false" ht="15" hidden="false" customHeight="true" outlineLevel="0" collapsed="false">
      <c r="A94" s="8" t="s">
        <v>141</v>
      </c>
      <c r="B94" s="8" t="s">
        <v>111</v>
      </c>
      <c r="C94" s="16" t="n">
        <f aca="false">SLOPE(I94:L94,$A$5:$D$5)</f>
        <v>0.721977349402336</v>
      </c>
      <c r="D94" s="16" t="n">
        <f aca="false">RSQ(I94:L94,$A$5:$D$5)</f>
        <v>0.906479642541118</v>
      </c>
      <c r="E94" s="16" t="n">
        <f aca="false">ABS(C94-1)</f>
        <v>0.278022650597664</v>
      </c>
      <c r="F94" s="9" t="n">
        <f aca="false">AVERAGE(I94:L94)</f>
        <v>0.439505132097372</v>
      </c>
      <c r="G94" s="7" t="str">
        <f aca="false">IF(N94&lt;=30,"YES","")</f>
        <v>YES</v>
      </c>
      <c r="I94" s="9" t="n">
        <f aca="false">'House Vote Data'!G346</f>
        <v>0.457950530035336</v>
      </c>
      <c r="J94" s="9" t="n">
        <f aca="false">'House Vote Data'!G347</f>
        <v>0.426193921852388</v>
      </c>
      <c r="K94" s="9" t="n">
        <f aca="false">'House Vote Data'!G348</f>
        <v>0.439083232810615</v>
      </c>
      <c r="L94" s="9" t="n">
        <f aca="false">'House Vote Data'!G349</f>
        <v>0.434792843691149</v>
      </c>
      <c r="M94" s="8" t="n">
        <f aca="false">E94+(1-D94)</f>
        <v>0.371543008056546</v>
      </c>
      <c r="N94" s="8" t="n">
        <f aca="false">RANK(M94,$M$8:$M$96,1)</f>
        <v>15</v>
      </c>
    </row>
    <row r="95" customFormat="false" ht="15" hidden="false" customHeight="true" outlineLevel="0" collapsed="false">
      <c r="A95" s="8" t="s">
        <v>142</v>
      </c>
      <c r="B95" s="8" t="s">
        <v>111</v>
      </c>
      <c r="C95" s="16" t="n">
        <f aca="false">SLOPE(I95:L95,$A$5:$D$5)</f>
        <v>1.39328738042968</v>
      </c>
      <c r="D95" s="16" t="n">
        <f aca="false">RSQ(I95:L95,$A$5:$D$5)</f>
        <v>0.955497330336037</v>
      </c>
      <c r="E95" s="16" t="n">
        <f aca="false">ABS(C95-1)</f>
        <v>0.393287380429681</v>
      </c>
      <c r="F95" s="9" t="n">
        <f aca="false">AVERAGE(I95:L95)</f>
        <v>0.574945948631362</v>
      </c>
      <c r="G95" s="7" t="str">
        <f aca="false">IF(N95&lt;=30,"YES","")</f>
        <v>YES</v>
      </c>
      <c r="I95" s="9" t="n">
        <f aca="false">'House Vote Data'!G350</f>
        <v>0.606222654350997</v>
      </c>
      <c r="J95" s="9" t="n">
        <f aca="false">'House Vote Data'!G351</f>
        <v>0.5569176882662</v>
      </c>
      <c r="K95" s="9" t="n">
        <f aca="false">'House Vote Data'!G352</f>
        <v>0.584387265590929</v>
      </c>
      <c r="L95" s="9" t="n">
        <f aca="false">'House Vote Data'!G353</f>
        <v>0.552256186317322</v>
      </c>
      <c r="M95" s="8" t="n">
        <f aca="false">E95+(1-D95)</f>
        <v>0.437790050093644</v>
      </c>
      <c r="N95" s="8" t="n">
        <f aca="false">RANK(M95,$M$8:$M$96,1)</f>
        <v>19</v>
      </c>
    </row>
    <row r="96" customFormat="false" ht="15" hidden="false" customHeight="true" outlineLevel="0" collapsed="false">
      <c r="A96" s="8" t="s">
        <v>143</v>
      </c>
      <c r="B96" s="8" t="s">
        <v>111</v>
      </c>
      <c r="C96" s="16" t="n">
        <f aca="false">SLOPE(I96:L96,$A$5:$D$5)</f>
        <v>1.19419104923474</v>
      </c>
      <c r="D96" s="16" t="n">
        <f aca="false">RSQ(I96:L96,$A$5:$D$5)</f>
        <v>0.532379453139791</v>
      </c>
      <c r="E96" s="16" t="n">
        <f aca="false">ABS(C96-1)</f>
        <v>0.194191049234738</v>
      </c>
      <c r="F96" s="9" t="n">
        <f aca="false">AVERAGE(I96:L96)</f>
        <v>0.430195323754966</v>
      </c>
      <c r="G96" s="7" t="str">
        <f aca="false">IF(N96&lt;=30,"YES","")</f>
        <v/>
      </c>
      <c r="I96" s="9" t="n">
        <f aca="false">'House Vote Data'!G354</f>
        <v>0.453066332916145</v>
      </c>
      <c r="J96" s="9" t="n">
        <f aca="false">'House Vote Data'!G355</f>
        <v>0.391070053887606</v>
      </c>
      <c r="K96" s="9" t="n">
        <f aca="false">'House Vote Data'!G356</f>
        <v>0.451141552511416</v>
      </c>
      <c r="L96" s="9" t="n">
        <f aca="false">'House Vote Data'!G357</f>
        <v>0.425503355704698</v>
      </c>
      <c r="M96" s="8" t="n">
        <f aca="false">E96+(1-D96)</f>
        <v>0.661811596094947</v>
      </c>
      <c r="N96" s="8" t="n">
        <f aca="false">RANK(M96,$M$8:$M$96,1)</f>
        <v>37</v>
      </c>
    </row>
  </sheetData>
  <mergeCells count="1">
    <mergeCell ref="A1:H1"/>
  </mergeCells>
  <conditionalFormatting sqref="G8:G96">
    <cfRule type="expression" priority="2" aboveAverage="0" equalAverage="0" bottom="0" percent="0" rank="0" text="" dxfId="5">
      <formula>G8="YES"</formula>
    </cfRule>
  </conditionalFormatting>
  <conditionalFormatting sqref="E8:E96">
    <cfRule type="colorScale" priority="3">
      <colorScale>
        <cfvo type="min" val="0"/>
        <cfvo type="max" val="0"/>
        <color rgb="FFC6EFCE"/>
        <color rgb="FFFFC7CE"/>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8"/>
    <col collapsed="false" customWidth="true" hidden="false" outlineLevel="0" max="3" min="3" style="1" width="18"/>
    <col collapsed="false" customWidth="true" hidden="false" outlineLevel="0" max="4" min="4" style="1" width="16"/>
  </cols>
  <sheetData>
    <row r="1" customFormat="false" ht="15.75" hidden="false" customHeight="true" outlineLevel="0" collapsed="false">
      <c r="A1" s="10" t="s">
        <v>184</v>
      </c>
      <c r="B1" s="10"/>
      <c r="C1" s="10"/>
      <c r="D1" s="10"/>
    </row>
    <row r="3" customFormat="false" ht="15" hidden="false" customHeight="true" outlineLevel="0" collapsed="false">
      <c r="A3" s="7" t="s">
        <v>45</v>
      </c>
      <c r="B3" s="7" t="s">
        <v>44</v>
      </c>
      <c r="C3" s="7" t="s">
        <v>54</v>
      </c>
      <c r="D3" s="7" t="s">
        <v>185</v>
      </c>
    </row>
    <row r="4" customFormat="false" ht="15" hidden="false" customHeight="true" outlineLevel="0" collapsed="false">
      <c r="A4" s="8" t="s">
        <v>56</v>
      </c>
      <c r="B4" s="8" t="n">
        <v>2018</v>
      </c>
      <c r="C4" s="9" t="n">
        <f aca="false">'House Vote Data'!K2</f>
        <v>0.455497382198953</v>
      </c>
      <c r="D4" s="9" t="n">
        <f aca="false">'House Vote Data'!G2</f>
        <v>0.41994750656168</v>
      </c>
    </row>
    <row r="5" customFormat="false" ht="15" hidden="false" customHeight="true" outlineLevel="0" collapsed="false">
      <c r="A5" s="8" t="s">
        <v>58</v>
      </c>
      <c r="B5" s="8" t="n">
        <v>2018</v>
      </c>
      <c r="C5" s="9" t="n">
        <f aca="false">'House Vote Data'!K6</f>
        <v>0.4</v>
      </c>
      <c r="D5" s="9" t="n">
        <f aca="false">'House Vote Data'!G6</f>
        <v>0.331010452961673</v>
      </c>
    </row>
    <row r="6" customFormat="false" ht="15" hidden="false" customHeight="true" outlineLevel="0" collapsed="false">
      <c r="A6" s="8" t="s">
        <v>59</v>
      </c>
      <c r="B6" s="8" t="n">
        <v>2018</v>
      </c>
      <c r="C6" s="9" t="n">
        <f aca="false">'House Vote Data'!K10</f>
        <v>0.430604982206406</v>
      </c>
      <c r="D6" s="9" t="n">
        <f aca="false">'House Vote Data'!G10</f>
        <v>0.385964912280702</v>
      </c>
    </row>
    <row r="7" customFormat="false" ht="15" hidden="false" customHeight="true" outlineLevel="0" collapsed="false">
      <c r="A7" s="8" t="s">
        <v>60</v>
      </c>
      <c r="B7" s="8" t="n">
        <v>2018</v>
      </c>
      <c r="C7" s="9" t="n">
        <f aca="false">'House Vote Data'!K14</f>
        <v>0.399819494584838</v>
      </c>
      <c r="D7" s="9" t="n">
        <f aca="false">'House Vote Data'!G14</f>
        <v>0.332133213321332</v>
      </c>
    </row>
    <row r="8" customFormat="false" ht="15" hidden="false" customHeight="true" outlineLevel="0" collapsed="false">
      <c r="A8" s="8" t="s">
        <v>61</v>
      </c>
      <c r="B8" s="8" t="n">
        <v>2018</v>
      </c>
      <c r="C8" s="9" t="n">
        <f aca="false">'House Vote Data'!K18</f>
        <v>0.473684210526316</v>
      </c>
      <c r="D8" s="9" t="n">
        <f aca="false">'House Vote Data'!G18</f>
        <v>0.441558441558442</v>
      </c>
    </row>
    <row r="9" customFormat="false" ht="15" hidden="false" customHeight="true" outlineLevel="0" collapsed="false">
      <c r="A9" s="8" t="s">
        <v>62</v>
      </c>
      <c r="B9" s="8" t="n">
        <v>2018</v>
      </c>
      <c r="C9" s="9" t="n">
        <f aca="false">'House Vote Data'!K22</f>
        <v>0.355134474327628</v>
      </c>
      <c r="D9" s="9" t="n">
        <f aca="false">'House Vote Data'!G22</f>
        <v>0.323281061519904</v>
      </c>
    </row>
    <row r="10" customFormat="false" ht="15" hidden="false" customHeight="true" outlineLevel="0" collapsed="false">
      <c r="A10" s="8" t="s">
        <v>63</v>
      </c>
      <c r="B10" s="8" t="n">
        <v>2018</v>
      </c>
      <c r="C10" s="9" t="n">
        <f aca="false">'House Vote Data'!K26</f>
        <v>0.529732678668849</v>
      </c>
      <c r="D10" s="9" t="n">
        <f aca="false">'House Vote Data'!G26</f>
        <v>0.490059108006448</v>
      </c>
    </row>
    <row r="11" customFormat="false" ht="15" hidden="false" customHeight="true" outlineLevel="0" collapsed="false">
      <c r="A11" s="8" t="s">
        <v>64</v>
      </c>
      <c r="B11" s="8" t="n">
        <v>2018</v>
      </c>
      <c r="C11" s="9" t="n">
        <f aca="false">'House Vote Data'!K30</f>
        <v>0.400793650793651</v>
      </c>
      <c r="D11" s="9" t="n">
        <f aca="false">'House Vote Data'!G30</f>
        <v>0.350393700787402</v>
      </c>
    </row>
    <row r="12" customFormat="false" ht="15" hidden="false" customHeight="true" outlineLevel="0" collapsed="false">
      <c r="A12" s="8" t="s">
        <v>65</v>
      </c>
      <c r="B12" s="8" t="n">
        <v>2018</v>
      </c>
      <c r="C12" s="9" t="n">
        <f aca="false">'House Vote Data'!K34</f>
        <v>0.529088913282108</v>
      </c>
      <c r="D12" s="9" t="n">
        <f aca="false">'House Vote Data'!G34</f>
        <v>0.493492407809111</v>
      </c>
    </row>
    <row r="13" customFormat="false" ht="15" hidden="false" customHeight="true" outlineLevel="0" collapsed="false">
      <c r="A13" s="8" t="s">
        <v>66</v>
      </c>
      <c r="B13" s="8" t="n">
        <v>2018</v>
      </c>
      <c r="C13" s="9" t="n">
        <f aca="false">'House Vote Data'!K38</f>
        <v>0.362637362637363</v>
      </c>
      <c r="D13" s="9" t="n">
        <f aca="false">'House Vote Data'!G38</f>
        <v>0.329545454545455</v>
      </c>
    </row>
    <row r="14" customFormat="false" ht="15" hidden="false" customHeight="true" outlineLevel="0" collapsed="false">
      <c r="A14" s="8" t="s">
        <v>67</v>
      </c>
      <c r="B14" s="8" t="n">
        <v>2018</v>
      </c>
      <c r="C14" s="9" t="n">
        <f aca="false">'House Vote Data'!K42</f>
        <v>0.277777777777778</v>
      </c>
      <c r="D14" s="9" t="n">
        <f aca="false">'House Vote Data'!G42</f>
        <v>0.200980392156863</v>
      </c>
    </row>
    <row r="15" customFormat="false" ht="15" hidden="false" customHeight="true" outlineLevel="0" collapsed="false">
      <c r="A15" s="8" t="s">
        <v>68</v>
      </c>
      <c r="B15" s="8" t="n">
        <v>2018</v>
      </c>
      <c r="C15" s="9" t="n">
        <f aca="false">'House Vote Data'!K46</f>
        <v>0.500702247191011</v>
      </c>
      <c r="D15" s="9" t="n">
        <f aca="false">'House Vote Data'!G46</f>
        <v>0.465829846582985</v>
      </c>
    </row>
    <row r="16" customFormat="false" ht="15" hidden="false" customHeight="true" outlineLevel="0" collapsed="false">
      <c r="A16" s="8" t="s">
        <v>69</v>
      </c>
      <c r="B16" s="8" t="n">
        <v>2018</v>
      </c>
      <c r="C16" s="9" t="n">
        <f aca="false">'House Vote Data'!K50</f>
        <v>0.389199255121043</v>
      </c>
      <c r="D16" s="9" t="n">
        <f aca="false">'House Vote Data'!G50</f>
        <v>0.369485294117647</v>
      </c>
    </row>
    <row r="17" customFormat="false" ht="15" hidden="false" customHeight="true" outlineLevel="0" collapsed="false">
      <c r="A17" s="8" t="s">
        <v>70</v>
      </c>
      <c r="B17" s="8" t="n">
        <v>2018</v>
      </c>
      <c r="C17" s="9" t="n">
        <f aca="false">'House Vote Data'!K54</f>
        <v>0.384668508287293</v>
      </c>
      <c r="D17" s="9" t="n">
        <f aca="false">'House Vote Data'!G54</f>
        <v>0.346938775510204</v>
      </c>
    </row>
    <row r="18" customFormat="false" ht="15" hidden="false" customHeight="true" outlineLevel="0" collapsed="false">
      <c r="A18" s="8" t="s">
        <v>71</v>
      </c>
      <c r="B18" s="8" t="n">
        <v>2018</v>
      </c>
      <c r="C18" s="9" t="n">
        <f aca="false">'House Vote Data'!K58</f>
        <v>0.512747875354108</v>
      </c>
      <c r="D18" s="9" t="n">
        <f aca="false">'House Vote Data'!G58</f>
        <v>0.478011472275335</v>
      </c>
    </row>
    <row r="19" customFormat="false" ht="15" hidden="false" customHeight="true" outlineLevel="0" collapsed="false">
      <c r="A19" s="8" t="s">
        <v>72</v>
      </c>
      <c r="B19" s="8" t="n">
        <v>2018</v>
      </c>
      <c r="C19" s="9" t="n">
        <f aca="false">'House Vote Data'!K62</f>
        <v>0.268595041322314</v>
      </c>
      <c r="D19" s="9" t="n">
        <f aca="false">'House Vote Data'!G62</f>
        <v>0.229813664596273</v>
      </c>
    </row>
    <row r="20" customFormat="false" ht="15" hidden="false" customHeight="true" outlineLevel="0" collapsed="false">
      <c r="A20" s="8" t="s">
        <v>73</v>
      </c>
      <c r="B20" s="8" t="n">
        <v>2018</v>
      </c>
      <c r="C20" s="9" t="n">
        <f aca="false">'House Vote Data'!K66</f>
        <v>0.454435727217864</v>
      </c>
      <c r="D20" s="9" t="n">
        <f aca="false">'House Vote Data'!G66</f>
        <v>0.412612612612613</v>
      </c>
    </row>
    <row r="21" customFormat="false" ht="15" hidden="false" customHeight="true" outlineLevel="0" collapsed="false">
      <c r="A21" s="8" t="s">
        <v>74</v>
      </c>
      <c r="B21" s="8" t="n">
        <v>2018</v>
      </c>
      <c r="C21" s="9" t="n">
        <f aca="false">'House Vote Data'!K70</f>
        <v>0.375757575757576</v>
      </c>
      <c r="D21" s="9" t="n">
        <f aca="false">'House Vote Data'!G70</f>
        <v>0.321212121212121</v>
      </c>
    </row>
    <row r="22" customFormat="false" ht="15" hidden="false" customHeight="true" outlineLevel="0" collapsed="false">
      <c r="A22" s="8" t="s">
        <v>75</v>
      </c>
      <c r="B22" s="8" t="n">
        <v>2018</v>
      </c>
      <c r="C22" s="9" t="n">
        <f aca="false">'House Vote Data'!K74</f>
        <v>0.447398513436249</v>
      </c>
      <c r="D22" s="9" t="n">
        <f aca="false">'House Vote Data'!G74</f>
        <v>0.411265213699406</v>
      </c>
    </row>
    <row r="23" customFormat="false" ht="15" hidden="false" customHeight="true" outlineLevel="0" collapsed="false">
      <c r="A23" s="8" t="s">
        <v>76</v>
      </c>
      <c r="B23" s="8" t="n">
        <v>2018</v>
      </c>
      <c r="C23" s="9" t="n">
        <f aca="false">'House Vote Data'!K78</f>
        <v>0.523255813953488</v>
      </c>
      <c r="D23" s="9" t="n">
        <f aca="false">'House Vote Data'!G78</f>
        <v>0.505281690140845</v>
      </c>
    </row>
    <row r="24" customFormat="false" ht="15" hidden="false" customHeight="true" outlineLevel="0" collapsed="false">
      <c r="A24" s="8" t="s">
        <v>77</v>
      </c>
      <c r="B24" s="8" t="n">
        <v>2018</v>
      </c>
      <c r="C24" s="9" t="n">
        <f aca="false">'House Vote Data'!K82</f>
        <v>0.372106481481481</v>
      </c>
      <c r="D24" s="9" t="n">
        <f aca="false">'House Vote Data'!G82</f>
        <v>0.350485991995426</v>
      </c>
    </row>
    <row r="25" customFormat="false" ht="15" hidden="false" customHeight="true" outlineLevel="0" collapsed="false">
      <c r="A25" s="8" t="s">
        <v>78</v>
      </c>
      <c r="B25" s="8" t="n">
        <v>2018</v>
      </c>
      <c r="C25" s="9" t="n">
        <f aca="false">'House Vote Data'!K86</f>
        <v>0.392298435619735</v>
      </c>
      <c r="D25" s="9" t="n">
        <f aca="false">'House Vote Data'!G86</f>
        <v>0.322314049586777</v>
      </c>
    </row>
    <row r="26" customFormat="false" ht="15" hidden="false" customHeight="true" outlineLevel="0" collapsed="false">
      <c r="A26" s="8" t="s">
        <v>79</v>
      </c>
      <c r="B26" s="8" t="n">
        <v>2018</v>
      </c>
      <c r="C26" s="9" t="n">
        <f aca="false">'House Vote Data'!K90</f>
        <v>0.54639175257732</v>
      </c>
      <c r="D26" s="9" t="n">
        <f aca="false">'House Vote Data'!G90</f>
        <v>0.510204081632653</v>
      </c>
    </row>
    <row r="27" customFormat="false" ht="15" hidden="false" customHeight="true" outlineLevel="0" collapsed="false">
      <c r="A27" s="8" t="s">
        <v>80</v>
      </c>
      <c r="B27" s="8" t="n">
        <v>2018</v>
      </c>
      <c r="C27" s="9" t="n">
        <f aca="false">'House Vote Data'!K94</f>
        <v>0.593142857142857</v>
      </c>
      <c r="D27" s="9" t="n">
        <f aca="false">'House Vote Data'!G94</f>
        <v>0.527906976744186</v>
      </c>
    </row>
    <row r="28" customFormat="false" ht="15" hidden="false" customHeight="true" outlineLevel="0" collapsed="false">
      <c r="A28" s="8" t="s">
        <v>82</v>
      </c>
      <c r="B28" s="8" t="n">
        <v>2018</v>
      </c>
      <c r="C28" s="9" t="n">
        <f aca="false">'House Vote Data'!K98</f>
        <v>0.763869751250997</v>
      </c>
      <c r="D28" s="9" t="n">
        <f aca="false">'House Vote Data'!G98</f>
        <v>0.73070432868672</v>
      </c>
    </row>
    <row r="29" customFormat="false" ht="15" hidden="false" customHeight="true" outlineLevel="0" collapsed="false">
      <c r="A29" s="8" t="s">
        <v>83</v>
      </c>
      <c r="B29" s="8" t="n">
        <v>2018</v>
      </c>
      <c r="C29" s="9" t="n">
        <f aca="false">'House Vote Data'!K102</f>
        <v>0.704053303720156</v>
      </c>
      <c r="D29" s="9" t="n">
        <f aca="false">'House Vote Data'!G102</f>
        <v>0.671428571428571</v>
      </c>
    </row>
    <row r="30" customFormat="false" ht="15" hidden="false" customHeight="true" outlineLevel="0" collapsed="false">
      <c r="A30" s="8" t="s">
        <v>84</v>
      </c>
      <c r="B30" s="8" t="n">
        <v>2018</v>
      </c>
      <c r="C30" s="9" t="n">
        <f aca="false">'House Vote Data'!K106</f>
        <v>0.633316658329165</v>
      </c>
      <c r="D30" s="9" t="n">
        <f aca="false">'House Vote Data'!G106</f>
        <v>0.580694586312564</v>
      </c>
    </row>
    <row r="31" customFormat="false" ht="15" hidden="false" customHeight="true" outlineLevel="0" collapsed="false">
      <c r="A31" s="8" t="s">
        <v>85</v>
      </c>
      <c r="B31" s="8" t="n">
        <v>2018</v>
      </c>
      <c r="C31" s="9" t="n">
        <f aca="false">'House Vote Data'!K110</f>
        <v>0.591277890466532</v>
      </c>
      <c r="D31" s="9" t="n">
        <f aca="false">'House Vote Data'!G110</f>
        <v>0.534932221063608</v>
      </c>
    </row>
    <row r="32" customFormat="false" ht="15" hidden="false" customHeight="true" outlineLevel="0" collapsed="false">
      <c r="A32" s="8" t="s">
        <v>86</v>
      </c>
      <c r="B32" s="8" t="n">
        <v>2018</v>
      </c>
      <c r="C32" s="9" t="n">
        <f aca="false">'House Vote Data'!K114</f>
        <v>0.608985024958403</v>
      </c>
      <c r="D32" s="9" t="n">
        <f aca="false">'House Vote Data'!G114</f>
        <v>0.561702127659575</v>
      </c>
    </row>
    <row r="33" customFormat="false" ht="15" hidden="false" customHeight="true" outlineLevel="0" collapsed="false">
      <c r="A33" s="8" t="s">
        <v>87</v>
      </c>
      <c r="B33" s="8" t="n">
        <v>2018</v>
      </c>
      <c r="C33" s="9" t="n">
        <f aca="false">'House Vote Data'!K118</f>
        <v>0.603007181328546</v>
      </c>
      <c r="D33" s="9" t="n">
        <f aca="false">'House Vote Data'!G118</f>
        <v>0.554568238778765</v>
      </c>
    </row>
    <row r="34" customFormat="false" ht="15" hidden="false" customHeight="true" outlineLevel="0" collapsed="false">
      <c r="A34" s="8" t="s">
        <v>88</v>
      </c>
      <c r="B34" s="8" t="n">
        <v>2018</v>
      </c>
      <c r="C34" s="9" t="n">
        <f aca="false">'House Vote Data'!K122</f>
        <v>0.729987293519695</v>
      </c>
      <c r="D34" s="9" t="n">
        <f aca="false">'House Vote Data'!G122</f>
        <v>0.699350649350649</v>
      </c>
    </row>
    <row r="35" customFormat="false" ht="15" hidden="false" customHeight="true" outlineLevel="0" collapsed="false">
      <c r="A35" s="8" t="s">
        <v>89</v>
      </c>
      <c r="B35" s="8" t="n">
        <v>2018</v>
      </c>
      <c r="C35" s="9" t="n">
        <f aca="false">'House Vote Data'!K126</f>
        <v>0.639511201629328</v>
      </c>
      <c r="D35" s="9" t="n">
        <f aca="false">'House Vote Data'!G126</f>
        <v>0.597560975609756</v>
      </c>
    </row>
    <row r="36" customFormat="false" ht="15" hidden="false" customHeight="true" outlineLevel="0" collapsed="false">
      <c r="A36" s="8" t="s">
        <v>90</v>
      </c>
      <c r="B36" s="8" t="n">
        <v>2018</v>
      </c>
      <c r="C36" s="9" t="n">
        <f aca="false">'House Vote Data'!K130</f>
        <v>0.425106990014265</v>
      </c>
      <c r="D36" s="9" t="n">
        <f aca="false">'House Vote Data'!G130</f>
        <v>0.362445414847162</v>
      </c>
    </row>
    <row r="37" customFormat="false" ht="15" hidden="false" customHeight="true" outlineLevel="0" collapsed="false">
      <c r="A37" s="8" t="s">
        <v>91</v>
      </c>
      <c r="B37" s="8" t="n">
        <v>2018</v>
      </c>
      <c r="C37" s="9" t="n">
        <f aca="false">'House Vote Data'!K134</f>
        <v>0.569957261963147</v>
      </c>
      <c r="D37" s="9" t="n">
        <f aca="false">'House Vote Data'!G134</f>
        <v>0.513847464848743</v>
      </c>
    </row>
    <row r="38" customFormat="false" ht="15" hidden="false" customHeight="true" outlineLevel="0" collapsed="false">
      <c r="A38" s="8" t="s">
        <v>92</v>
      </c>
      <c r="B38" s="8" t="n">
        <v>2018</v>
      </c>
      <c r="C38" s="9" t="n">
        <f aca="false">'House Vote Data'!K138</f>
        <v>0.44681988241582</v>
      </c>
      <c r="D38" s="9" t="n">
        <f aca="false">'House Vote Data'!G138</f>
        <v>0.398488120950324</v>
      </c>
    </row>
    <row r="39" customFormat="false" ht="15" hidden="false" customHeight="true" outlineLevel="0" collapsed="false">
      <c r="A39" s="8" t="s">
        <v>93</v>
      </c>
      <c r="B39" s="8" t="n">
        <v>2018</v>
      </c>
      <c r="C39" s="9" t="n">
        <f aca="false">'House Vote Data'!K142</f>
        <v>0.42128801431127</v>
      </c>
      <c r="D39" s="9" t="n">
        <f aca="false">'House Vote Data'!G142</f>
        <v>0.376718606782768</v>
      </c>
    </row>
    <row r="40" customFormat="false" ht="15" hidden="false" customHeight="true" outlineLevel="0" collapsed="false">
      <c r="A40" s="8" t="s">
        <v>94</v>
      </c>
      <c r="B40" s="8" t="n">
        <v>2018</v>
      </c>
      <c r="C40" s="9" t="n">
        <f aca="false">'House Vote Data'!K146</f>
        <v>0.3968</v>
      </c>
      <c r="D40" s="9" t="n">
        <f aca="false">'House Vote Data'!G146</f>
        <v>0.335668103448276</v>
      </c>
    </row>
    <row r="41" customFormat="false" ht="15" hidden="false" customHeight="true" outlineLevel="0" collapsed="false">
      <c r="A41" s="8" t="s">
        <v>95</v>
      </c>
      <c r="B41" s="8" t="n">
        <v>2018</v>
      </c>
      <c r="C41" s="9" t="n">
        <f aca="false">'House Vote Data'!K150</f>
        <v>0.608628659476117</v>
      </c>
      <c r="D41" s="9" t="n">
        <f aca="false">'House Vote Data'!G150</f>
        <v>0.541960784313726</v>
      </c>
    </row>
    <row r="42" customFormat="false" ht="15" hidden="false" customHeight="true" outlineLevel="0" collapsed="false">
      <c r="A42" s="8" t="s">
        <v>96</v>
      </c>
      <c r="B42" s="8" t="n">
        <v>2018</v>
      </c>
      <c r="C42" s="9" t="n">
        <f aca="false">'House Vote Data'!K154</f>
        <v>0.487859046490968</v>
      </c>
      <c r="D42" s="9" t="n">
        <f aca="false">'House Vote Data'!G154</f>
        <v>0.419369437320863</v>
      </c>
    </row>
    <row r="43" customFormat="false" ht="15" hidden="false" customHeight="true" outlineLevel="0" collapsed="false">
      <c r="A43" s="8" t="s">
        <v>97</v>
      </c>
      <c r="B43" s="8" t="n">
        <v>2018</v>
      </c>
      <c r="C43" s="9" t="n">
        <f aca="false">'House Vote Data'!K158</f>
        <v>0.563310580204778</v>
      </c>
      <c r="D43" s="9" t="n">
        <f aca="false">'House Vote Data'!G158</f>
        <v>0.50872344100881</v>
      </c>
    </row>
    <row r="44" customFormat="false" ht="15" hidden="false" customHeight="true" outlineLevel="0" collapsed="false">
      <c r="A44" s="8" t="s">
        <v>98</v>
      </c>
      <c r="B44" s="8" t="n">
        <v>2018</v>
      </c>
      <c r="C44" s="9" t="n">
        <f aca="false">'House Vote Data'!K162</f>
        <v>0.505522514868309</v>
      </c>
      <c r="D44" s="9" t="n">
        <f aca="false">'House Vote Data'!G162</f>
        <v>0.461736887360275</v>
      </c>
    </row>
    <row r="45" customFormat="false" ht="15" hidden="false" customHeight="true" outlineLevel="0" collapsed="false">
      <c r="A45" s="8" t="s">
        <v>99</v>
      </c>
      <c r="B45" s="8" t="n">
        <v>2018</v>
      </c>
      <c r="C45" s="9" t="n">
        <f aca="false">'House Vote Data'!K166</f>
        <v>0.617381615598886</v>
      </c>
      <c r="D45" s="9" t="n">
        <f aca="false">'House Vote Data'!G166</f>
        <v>0.566116636528029</v>
      </c>
    </row>
    <row r="46" customFormat="false" ht="15" hidden="false" customHeight="true" outlineLevel="0" collapsed="false">
      <c r="A46" s="8" t="s">
        <v>100</v>
      </c>
      <c r="B46" s="8" t="n">
        <v>2018</v>
      </c>
      <c r="C46" s="9" t="n">
        <f aca="false">'House Vote Data'!K170</f>
        <v>0.583725690890481</v>
      </c>
      <c r="D46" s="9" t="n">
        <f aca="false">'House Vote Data'!G170</f>
        <v>0.533326411960133</v>
      </c>
    </row>
    <row r="47" customFormat="false" ht="15" hidden="false" customHeight="true" outlineLevel="0" collapsed="false">
      <c r="A47" s="8" t="s">
        <v>101</v>
      </c>
      <c r="B47" s="8" t="n">
        <v>2018</v>
      </c>
      <c r="C47" s="9" t="n">
        <f aca="false">'House Vote Data'!K174</f>
        <v>0.502038597444958</v>
      </c>
      <c r="D47" s="9" t="n">
        <f aca="false">'House Vote Data'!G174</f>
        <v>0.457244982128128</v>
      </c>
    </row>
    <row r="48" customFormat="false" ht="15" hidden="false" customHeight="true" outlineLevel="0" collapsed="false">
      <c r="A48" s="8" t="s">
        <v>102</v>
      </c>
      <c r="B48" s="8" t="n">
        <v>2018</v>
      </c>
      <c r="C48" s="9" t="n">
        <f aca="false">'House Vote Data'!K178</f>
        <v>0.543426294820717</v>
      </c>
      <c r="D48" s="9" t="n">
        <f aca="false">'House Vote Data'!G178</f>
        <v>0.492183288409704</v>
      </c>
    </row>
    <row r="49" customFormat="false" ht="15" hidden="false" customHeight="true" outlineLevel="0" collapsed="false">
      <c r="A49" s="8" t="s">
        <v>103</v>
      </c>
      <c r="B49" s="8" t="n">
        <v>2018</v>
      </c>
      <c r="C49" s="9" t="n">
        <f aca="false">'House Vote Data'!K182</f>
        <v>0.420255183413078</v>
      </c>
      <c r="D49" s="9" t="n">
        <f aca="false">'House Vote Data'!G182</f>
        <v>0.35468179975679</v>
      </c>
    </row>
    <row r="50" customFormat="false" ht="15" hidden="false" customHeight="true" outlineLevel="0" collapsed="false">
      <c r="A50" s="8" t="s">
        <v>104</v>
      </c>
      <c r="B50" s="8" t="n">
        <v>2018</v>
      </c>
      <c r="C50" s="9" t="n">
        <f aca="false">'House Vote Data'!K186</f>
        <v>0.425147182506308</v>
      </c>
      <c r="D50" s="9" t="n">
        <f aca="false">'House Vote Data'!G186</f>
        <v>0.351131994873986</v>
      </c>
    </row>
    <row r="51" customFormat="false" ht="15" hidden="false" customHeight="true" outlineLevel="0" collapsed="false">
      <c r="A51" s="8" t="s">
        <v>105</v>
      </c>
      <c r="B51" s="8" t="n">
        <v>2018</v>
      </c>
      <c r="C51" s="9" t="n">
        <f aca="false">'House Vote Data'!K190</f>
        <v>0.616592873708623</v>
      </c>
      <c r="D51" s="9" t="n">
        <f aca="false">'House Vote Data'!G190</f>
        <v>0.560712358337831</v>
      </c>
    </row>
    <row r="52" customFormat="false" ht="15" hidden="false" customHeight="true" outlineLevel="0" collapsed="false">
      <c r="A52" s="8" t="s">
        <v>106</v>
      </c>
      <c r="B52" s="8" t="n">
        <v>2018</v>
      </c>
      <c r="C52" s="9" t="n">
        <f aca="false">'House Vote Data'!K194</f>
        <v>0.395348837209302</v>
      </c>
      <c r="D52" s="9" t="n">
        <f aca="false">'House Vote Data'!G194</f>
        <v>0.343035343035343</v>
      </c>
    </row>
    <row r="53" customFormat="false" ht="15" hidden="false" customHeight="true" outlineLevel="0" collapsed="false">
      <c r="A53" s="8" t="s">
        <v>108</v>
      </c>
      <c r="B53" s="8" t="n">
        <v>2018</v>
      </c>
      <c r="C53" s="9" t="n">
        <f aca="false">'House Vote Data'!K198</f>
        <v>0.43448275862069</v>
      </c>
      <c r="D53" s="9" t="n">
        <f aca="false">'House Vote Data'!G198</f>
        <v>0.406854838709677</v>
      </c>
    </row>
    <row r="54" customFormat="false" ht="15" hidden="false" customHeight="true" outlineLevel="0" collapsed="false">
      <c r="A54" s="8" t="s">
        <v>109</v>
      </c>
      <c r="B54" s="8" t="n">
        <v>2018</v>
      </c>
      <c r="C54" s="9" t="n">
        <f aca="false">'House Vote Data'!K202</f>
        <v>0.454403335070349</v>
      </c>
      <c r="D54" s="9" t="n">
        <f aca="false">'House Vote Data'!G202</f>
        <v>0.416004239533651</v>
      </c>
    </row>
    <row r="55" customFormat="false" ht="15" hidden="false" customHeight="true" outlineLevel="0" collapsed="false">
      <c r="A55" s="8" t="s">
        <v>110</v>
      </c>
      <c r="B55" s="8" t="n">
        <v>2018</v>
      </c>
      <c r="C55" s="9" t="n">
        <f aca="false">'House Vote Data'!K206</f>
        <v>0.496735074626866</v>
      </c>
      <c r="D55" s="9" t="n">
        <f aca="false">'House Vote Data'!G206</f>
        <v>0.431558935361217</v>
      </c>
    </row>
    <row r="56" customFormat="false" ht="15" hidden="false" customHeight="true" outlineLevel="0" collapsed="false">
      <c r="A56" s="8" t="s">
        <v>112</v>
      </c>
      <c r="B56" s="8" t="n">
        <v>2018</v>
      </c>
      <c r="C56" s="9" t="n">
        <f aca="false">'House Vote Data'!K210</f>
        <v>0.540701522170748</v>
      </c>
      <c r="D56" s="9" t="n">
        <f aca="false">'House Vote Data'!G210</f>
        <v>0.473328831870358</v>
      </c>
    </row>
    <row r="57" customFormat="false" ht="15" hidden="false" customHeight="true" outlineLevel="0" collapsed="false">
      <c r="A57" s="8" t="s">
        <v>113</v>
      </c>
      <c r="B57" s="8" t="n">
        <v>2018</v>
      </c>
      <c r="C57" s="9" t="n">
        <f aca="false">'House Vote Data'!K214</f>
        <v>0.544766708701135</v>
      </c>
      <c r="D57" s="9" t="n">
        <f aca="false">'House Vote Data'!G214</f>
        <v>0.474226804123711</v>
      </c>
    </row>
    <row r="58" customFormat="false" ht="15" hidden="false" customHeight="true" outlineLevel="0" collapsed="false">
      <c r="A58" s="8" t="s">
        <v>83</v>
      </c>
      <c r="B58" s="8" t="n">
        <v>2018</v>
      </c>
      <c r="C58" s="9" t="n">
        <f aca="false">'House Vote Data'!K218</f>
        <v>0.739959665802362</v>
      </c>
      <c r="D58" s="9" t="n">
        <f aca="false">'House Vote Data'!G218</f>
        <v>0.710825709594183</v>
      </c>
    </row>
    <row r="59" customFormat="false" ht="15" hidden="false" customHeight="true" outlineLevel="0" collapsed="false">
      <c r="A59" s="8" t="s">
        <v>114</v>
      </c>
      <c r="B59" s="8" t="n">
        <v>2018</v>
      </c>
      <c r="C59" s="9" t="n">
        <f aca="false">'House Vote Data'!K222</f>
        <v>0.591879930729267</v>
      </c>
      <c r="D59" s="9" t="n">
        <f aca="false">'House Vote Data'!G222</f>
        <v>0.544053078349107</v>
      </c>
    </row>
    <row r="60" customFormat="false" ht="15" hidden="false" customHeight="true" outlineLevel="0" collapsed="false">
      <c r="A60" s="8" t="s">
        <v>115</v>
      </c>
      <c r="B60" s="8" t="n">
        <v>2018</v>
      </c>
      <c r="C60" s="9" t="n">
        <f aca="false">'House Vote Data'!K226</f>
        <v>0.465629420084866</v>
      </c>
      <c r="D60" s="9" t="n">
        <f aca="false">'House Vote Data'!G226</f>
        <v>0.389980074010817</v>
      </c>
    </row>
    <row r="61" customFormat="false" ht="15" hidden="false" customHeight="true" outlineLevel="0" collapsed="false">
      <c r="A61" s="8" t="s">
        <v>116</v>
      </c>
      <c r="B61" s="8" t="n">
        <v>2018</v>
      </c>
      <c r="C61" s="9" t="n">
        <f aca="false">'House Vote Data'!K230</f>
        <v>0.451612903225806</v>
      </c>
      <c r="D61" s="9" t="n">
        <f aca="false">'House Vote Data'!G230</f>
        <v>0.454545454545455</v>
      </c>
    </row>
    <row r="62" customFormat="false" ht="15" hidden="false" customHeight="true" outlineLevel="0" collapsed="false">
      <c r="A62" s="8" t="s">
        <v>117</v>
      </c>
      <c r="B62" s="8" t="n">
        <v>2018</v>
      </c>
      <c r="C62" s="9" t="n">
        <f aca="false">'House Vote Data'!K234</f>
        <v>0.482151589242054</v>
      </c>
      <c r="D62" s="9" t="n">
        <f aca="false">'House Vote Data'!G234</f>
        <v>0.421898543445505</v>
      </c>
    </row>
    <row r="63" customFormat="false" ht="15" hidden="false" customHeight="true" outlineLevel="0" collapsed="false">
      <c r="A63" s="8" t="s">
        <v>118</v>
      </c>
      <c r="B63" s="8" t="n">
        <v>2018</v>
      </c>
      <c r="C63" s="9" t="n">
        <f aca="false">'House Vote Data'!K238</f>
        <v>0.472303206997085</v>
      </c>
      <c r="D63" s="9" t="n">
        <f aca="false">'House Vote Data'!G238</f>
        <v>0.39039039039039</v>
      </c>
    </row>
    <row r="64" customFormat="false" ht="15" hidden="false" customHeight="true" outlineLevel="0" collapsed="false">
      <c r="A64" s="8" t="s">
        <v>119</v>
      </c>
      <c r="B64" s="8" t="n">
        <v>2018</v>
      </c>
      <c r="C64" s="9" t="n">
        <f aca="false">'House Vote Data'!K242</f>
        <v>0.782181168057211</v>
      </c>
      <c r="D64" s="9" t="n">
        <f aca="false">'House Vote Data'!G242</f>
        <v>0.761668172237278</v>
      </c>
    </row>
    <row r="65" customFormat="false" ht="15" hidden="false" customHeight="true" outlineLevel="0" collapsed="false">
      <c r="A65" s="8" t="s">
        <v>120</v>
      </c>
      <c r="B65" s="8" t="n">
        <v>2018</v>
      </c>
      <c r="C65" s="9" t="n">
        <f aca="false">'House Vote Data'!K246</f>
        <v>0.58304576144036</v>
      </c>
      <c r="D65" s="9" t="n">
        <f aca="false">'House Vote Data'!G246</f>
        <v>0.541628684290489</v>
      </c>
    </row>
    <row r="66" customFormat="false" ht="15" hidden="false" customHeight="true" outlineLevel="0" collapsed="false">
      <c r="A66" s="8" t="s">
        <v>121</v>
      </c>
      <c r="B66" s="8" t="n">
        <v>2018</v>
      </c>
      <c r="C66" s="9" t="n">
        <f aca="false">'House Vote Data'!K250</f>
        <v>0.695652173913044</v>
      </c>
      <c r="D66" s="9" t="n">
        <f aca="false">'House Vote Data'!G250</f>
        <v>0.662666666666667</v>
      </c>
    </row>
    <row r="67" customFormat="false" ht="15" hidden="false" customHeight="true" outlineLevel="0" collapsed="false">
      <c r="A67" s="8" t="s">
        <v>122</v>
      </c>
      <c r="B67" s="8" t="n">
        <v>2018</v>
      </c>
      <c r="C67" s="9" t="n">
        <f aca="false">'House Vote Data'!K254</f>
        <v>0.695652173913044</v>
      </c>
      <c r="D67" s="9" t="n">
        <f aca="false">'House Vote Data'!G254</f>
        <v>0.648648648648649</v>
      </c>
    </row>
    <row r="68" customFormat="false" ht="15" hidden="false" customHeight="true" outlineLevel="0" collapsed="false">
      <c r="A68" s="8" t="s">
        <v>89</v>
      </c>
      <c r="B68" s="8" t="n">
        <v>2018</v>
      </c>
      <c r="C68" s="9" t="n">
        <f aca="false">'House Vote Data'!K258</f>
        <v>0.589466460799451</v>
      </c>
      <c r="D68" s="9" t="n">
        <f aca="false">'House Vote Data'!G258</f>
        <v>0.54089709762533</v>
      </c>
    </row>
    <row r="69" customFormat="false" ht="15" hidden="false" customHeight="true" outlineLevel="0" collapsed="false">
      <c r="A69" s="8" t="s">
        <v>123</v>
      </c>
      <c r="B69" s="8" t="n">
        <v>2018</v>
      </c>
      <c r="C69" s="9" t="n">
        <f aca="false">'House Vote Data'!K262</f>
        <v>0.59670964873277</v>
      </c>
      <c r="D69" s="9" t="n">
        <f aca="false">'House Vote Data'!G262</f>
        <v>0.563291139240506</v>
      </c>
    </row>
    <row r="70" customFormat="false" ht="15" hidden="false" customHeight="true" outlineLevel="0" collapsed="false">
      <c r="A70" s="8" t="s">
        <v>81</v>
      </c>
      <c r="B70" s="8" t="n">
        <v>2018</v>
      </c>
      <c r="C70" s="9" t="n">
        <f aca="false">'House Vote Data'!K266</f>
        <v>0.426981919332406</v>
      </c>
      <c r="D70" s="9" t="n">
        <f aca="false">'House Vote Data'!G266</f>
        <v>0.36297341801929</v>
      </c>
    </row>
    <row r="71" customFormat="false" ht="15" hidden="false" customHeight="true" outlineLevel="0" collapsed="false">
      <c r="A71" s="8" t="s">
        <v>124</v>
      </c>
      <c r="B71" s="8" t="n">
        <v>2018</v>
      </c>
      <c r="C71" s="9" t="n">
        <f aca="false">'House Vote Data'!K270</f>
        <v>0.441402908468777</v>
      </c>
      <c r="D71" s="9" t="n">
        <f aca="false">'House Vote Data'!G270</f>
        <v>0.411458333333333</v>
      </c>
    </row>
    <row r="72" customFormat="false" ht="15" hidden="false" customHeight="true" outlineLevel="0" collapsed="false">
      <c r="A72" s="8" t="s">
        <v>125</v>
      </c>
      <c r="B72" s="8" t="n">
        <v>2018</v>
      </c>
      <c r="C72" s="9" t="n">
        <f aca="false">'House Vote Data'!K274</f>
        <v>0.501973684210526</v>
      </c>
      <c r="D72" s="9" t="n">
        <f aca="false">'House Vote Data'!G274</f>
        <v>0.444444444444444</v>
      </c>
    </row>
    <row r="73" customFormat="false" ht="15" hidden="false" customHeight="true" outlineLevel="0" collapsed="false">
      <c r="A73" s="8" t="s">
        <v>126</v>
      </c>
      <c r="B73" s="8" t="n">
        <v>2018</v>
      </c>
      <c r="C73" s="9" t="n">
        <f aca="false">'House Vote Data'!K278</f>
        <v>0.540612516644474</v>
      </c>
      <c r="D73" s="9" t="n">
        <f aca="false">'House Vote Data'!G278</f>
        <v>0.491866769945779</v>
      </c>
    </row>
    <row r="74" customFormat="false" ht="15" hidden="false" customHeight="true" outlineLevel="0" collapsed="false">
      <c r="A74" s="8" t="s">
        <v>127</v>
      </c>
      <c r="B74" s="8" t="n">
        <v>2018</v>
      </c>
      <c r="C74" s="9" t="n">
        <f aca="false">'House Vote Data'!K282</f>
        <v>0.425949207945688</v>
      </c>
      <c r="D74" s="9" t="n">
        <f aca="false">'House Vote Data'!G282</f>
        <v>0.3585291113381</v>
      </c>
    </row>
    <row r="75" customFormat="false" ht="15" hidden="false" customHeight="true" outlineLevel="0" collapsed="false">
      <c r="A75" s="8" t="s">
        <v>128</v>
      </c>
      <c r="B75" s="8" t="n">
        <v>2018</v>
      </c>
      <c r="C75" s="9" t="n">
        <f aca="false">'House Vote Data'!K286</f>
        <v>0.584862385321101</v>
      </c>
      <c r="D75" s="9" t="n">
        <f aca="false">'House Vote Data'!G286</f>
        <v>0.530573847601129</v>
      </c>
    </row>
    <row r="76" customFormat="false" ht="15" hidden="false" customHeight="true" outlineLevel="0" collapsed="false">
      <c r="A76" s="8" t="s">
        <v>129</v>
      </c>
      <c r="B76" s="8" t="n">
        <v>2018</v>
      </c>
      <c r="C76" s="9" t="n">
        <f aca="false">'House Vote Data'!K290</f>
        <v>0.563025210084034</v>
      </c>
      <c r="D76" s="9" t="n">
        <f aca="false">'House Vote Data'!G290</f>
        <v>0.507095553453169</v>
      </c>
    </row>
    <row r="77" customFormat="false" ht="15" hidden="false" customHeight="true" outlineLevel="0" collapsed="false">
      <c r="A77" s="8" t="s">
        <v>111</v>
      </c>
      <c r="B77" s="8" t="n">
        <v>2018</v>
      </c>
      <c r="C77" s="9" t="n">
        <f aca="false">'House Vote Data'!K294</f>
        <v>0.554170376966459</v>
      </c>
      <c r="D77" s="9" t="n">
        <f aca="false">'House Vote Data'!G294</f>
        <v>0.502436053593179</v>
      </c>
    </row>
    <row r="78" customFormat="false" ht="15" hidden="false" customHeight="true" outlineLevel="0" collapsed="false">
      <c r="A78" s="8" t="s">
        <v>130</v>
      </c>
      <c r="B78" s="8" t="n">
        <v>2018</v>
      </c>
      <c r="C78" s="9" t="n">
        <f aca="false">'House Vote Data'!K298</f>
        <v>0.585452133539686</v>
      </c>
      <c r="D78" s="9" t="n">
        <f aca="false">'House Vote Data'!G298</f>
        <v>0.539835936622092</v>
      </c>
    </row>
    <row r="79" customFormat="false" ht="15" hidden="false" customHeight="true" outlineLevel="0" collapsed="false">
      <c r="A79" s="8" t="s">
        <v>131</v>
      </c>
      <c r="B79" s="8" t="n">
        <v>2018</v>
      </c>
      <c r="C79" s="9" t="n">
        <f aca="false">'House Vote Data'!K302</f>
        <v>0.504587155963303</v>
      </c>
      <c r="D79" s="9" t="n">
        <f aca="false">'House Vote Data'!G302</f>
        <v>0.414029084687767</v>
      </c>
    </row>
    <row r="80" customFormat="false" ht="15" hidden="false" customHeight="true" outlineLevel="0" collapsed="false">
      <c r="A80" s="8" t="s">
        <v>132</v>
      </c>
      <c r="B80" s="8" t="n">
        <v>2018</v>
      </c>
      <c r="C80" s="9" t="n">
        <f aca="false">'House Vote Data'!K306</f>
        <v>0.448854961832061</v>
      </c>
      <c r="D80" s="9" t="n">
        <f aca="false">'House Vote Data'!G306</f>
        <v>0.398900667451904</v>
      </c>
    </row>
    <row r="81" customFormat="false" ht="15" hidden="false" customHeight="true" outlineLevel="0" collapsed="false">
      <c r="A81" s="8" t="s">
        <v>133</v>
      </c>
      <c r="B81" s="8" t="n">
        <v>2018</v>
      </c>
      <c r="C81" s="9" t="n">
        <f aca="false">'House Vote Data'!K310</f>
        <v>0.406976744186047</v>
      </c>
      <c r="D81" s="9" t="n">
        <f aca="false">'House Vote Data'!G310</f>
        <v>0.373493975903614</v>
      </c>
    </row>
    <row r="82" customFormat="false" ht="15" hidden="false" customHeight="true" outlineLevel="0" collapsed="false">
      <c r="A82" s="8" t="s">
        <v>134</v>
      </c>
      <c r="B82" s="8" t="n">
        <v>2018</v>
      </c>
      <c r="C82" s="9" t="n">
        <f aca="false">'House Vote Data'!K314</f>
        <v>0.487135506003431</v>
      </c>
      <c r="D82" s="9" t="n">
        <f aca="false">'House Vote Data'!G314</f>
        <v>0.420415224913495</v>
      </c>
    </row>
    <row r="83" customFormat="false" ht="15" hidden="false" customHeight="true" outlineLevel="0" collapsed="false">
      <c r="A83" s="8" t="s">
        <v>135</v>
      </c>
      <c r="B83" s="8" t="n">
        <v>2018</v>
      </c>
      <c r="C83" s="9" t="n">
        <f aca="false">'House Vote Data'!K318</f>
        <v>0.534375</v>
      </c>
      <c r="D83" s="9" t="n">
        <f aca="false">'House Vote Data'!G318</f>
        <v>0.452229299363057</v>
      </c>
    </row>
    <row r="84" customFormat="false" ht="15" hidden="false" customHeight="true" outlineLevel="0" collapsed="false">
      <c r="A84" s="8" t="s">
        <v>136</v>
      </c>
      <c r="B84" s="8" t="n">
        <v>2018</v>
      </c>
      <c r="C84" s="9" t="n">
        <f aca="false">'House Vote Data'!K322</f>
        <v>0.513215859030837</v>
      </c>
      <c r="D84" s="9" t="n">
        <f aca="false">'House Vote Data'!G322</f>
        <v>0.431460674157303</v>
      </c>
    </row>
    <row r="85" customFormat="false" ht="15" hidden="false" customHeight="true" outlineLevel="0" collapsed="false">
      <c r="A85" s="8" t="s">
        <v>137</v>
      </c>
      <c r="B85" s="8" t="n">
        <v>2018</v>
      </c>
      <c r="C85" s="9" t="n">
        <f aca="false">'House Vote Data'!K326</f>
        <v>0.39815157116451</v>
      </c>
      <c r="D85" s="9" t="n">
        <f aca="false">'House Vote Data'!G326</f>
        <v>0.36136023916293</v>
      </c>
    </row>
    <row r="86" customFormat="false" ht="15" hidden="false" customHeight="true" outlineLevel="0" collapsed="false">
      <c r="A86" s="8" t="s">
        <v>138</v>
      </c>
      <c r="B86" s="8" t="n">
        <v>2018</v>
      </c>
      <c r="C86" s="9" t="n">
        <f aca="false">'House Vote Data'!K330</f>
        <v>0.562427522226517</v>
      </c>
      <c r="D86" s="9" t="n">
        <f aca="false">'House Vote Data'!G330</f>
        <v>0.499801823226318</v>
      </c>
    </row>
    <row r="87" customFormat="false" ht="15" hidden="false" customHeight="true" outlineLevel="0" collapsed="false">
      <c r="A87" s="8" t="s">
        <v>139</v>
      </c>
      <c r="B87" s="8" t="n">
        <v>2018</v>
      </c>
      <c r="C87" s="9" t="n">
        <f aca="false">'House Vote Data'!K334</f>
        <v>0.5</v>
      </c>
      <c r="D87" s="9" t="n">
        <f aca="false">'House Vote Data'!G334</f>
        <v>0.420875420875421</v>
      </c>
    </row>
    <row r="88" customFormat="false" ht="15" hidden="false" customHeight="true" outlineLevel="0" collapsed="false">
      <c r="A88" s="8" t="s">
        <v>103</v>
      </c>
      <c r="B88" s="8" t="n">
        <v>2018</v>
      </c>
      <c r="C88" s="9" t="n">
        <f aca="false">'House Vote Data'!K338</f>
        <v>0.440376569037657</v>
      </c>
      <c r="D88" s="9" t="n">
        <f aca="false">'House Vote Data'!G338</f>
        <v>0.388829215896885</v>
      </c>
    </row>
    <row r="89" customFormat="false" ht="15" hidden="false" customHeight="true" outlineLevel="0" collapsed="false">
      <c r="A89" s="8" t="s">
        <v>140</v>
      </c>
      <c r="B89" s="8" t="n">
        <v>2018</v>
      </c>
      <c r="C89" s="9" t="n">
        <f aca="false">'House Vote Data'!K342</f>
        <v>0.588075880758808</v>
      </c>
      <c r="D89" s="9" t="n">
        <f aca="false">'House Vote Data'!G342</f>
        <v>0.535211267605634</v>
      </c>
    </row>
    <row r="90" customFormat="false" ht="15" hidden="false" customHeight="true" outlineLevel="0" collapsed="false">
      <c r="A90" s="8" t="s">
        <v>141</v>
      </c>
      <c r="B90" s="8" t="n">
        <v>2018</v>
      </c>
      <c r="C90" s="9" t="n">
        <f aca="false">'House Vote Data'!K346</f>
        <v>0.494645941278066</v>
      </c>
      <c r="D90" s="9" t="n">
        <f aca="false">'House Vote Data'!G346</f>
        <v>0.457950530035336</v>
      </c>
    </row>
    <row r="91" customFormat="false" ht="15" hidden="false" customHeight="true" outlineLevel="0" collapsed="false">
      <c r="A91" s="8" t="s">
        <v>142</v>
      </c>
      <c r="B91" s="8" t="n">
        <v>2018</v>
      </c>
      <c r="C91" s="9" t="n">
        <f aca="false">'House Vote Data'!K350</f>
        <v>0.642551166111376</v>
      </c>
      <c r="D91" s="9" t="n">
        <f aca="false">'House Vote Data'!G350</f>
        <v>0.606222654350997</v>
      </c>
    </row>
    <row r="92" customFormat="false" ht="15" hidden="false" customHeight="true" outlineLevel="0" collapsed="false">
      <c r="A92" s="8" t="s">
        <v>143</v>
      </c>
      <c r="B92" s="8" t="n">
        <v>2018</v>
      </c>
      <c r="C92" s="9" t="n">
        <f aca="false">'House Vote Data'!K354</f>
        <v>0.513939393939394</v>
      </c>
      <c r="D92" s="9" t="n">
        <f aca="false">'House Vote Data'!G354</f>
        <v>0.453066332916145</v>
      </c>
    </row>
    <row r="93" customFormat="false" ht="15" hidden="false" customHeight="true" outlineLevel="0" collapsed="false">
      <c r="A93" s="8" t="s">
        <v>56</v>
      </c>
      <c r="B93" s="8" t="n">
        <v>2022</v>
      </c>
      <c r="C93" s="9" t="n">
        <f aca="false">'House Vote Data'!K4</f>
        <v>0.3994708994709</v>
      </c>
      <c r="D93" s="9" t="n">
        <f aca="false">'House Vote Data'!G4</f>
        <v>0.354922279792746</v>
      </c>
    </row>
    <row r="94" customFormat="false" ht="15" hidden="false" customHeight="true" outlineLevel="0" collapsed="false">
      <c r="A94" s="8" t="s">
        <v>58</v>
      </c>
      <c r="B94" s="8" t="n">
        <v>2022</v>
      </c>
      <c r="C94" s="9" t="n">
        <f aca="false">'House Vote Data'!K8</f>
        <v>0.355263157894737</v>
      </c>
      <c r="D94" s="9" t="n">
        <f aca="false">'House Vote Data'!G8</f>
        <v>0.267515923566879</v>
      </c>
    </row>
    <row r="95" customFormat="false" ht="15" hidden="false" customHeight="true" outlineLevel="0" collapsed="false">
      <c r="A95" s="8" t="s">
        <v>59</v>
      </c>
      <c r="B95" s="8" t="n">
        <v>2022</v>
      </c>
      <c r="C95" s="9" t="n">
        <f aca="false">'House Vote Data'!K12</f>
        <v>0.421511627906977</v>
      </c>
      <c r="D95" s="9" t="n">
        <f aca="false">'House Vote Data'!G12</f>
        <v>0.359195402298851</v>
      </c>
    </row>
    <row r="96" customFormat="false" ht="15" hidden="false" customHeight="true" outlineLevel="0" collapsed="false">
      <c r="A96" s="8" t="s">
        <v>60</v>
      </c>
      <c r="B96" s="8" t="n">
        <v>2022</v>
      </c>
      <c r="C96" s="9" t="n">
        <f aca="false">'House Vote Data'!K16</f>
        <v>0.351055512118843</v>
      </c>
      <c r="D96" s="9" t="n">
        <f aca="false">'House Vote Data'!G16</f>
        <v>0.286815728604472</v>
      </c>
    </row>
    <row r="97" customFormat="false" ht="15" hidden="false" customHeight="true" outlineLevel="0" collapsed="false">
      <c r="A97" s="8" t="s">
        <v>61</v>
      </c>
      <c r="B97" s="8" t="n">
        <v>2022</v>
      </c>
      <c r="C97" s="9" t="n">
        <f aca="false">'House Vote Data'!K20</f>
        <v>0.422222222222222</v>
      </c>
      <c r="D97" s="9" t="n">
        <f aca="false">'House Vote Data'!G20</f>
        <v>0.351063829787234</v>
      </c>
    </row>
    <row r="98" customFormat="false" ht="15" hidden="false" customHeight="true" outlineLevel="0" collapsed="false">
      <c r="A98" s="8" t="s">
        <v>62</v>
      </c>
      <c r="B98" s="8" t="n">
        <v>2022</v>
      </c>
      <c r="C98" s="9" t="n">
        <f aca="false">'House Vote Data'!K24</f>
        <v>0.355648535564854</v>
      </c>
      <c r="D98" s="9" t="n">
        <f aca="false">'House Vote Data'!G24</f>
        <v>0.286006128702758</v>
      </c>
    </row>
    <row r="99" customFormat="false" ht="15" hidden="false" customHeight="true" outlineLevel="0" collapsed="false">
      <c r="A99" s="8" t="s">
        <v>63</v>
      </c>
      <c r="B99" s="8" t="n">
        <v>2022</v>
      </c>
      <c r="C99" s="9" t="n">
        <f aca="false">'House Vote Data'!K28</f>
        <v>0.527393997141496</v>
      </c>
      <c r="D99" s="9" t="n">
        <f aca="false">'House Vote Data'!G28</f>
        <v>0.458333333333333</v>
      </c>
    </row>
    <row r="100" customFormat="false" ht="15" hidden="false" customHeight="true" outlineLevel="0" collapsed="false">
      <c r="A100" s="8" t="s">
        <v>64</v>
      </c>
      <c r="B100" s="8" t="n">
        <v>2022</v>
      </c>
      <c r="C100" s="9" t="n">
        <f aca="false">'House Vote Data'!K32</f>
        <v>0.418576598311218</v>
      </c>
      <c r="D100" s="9" t="n">
        <f aca="false">'House Vote Data'!G32</f>
        <v>0.330943847072879</v>
      </c>
    </row>
    <row r="101" customFormat="false" ht="15" hidden="false" customHeight="true" outlineLevel="0" collapsed="false">
      <c r="A101" s="8" t="s">
        <v>65</v>
      </c>
      <c r="B101" s="8" t="n">
        <v>2022</v>
      </c>
      <c r="C101" s="9" t="n">
        <f aca="false">'House Vote Data'!K36</f>
        <v>0.493493493493494</v>
      </c>
      <c r="D101" s="9" t="n">
        <f aca="false">'House Vote Data'!G36</f>
        <v>0.42</v>
      </c>
    </row>
    <row r="102" customFormat="false" ht="15" hidden="false" customHeight="true" outlineLevel="0" collapsed="false">
      <c r="A102" s="8" t="s">
        <v>66</v>
      </c>
      <c r="B102" s="8" t="n">
        <v>2022</v>
      </c>
      <c r="C102" s="9" t="n">
        <f aca="false">'House Vote Data'!K40</f>
        <v>0.391304347826087</v>
      </c>
      <c r="D102" s="9" t="n">
        <f aca="false">'House Vote Data'!G40</f>
        <v>0.31304347826087</v>
      </c>
    </row>
    <row r="103" customFormat="false" ht="15" hidden="false" customHeight="true" outlineLevel="0" collapsed="false">
      <c r="A103" s="8" t="s">
        <v>67</v>
      </c>
      <c r="B103" s="8" t="n">
        <v>2022</v>
      </c>
      <c r="C103" s="9" t="n">
        <f aca="false">'House Vote Data'!K44</f>
        <v>0.282157676348548</v>
      </c>
      <c r="D103" s="9" t="n">
        <f aca="false">'House Vote Data'!G44</f>
        <v>0.215767634854772</v>
      </c>
    </row>
    <row r="104" customFormat="false" ht="15" hidden="false" customHeight="true" outlineLevel="0" collapsed="false">
      <c r="A104" s="8" t="s">
        <v>68</v>
      </c>
      <c r="B104" s="8" t="n">
        <v>2022</v>
      </c>
      <c r="C104" s="9" t="n">
        <f aca="false">'House Vote Data'!K48</f>
        <v>0.486961795027289</v>
      </c>
      <c r="D104" s="9" t="n">
        <f aca="false">'House Vote Data'!G48</f>
        <v>0.43131373725255</v>
      </c>
    </row>
    <row r="105" customFormat="false" ht="15" hidden="false" customHeight="true" outlineLevel="0" collapsed="false">
      <c r="A105" s="8" t="s">
        <v>69</v>
      </c>
      <c r="B105" s="8" t="n">
        <v>2022</v>
      </c>
      <c r="C105" s="9" t="n">
        <f aca="false">'House Vote Data'!K52</f>
        <v>0.375565610859729</v>
      </c>
      <c r="D105" s="9" t="n">
        <f aca="false">'House Vote Data'!G52</f>
        <v>0.319465081723626</v>
      </c>
    </row>
    <row r="106" customFormat="false" ht="15" hidden="false" customHeight="true" outlineLevel="0" collapsed="false">
      <c r="A106" s="8" t="s">
        <v>70</v>
      </c>
      <c r="B106" s="8" t="n">
        <v>2022</v>
      </c>
      <c r="C106" s="9" t="n">
        <f aca="false">'House Vote Data'!K56</f>
        <v>0.364102564102564</v>
      </c>
      <c r="D106" s="9" t="n">
        <f aca="false">'House Vote Data'!G56</f>
        <v>0.307952622673435</v>
      </c>
    </row>
    <row r="107" customFormat="false" ht="15" hidden="false" customHeight="true" outlineLevel="0" collapsed="false">
      <c r="A107" s="8" t="s">
        <v>71</v>
      </c>
      <c r="B107" s="8" t="n">
        <v>2022</v>
      </c>
      <c r="C107" s="9" t="n">
        <f aca="false">'House Vote Data'!K60</f>
        <v>0.491109229466554</v>
      </c>
      <c r="D107" s="9" t="n">
        <f aca="false">'House Vote Data'!G60</f>
        <v>0.408710217755444</v>
      </c>
    </row>
    <row r="108" customFormat="false" ht="15" hidden="false" customHeight="true" outlineLevel="0" collapsed="false">
      <c r="A108" s="8" t="s">
        <v>72</v>
      </c>
      <c r="B108" s="8" t="n">
        <v>2022</v>
      </c>
      <c r="C108" s="9" t="n">
        <f aca="false">'House Vote Data'!K64</f>
        <v>0.266173752310536</v>
      </c>
      <c r="D108" s="9" t="n">
        <f aca="false">'House Vote Data'!G64</f>
        <v>0.177777777777778</v>
      </c>
    </row>
    <row r="109" customFormat="false" ht="15" hidden="false" customHeight="true" outlineLevel="0" collapsed="false">
      <c r="A109" s="8" t="s">
        <v>73</v>
      </c>
      <c r="B109" s="8" t="n">
        <v>2022</v>
      </c>
      <c r="C109" s="9" t="n">
        <f aca="false">'House Vote Data'!K68</f>
        <v>0.434456928838951</v>
      </c>
      <c r="D109" s="9" t="n">
        <f aca="false">'House Vote Data'!G68</f>
        <v>0.386066003143007</v>
      </c>
    </row>
    <row r="110" customFormat="false" ht="15" hidden="false" customHeight="true" outlineLevel="0" collapsed="false">
      <c r="A110" s="8" t="s">
        <v>74</v>
      </c>
      <c r="B110" s="8" t="n">
        <v>2022</v>
      </c>
      <c r="C110" s="9" t="n">
        <f aca="false">'House Vote Data'!K72</f>
        <v>0.333333333333333</v>
      </c>
      <c r="D110" s="9" t="n">
        <f aca="false">'House Vote Data'!G72</f>
        <v>0.272727272727273</v>
      </c>
    </row>
    <row r="111" customFormat="false" ht="15" hidden="false" customHeight="true" outlineLevel="0" collapsed="false">
      <c r="A111" s="8" t="s">
        <v>75</v>
      </c>
      <c r="B111" s="8" t="n">
        <v>2022</v>
      </c>
      <c r="C111" s="9" t="n">
        <f aca="false">'House Vote Data'!K76</f>
        <v>0.429672897196262</v>
      </c>
      <c r="D111" s="9" t="n">
        <f aca="false">'House Vote Data'!G76</f>
        <v>0.364014801110083</v>
      </c>
    </row>
    <row r="112" customFormat="false" ht="15" hidden="false" customHeight="true" outlineLevel="0" collapsed="false">
      <c r="A112" s="8" t="s">
        <v>76</v>
      </c>
      <c r="B112" s="8" t="n">
        <v>2022</v>
      </c>
      <c r="C112" s="9" t="n">
        <f aca="false">'House Vote Data'!K80</f>
        <v>0.517073170731707</v>
      </c>
      <c r="D112" s="9" t="n">
        <f aca="false">'House Vote Data'!G80</f>
        <v>0.451012145748988</v>
      </c>
    </row>
    <row r="113" customFormat="false" ht="15" hidden="false" customHeight="true" outlineLevel="0" collapsed="false">
      <c r="A113" s="8" t="s">
        <v>77</v>
      </c>
      <c r="B113" s="8" t="n">
        <v>2022</v>
      </c>
      <c r="C113" s="9" t="n">
        <f aca="false">'House Vote Data'!K84</f>
        <v>0.347659980897803</v>
      </c>
      <c r="D113" s="9" t="n">
        <f aca="false">'House Vote Data'!G84</f>
        <v>0.293289535429376</v>
      </c>
    </row>
    <row r="114" customFormat="false" ht="15" hidden="false" customHeight="true" outlineLevel="0" collapsed="false">
      <c r="A114" s="8" t="s">
        <v>78</v>
      </c>
      <c r="B114" s="8" t="n">
        <v>2022</v>
      </c>
      <c r="C114" s="9" t="n">
        <f aca="false">'House Vote Data'!K88</f>
        <v>0.362514029180696</v>
      </c>
      <c r="D114" s="9" t="n">
        <f aca="false">'House Vote Data'!G88</f>
        <v>0.271920088790233</v>
      </c>
    </row>
    <row r="115" customFormat="false" ht="15" hidden="false" customHeight="true" outlineLevel="0" collapsed="false">
      <c r="A115" s="8" t="s">
        <v>79</v>
      </c>
      <c r="B115" s="8" t="n">
        <v>2022</v>
      </c>
      <c r="C115" s="9" t="n">
        <f aca="false">'House Vote Data'!K92</f>
        <v>0.505154639175258</v>
      </c>
      <c r="D115" s="9" t="n">
        <f aca="false">'House Vote Data'!G92</f>
        <v>0.46</v>
      </c>
    </row>
    <row r="116" customFormat="false" ht="15" hidden="false" customHeight="true" outlineLevel="0" collapsed="false">
      <c r="A116" s="8" t="s">
        <v>80</v>
      </c>
      <c r="B116" s="8" t="n">
        <v>2022</v>
      </c>
      <c r="C116" s="9" t="n">
        <f aca="false">'House Vote Data'!K96</f>
        <v>0.546653144016227</v>
      </c>
      <c r="D116" s="9" t="n">
        <f aca="false">'House Vote Data'!G96</f>
        <v>0.487660414610069</v>
      </c>
    </row>
    <row r="117" customFormat="false" ht="15" hidden="false" customHeight="true" outlineLevel="0" collapsed="false">
      <c r="A117" s="8" t="s">
        <v>82</v>
      </c>
      <c r="B117" s="8" t="n">
        <v>2022</v>
      </c>
      <c r="C117" s="9" t="n">
        <f aca="false">'House Vote Data'!K100</f>
        <v>0.722552842191668</v>
      </c>
      <c r="D117" s="9" t="n">
        <f aca="false">'House Vote Data'!G100</f>
        <v>0.681297939841773</v>
      </c>
    </row>
    <row r="118" customFormat="false" ht="15" hidden="false" customHeight="true" outlineLevel="0" collapsed="false">
      <c r="A118" s="8" t="s">
        <v>83</v>
      </c>
      <c r="B118" s="8" t="n">
        <v>2022</v>
      </c>
      <c r="C118" s="9" t="n">
        <f aca="false">'House Vote Data'!K104</f>
        <v>0.704945624029001</v>
      </c>
      <c r="D118" s="9" t="n">
        <f aca="false">'House Vote Data'!G104</f>
        <v>0.657204410087441</v>
      </c>
    </row>
    <row r="119" customFormat="false" ht="15" hidden="false" customHeight="true" outlineLevel="0" collapsed="false">
      <c r="A119" s="8" t="s">
        <v>84</v>
      </c>
      <c r="B119" s="8" t="n">
        <v>2022</v>
      </c>
      <c r="C119" s="9" t="n">
        <f aca="false">'House Vote Data'!K108</f>
        <v>0.598933074684772</v>
      </c>
      <c r="D119" s="9" t="n">
        <f aca="false">'House Vote Data'!G108</f>
        <v>0.537914691943128</v>
      </c>
    </row>
    <row r="120" customFormat="false" ht="15" hidden="false" customHeight="true" outlineLevel="0" collapsed="false">
      <c r="A120" s="8" t="s">
        <v>85</v>
      </c>
      <c r="B120" s="8" t="n">
        <v>2022</v>
      </c>
      <c r="C120" s="9" t="n">
        <f aca="false">'House Vote Data'!K112</f>
        <v>0.566021867115223</v>
      </c>
      <c r="D120" s="9" t="n">
        <f aca="false">'House Vote Data'!G112</f>
        <v>0.509433962264151</v>
      </c>
    </row>
    <row r="121" customFormat="false" ht="15" hidden="false" customHeight="true" outlineLevel="0" collapsed="false">
      <c r="A121" s="8" t="s">
        <v>86</v>
      </c>
      <c r="B121" s="8" t="n">
        <v>2022</v>
      </c>
      <c r="C121" s="9" t="n">
        <f aca="false">'House Vote Data'!K116</f>
        <v>0.584579071597168</v>
      </c>
      <c r="D121" s="9" t="n">
        <f aca="false">'House Vote Data'!G116</f>
        <v>0.532767925983038</v>
      </c>
    </row>
    <row r="122" customFormat="false" ht="15" hidden="false" customHeight="true" outlineLevel="0" collapsed="false">
      <c r="A122" s="8" t="s">
        <v>87</v>
      </c>
      <c r="B122" s="8" t="n">
        <v>2022</v>
      </c>
      <c r="C122" s="9" t="n">
        <f aca="false">'House Vote Data'!K120</f>
        <v>0.612676056338028</v>
      </c>
      <c r="D122" s="9" t="n">
        <f aca="false">'House Vote Data'!G120</f>
        <v>0.557435090479937</v>
      </c>
    </row>
    <row r="123" customFormat="false" ht="15" hidden="false" customHeight="true" outlineLevel="0" collapsed="false">
      <c r="A123" s="8" t="s">
        <v>88</v>
      </c>
      <c r="B123" s="8" t="n">
        <v>2022</v>
      </c>
      <c r="C123" s="9" t="n">
        <f aca="false">'House Vote Data'!K124</f>
        <v>0.735216819973719</v>
      </c>
      <c r="D123" s="9" t="n">
        <f aca="false">'House Vote Data'!G124</f>
        <v>0.690768237572628</v>
      </c>
    </row>
    <row r="124" customFormat="false" ht="15" hidden="false" customHeight="true" outlineLevel="0" collapsed="false">
      <c r="A124" s="8" t="s">
        <v>89</v>
      </c>
      <c r="B124" s="8" t="n">
        <v>2022</v>
      </c>
      <c r="C124" s="9" t="n">
        <f aca="false">'House Vote Data'!K128</f>
        <v>0.617903930131004</v>
      </c>
      <c r="D124" s="9" t="n">
        <f aca="false">'House Vote Data'!G128</f>
        <v>0.561027837259101</v>
      </c>
    </row>
    <row r="125" customFormat="false" ht="15" hidden="false" customHeight="true" outlineLevel="0" collapsed="false">
      <c r="A125" s="8" t="s">
        <v>90</v>
      </c>
      <c r="B125" s="8" t="n">
        <v>2022</v>
      </c>
      <c r="C125" s="9" t="n">
        <f aca="false">'House Vote Data'!K132</f>
        <v>0.379722921914358</v>
      </c>
      <c r="D125" s="9" t="n">
        <f aca="false">'House Vote Data'!G132</f>
        <v>0.3325</v>
      </c>
    </row>
    <row r="126" customFormat="false" ht="15" hidden="false" customHeight="true" outlineLevel="0" collapsed="false">
      <c r="A126" s="8" t="s">
        <v>91</v>
      </c>
      <c r="B126" s="8" t="n">
        <v>2022</v>
      </c>
      <c r="C126" s="9" t="n">
        <f aca="false">'House Vote Data'!K136</f>
        <v>0.592691963715344</v>
      </c>
      <c r="D126" s="9" t="n">
        <f aca="false">'House Vote Data'!G136</f>
        <v>0.523913997367266</v>
      </c>
    </row>
    <row r="127" customFormat="false" ht="15" hidden="false" customHeight="true" outlineLevel="0" collapsed="false">
      <c r="A127" s="8" t="s">
        <v>92</v>
      </c>
      <c r="B127" s="8" t="n">
        <v>2022</v>
      </c>
      <c r="C127" s="9" t="n">
        <f aca="false">'House Vote Data'!K140</f>
        <v>0.45514325974636</v>
      </c>
      <c r="D127" s="9" t="n">
        <f aca="false">'House Vote Data'!G140</f>
        <v>0.39333641832485</v>
      </c>
    </row>
    <row r="128" customFormat="false" ht="15" hidden="false" customHeight="true" outlineLevel="0" collapsed="false">
      <c r="A128" s="8" t="s">
        <v>93</v>
      </c>
      <c r="B128" s="8" t="n">
        <v>2022</v>
      </c>
      <c r="C128" s="9" t="n">
        <f aca="false">'House Vote Data'!K144</f>
        <v>0.422948073701843</v>
      </c>
      <c r="D128" s="9" t="n">
        <f aca="false">'House Vote Data'!G144</f>
        <v>0.375513557929334</v>
      </c>
    </row>
    <row r="129" customFormat="false" ht="15" hidden="false" customHeight="true" outlineLevel="0" collapsed="false">
      <c r="A129" s="8" t="s">
        <v>94</v>
      </c>
      <c r="B129" s="8" t="n">
        <v>2022</v>
      </c>
      <c r="C129" s="9" t="n">
        <f aca="false">'House Vote Data'!K148</f>
        <v>0.377923292797007</v>
      </c>
      <c r="D129" s="9" t="n">
        <f aca="false">'House Vote Data'!G148</f>
        <v>0.333952624245239</v>
      </c>
    </row>
    <row r="130" customFormat="false" ht="15" hidden="false" customHeight="true" outlineLevel="0" collapsed="false">
      <c r="A130" s="8" t="s">
        <v>95</v>
      </c>
      <c r="B130" s="8" t="n">
        <v>2022</v>
      </c>
      <c r="C130" s="9" t="n">
        <f aca="false">'House Vote Data'!K152</f>
        <v>0.622302158273381</v>
      </c>
      <c r="D130" s="9" t="n">
        <f aca="false">'House Vote Data'!G152</f>
        <v>0.556497175141243</v>
      </c>
    </row>
    <row r="131" customFormat="false" ht="15" hidden="false" customHeight="true" outlineLevel="0" collapsed="false">
      <c r="A131" s="8" t="s">
        <v>96</v>
      </c>
      <c r="B131" s="8" t="n">
        <v>2022</v>
      </c>
      <c r="C131" s="9" t="n">
        <f aca="false">'House Vote Data'!K156</f>
        <v>0.485921052631579</v>
      </c>
      <c r="D131" s="9" t="n">
        <f aca="false">'House Vote Data'!G156</f>
        <v>0.421796034728521</v>
      </c>
    </row>
    <row r="132" customFormat="false" ht="15" hidden="false" customHeight="true" outlineLevel="0" collapsed="false">
      <c r="A132" s="8" t="s">
        <v>97</v>
      </c>
      <c r="B132" s="8" t="n">
        <v>2022</v>
      </c>
      <c r="C132" s="9" t="n">
        <f aca="false">'House Vote Data'!K160</f>
        <v>0.574386133846895</v>
      </c>
      <c r="D132" s="9" t="n">
        <f aca="false">'House Vote Data'!G160</f>
        <v>0.508636934673367</v>
      </c>
    </row>
    <row r="133" customFormat="false" ht="15" hidden="false" customHeight="true" outlineLevel="0" collapsed="false">
      <c r="A133" s="8" t="s">
        <v>98</v>
      </c>
      <c r="B133" s="8" t="n">
        <v>2022</v>
      </c>
      <c r="C133" s="9" t="n">
        <f aca="false">'House Vote Data'!K164</f>
        <v>0.513698630136986</v>
      </c>
      <c r="D133" s="9" t="n">
        <f aca="false">'House Vote Data'!G164</f>
        <v>0.452257586972613</v>
      </c>
    </row>
    <row r="134" customFormat="false" ht="15" hidden="false" customHeight="true" outlineLevel="0" collapsed="false">
      <c r="A134" s="8" t="s">
        <v>99</v>
      </c>
      <c r="B134" s="8" t="n">
        <v>2022</v>
      </c>
      <c r="C134" s="9" t="n">
        <f aca="false">'House Vote Data'!K168</f>
        <v>0.630891367701739</v>
      </c>
      <c r="D134" s="9" t="n">
        <f aca="false">'House Vote Data'!G168</f>
        <v>0.563197944460915</v>
      </c>
    </row>
    <row r="135" customFormat="false" ht="15" hidden="false" customHeight="true" outlineLevel="0" collapsed="false">
      <c r="A135" s="8" t="s">
        <v>100</v>
      </c>
      <c r="B135" s="8" t="n">
        <v>2022</v>
      </c>
      <c r="C135" s="9" t="n">
        <f aca="false">'House Vote Data'!K172</f>
        <v>0.602279924002533</v>
      </c>
      <c r="D135" s="9" t="n">
        <f aca="false">'House Vote Data'!G172</f>
        <v>0.533374755902716</v>
      </c>
    </row>
    <row r="136" customFormat="false" ht="15" hidden="false" customHeight="true" outlineLevel="0" collapsed="false">
      <c r="A136" s="8" t="s">
        <v>101</v>
      </c>
      <c r="B136" s="8" t="n">
        <v>2022</v>
      </c>
      <c r="C136" s="9" t="n">
        <f aca="false">'House Vote Data'!K176</f>
        <v>0.510696404187529</v>
      </c>
      <c r="D136" s="9" t="n">
        <f aca="false">'House Vote Data'!G176</f>
        <v>0.453369031682285</v>
      </c>
    </row>
    <row r="137" customFormat="false" ht="15" hidden="false" customHeight="true" outlineLevel="0" collapsed="false">
      <c r="A137" s="8" t="s">
        <v>102</v>
      </c>
      <c r="B137" s="8" t="n">
        <v>2022</v>
      </c>
      <c r="C137" s="9" t="n">
        <f aca="false">'House Vote Data'!K180</f>
        <v>0.565824700267722</v>
      </c>
      <c r="D137" s="9" t="n">
        <f aca="false">'House Vote Data'!G180</f>
        <v>0.502108262108262</v>
      </c>
    </row>
    <row r="138" customFormat="false" ht="15" hidden="false" customHeight="true" outlineLevel="0" collapsed="false">
      <c r="A138" s="8" t="s">
        <v>103</v>
      </c>
      <c r="B138" s="8" t="n">
        <v>2022</v>
      </c>
      <c r="C138" s="9" t="n">
        <f aca="false">'House Vote Data'!K184</f>
        <v>0.39816700610998</v>
      </c>
      <c r="D138" s="9" t="n">
        <f aca="false">'House Vote Data'!G184</f>
        <v>0.350632069194943</v>
      </c>
    </row>
    <row r="139" customFormat="false" ht="15" hidden="false" customHeight="true" outlineLevel="0" collapsed="false">
      <c r="A139" s="8" t="s">
        <v>104</v>
      </c>
      <c r="B139" s="8" t="n">
        <v>2022</v>
      </c>
      <c r="C139" s="9" t="n">
        <f aca="false">'House Vote Data'!K188</f>
        <v>0.429711246200608</v>
      </c>
      <c r="D139" s="9" t="n">
        <f aca="false">'House Vote Data'!G188</f>
        <v>0.364413075780089</v>
      </c>
    </row>
    <row r="140" customFormat="false" ht="15" hidden="false" customHeight="true" outlineLevel="0" collapsed="false">
      <c r="A140" s="8" t="s">
        <v>105</v>
      </c>
      <c r="B140" s="8" t="n">
        <v>2022</v>
      </c>
      <c r="C140" s="9" t="n">
        <f aca="false">'House Vote Data'!K192</f>
        <v>0.592163846838825</v>
      </c>
      <c r="D140" s="9" t="n">
        <f aca="false">'House Vote Data'!G192</f>
        <v>0.535172949863972</v>
      </c>
    </row>
    <row r="141" customFormat="false" ht="15" hidden="false" customHeight="true" outlineLevel="0" collapsed="false">
      <c r="A141" s="8" t="s">
        <v>106</v>
      </c>
      <c r="B141" s="8" t="n">
        <v>2022</v>
      </c>
      <c r="C141" s="9" t="n">
        <f aca="false">'House Vote Data'!K196</f>
        <v>0.363636363636364</v>
      </c>
      <c r="D141" s="9" t="n">
        <f aca="false">'House Vote Data'!G196</f>
        <v>0.30464135021097</v>
      </c>
    </row>
    <row r="142" customFormat="false" ht="15" hidden="false" customHeight="true" outlineLevel="0" collapsed="false">
      <c r="A142" s="8" t="s">
        <v>108</v>
      </c>
      <c r="B142" s="8" t="n">
        <v>2022</v>
      </c>
      <c r="C142" s="9" t="n">
        <f aca="false">'House Vote Data'!K200</f>
        <v>0.385550303848751</v>
      </c>
      <c r="D142" s="9" t="n">
        <f aca="false">'House Vote Data'!G200</f>
        <v>0.339767054908486</v>
      </c>
    </row>
    <row r="143" customFormat="false" ht="15" hidden="false" customHeight="true" outlineLevel="0" collapsed="false">
      <c r="A143" s="8" t="s">
        <v>109</v>
      </c>
      <c r="B143" s="8" t="n">
        <v>2022</v>
      </c>
      <c r="C143" s="9" t="n">
        <f aca="false">'House Vote Data'!K204</f>
        <v>0.415910073497622</v>
      </c>
      <c r="D143" s="9" t="n">
        <f aca="false">'House Vote Data'!G204</f>
        <v>0.341726618705036</v>
      </c>
    </row>
    <row r="144" customFormat="false" ht="15" hidden="false" customHeight="true" outlineLevel="0" collapsed="false">
      <c r="A144" s="8" t="s">
        <v>110</v>
      </c>
      <c r="B144" s="8" t="n">
        <v>2022</v>
      </c>
      <c r="C144" s="9" t="n">
        <f aca="false">'House Vote Data'!K208</f>
        <v>0.510546875</v>
      </c>
      <c r="D144" s="9" t="n">
        <f aca="false">'House Vote Data'!G208</f>
        <v>0.451538461538462</v>
      </c>
    </row>
    <row r="145" customFormat="false" ht="15" hidden="false" customHeight="true" outlineLevel="0" collapsed="false">
      <c r="A145" s="8" t="s">
        <v>112</v>
      </c>
      <c r="B145" s="8" t="n">
        <v>2022</v>
      </c>
      <c r="C145" s="9" t="n">
        <f aca="false">'House Vote Data'!K212</f>
        <v>0.490831295843521</v>
      </c>
      <c r="D145" s="9" t="n">
        <f aca="false">'House Vote Data'!G212</f>
        <v>0.43995171997586</v>
      </c>
    </row>
    <row r="146" customFormat="false" ht="15" hidden="false" customHeight="true" outlineLevel="0" collapsed="false">
      <c r="A146" s="8" t="s">
        <v>113</v>
      </c>
      <c r="B146" s="8" t="n">
        <v>2022</v>
      </c>
      <c r="C146" s="9" t="n">
        <f aca="false">'House Vote Data'!K216</f>
        <v>0.529032258064516</v>
      </c>
      <c r="D146" s="9" t="n">
        <f aca="false">'House Vote Data'!G216</f>
        <v>0.462264150943396</v>
      </c>
    </row>
    <row r="147" customFormat="false" ht="15" hidden="false" customHeight="true" outlineLevel="0" collapsed="false">
      <c r="A147" s="8" t="s">
        <v>83</v>
      </c>
      <c r="B147" s="8" t="n">
        <v>2022</v>
      </c>
      <c r="C147" s="9" t="n">
        <f aca="false">'House Vote Data'!K220</f>
        <v>0.728241863613289</v>
      </c>
      <c r="D147" s="9" t="n">
        <f aca="false">'House Vote Data'!G220</f>
        <v>0.685420581408202</v>
      </c>
    </row>
    <row r="148" customFormat="false" ht="15" hidden="false" customHeight="true" outlineLevel="0" collapsed="false">
      <c r="A148" s="8" t="s">
        <v>114</v>
      </c>
      <c r="B148" s="8" t="n">
        <v>2022</v>
      </c>
      <c r="C148" s="9" t="n">
        <f aca="false">'House Vote Data'!K224</f>
        <v>0.600666944560233</v>
      </c>
      <c r="D148" s="9" t="n">
        <f aca="false">'House Vote Data'!G224</f>
        <v>0.545699583435433</v>
      </c>
    </row>
    <row r="149" customFormat="false" ht="15" hidden="false" customHeight="true" outlineLevel="0" collapsed="false">
      <c r="A149" s="8" t="s">
        <v>115</v>
      </c>
      <c r="B149" s="8" t="n">
        <v>2022</v>
      </c>
      <c r="C149" s="9" t="n">
        <f aca="false">'House Vote Data'!K228</f>
        <v>0.457619268179713</v>
      </c>
      <c r="D149" s="9" t="n">
        <f aca="false">'House Vote Data'!G228</f>
        <v>0.394862468742896</v>
      </c>
    </row>
    <row r="150" customFormat="false" ht="15" hidden="false" customHeight="true" outlineLevel="0" collapsed="false">
      <c r="A150" s="8" t="s">
        <v>116</v>
      </c>
      <c r="B150" s="8" t="n">
        <v>2022</v>
      </c>
      <c r="C150" s="9" t="n">
        <f aca="false">'House Vote Data'!K232</f>
        <v>0.430379746835443</v>
      </c>
      <c r="D150" s="9" t="n">
        <f aca="false">'House Vote Data'!G232</f>
        <v>0.36046511627907</v>
      </c>
    </row>
    <row r="151" customFormat="false" ht="15" hidden="false" customHeight="true" outlineLevel="0" collapsed="false">
      <c r="A151" s="8" t="s">
        <v>117</v>
      </c>
      <c r="B151" s="8" t="n">
        <v>2022</v>
      </c>
      <c r="C151" s="9" t="n">
        <f aca="false">'House Vote Data'!K236</f>
        <v>0.496774193548387</v>
      </c>
      <c r="D151" s="9" t="n">
        <f aca="false">'House Vote Data'!G236</f>
        <v>0.440603893524037</v>
      </c>
    </row>
    <row r="152" customFormat="false" ht="15" hidden="false" customHeight="true" outlineLevel="0" collapsed="false">
      <c r="A152" s="8" t="s">
        <v>118</v>
      </c>
      <c r="B152" s="8" t="n">
        <v>2022</v>
      </c>
      <c r="C152" s="9" t="n">
        <f aca="false">'House Vote Data'!K240</f>
        <v>0.454545454545455</v>
      </c>
      <c r="D152" s="9" t="n">
        <f aca="false">'House Vote Data'!G240</f>
        <v>0.39031339031339</v>
      </c>
    </row>
    <row r="153" customFormat="false" ht="15" hidden="false" customHeight="true" outlineLevel="0" collapsed="false">
      <c r="A153" s="8" t="s">
        <v>119</v>
      </c>
      <c r="B153" s="8" t="n">
        <v>2022</v>
      </c>
      <c r="C153" s="9" t="n">
        <f aca="false">'House Vote Data'!K244</f>
        <v>0.765380754338161</v>
      </c>
      <c r="D153" s="9" t="n">
        <f aca="false">'House Vote Data'!G244</f>
        <v>0.734526998449175</v>
      </c>
    </row>
    <row r="154" customFormat="false" ht="15" hidden="false" customHeight="true" outlineLevel="0" collapsed="false">
      <c r="A154" s="8" t="s">
        <v>120</v>
      </c>
      <c r="B154" s="8" t="n">
        <v>2022</v>
      </c>
      <c r="C154" s="9" t="n">
        <f aca="false">'House Vote Data'!K248</f>
        <v>0.578544061302682</v>
      </c>
      <c r="D154" s="9" t="n">
        <f aca="false">'House Vote Data'!G248</f>
        <v>0.52367758186398</v>
      </c>
    </row>
    <row r="155" customFormat="false" ht="15" hidden="false" customHeight="true" outlineLevel="0" collapsed="false">
      <c r="A155" s="8" t="s">
        <v>121</v>
      </c>
      <c r="B155" s="8" t="n">
        <v>2022</v>
      </c>
      <c r="C155" s="9" t="n">
        <f aca="false">'House Vote Data'!K252</f>
        <v>0.642409033877039</v>
      </c>
      <c r="D155" s="9" t="n">
        <f aca="false">'House Vote Data'!G252</f>
        <v>0.592592592592593</v>
      </c>
    </row>
    <row r="156" customFormat="false" ht="15" hidden="false" customHeight="true" outlineLevel="0" collapsed="false">
      <c r="A156" s="8" t="s">
        <v>122</v>
      </c>
      <c r="B156" s="8" t="n">
        <v>2022</v>
      </c>
      <c r="C156" s="9" t="n">
        <f aca="false">'House Vote Data'!K256</f>
        <v>0.558823529411765</v>
      </c>
      <c r="D156" s="9" t="n">
        <f aca="false">'House Vote Data'!G256</f>
        <v>0.51063829787234</v>
      </c>
    </row>
    <row r="157" customFormat="false" ht="15" hidden="false" customHeight="true" outlineLevel="0" collapsed="false">
      <c r="A157" s="8" t="s">
        <v>89</v>
      </c>
      <c r="B157" s="8" t="n">
        <v>2022</v>
      </c>
      <c r="C157" s="9" t="n">
        <f aca="false">'House Vote Data'!K260</f>
        <v>0.615130023640662</v>
      </c>
      <c r="D157" s="9" t="n">
        <f aca="false">'House Vote Data'!G260</f>
        <v>0.553231055323106</v>
      </c>
    </row>
    <row r="158" customFormat="false" ht="15" hidden="false" customHeight="true" outlineLevel="0" collapsed="false">
      <c r="A158" s="8" t="s">
        <v>123</v>
      </c>
      <c r="B158" s="8" t="n">
        <v>2022</v>
      </c>
      <c r="C158" s="9" t="n">
        <f aca="false">'House Vote Data'!K264</f>
        <v>0.58744571654165</v>
      </c>
      <c r="D158" s="9" t="n">
        <f aca="false">'House Vote Data'!G264</f>
        <v>0.53322969296541</v>
      </c>
    </row>
    <row r="159" customFormat="false" ht="15" hidden="false" customHeight="true" outlineLevel="0" collapsed="false">
      <c r="A159" s="8" t="s">
        <v>81</v>
      </c>
      <c r="B159" s="8" t="n">
        <v>2022</v>
      </c>
      <c r="C159" s="9" t="n">
        <f aca="false">'House Vote Data'!K268</f>
        <v>0.400716275368086</v>
      </c>
      <c r="D159" s="9" t="n">
        <f aca="false">'House Vote Data'!G268</f>
        <v>0.353113983548766</v>
      </c>
    </row>
    <row r="160" customFormat="false" ht="15" hidden="false" customHeight="true" outlineLevel="0" collapsed="false">
      <c r="A160" s="8" t="s">
        <v>124</v>
      </c>
      <c r="B160" s="8" t="n">
        <v>2022</v>
      </c>
      <c r="C160" s="9" t="n">
        <f aca="false">'House Vote Data'!K272</f>
        <v>0.416787264833575</v>
      </c>
      <c r="D160" s="9" t="n">
        <f aca="false">'House Vote Data'!G272</f>
        <v>0.365</v>
      </c>
    </row>
    <row r="161" customFormat="false" ht="15" hidden="false" customHeight="true" outlineLevel="0" collapsed="false">
      <c r="A161" s="8" t="s">
        <v>125</v>
      </c>
      <c r="B161" s="8" t="n">
        <v>2022</v>
      </c>
      <c r="C161" s="9" t="n">
        <f aca="false">'House Vote Data'!K276</f>
        <v>0.505497526113249</v>
      </c>
      <c r="D161" s="9" t="n">
        <f aca="false">'House Vote Data'!G276</f>
        <v>0.441200324412003</v>
      </c>
    </row>
    <row r="162" customFormat="false" ht="15" hidden="false" customHeight="true" outlineLevel="0" collapsed="false">
      <c r="A162" s="8" t="s">
        <v>126</v>
      </c>
      <c r="B162" s="8" t="n">
        <v>2022</v>
      </c>
      <c r="C162" s="9" t="n">
        <f aca="false">'House Vote Data'!K280</f>
        <v>0.555917109094023</v>
      </c>
      <c r="D162" s="9" t="n">
        <f aca="false">'House Vote Data'!G280</f>
        <v>0.492491985827569</v>
      </c>
    </row>
    <row r="163" customFormat="false" ht="15" hidden="false" customHeight="true" outlineLevel="0" collapsed="false">
      <c r="A163" s="8" t="s">
        <v>127</v>
      </c>
      <c r="B163" s="8" t="n">
        <v>2022</v>
      </c>
      <c r="C163" s="9" t="n">
        <f aca="false">'House Vote Data'!K284</f>
        <v>0.40298826040555</v>
      </c>
      <c r="D163" s="9" t="n">
        <f aca="false">'House Vote Data'!G284</f>
        <v>0.349537037037037</v>
      </c>
    </row>
    <row r="164" customFormat="false" ht="15" hidden="false" customHeight="true" outlineLevel="0" collapsed="false">
      <c r="A164" s="8" t="s">
        <v>128</v>
      </c>
      <c r="B164" s="8" t="n">
        <v>2022</v>
      </c>
      <c r="C164" s="9" t="n">
        <f aca="false">'House Vote Data'!K288</f>
        <v>0.578728707935189</v>
      </c>
      <c r="D164" s="9" t="n">
        <f aca="false">'House Vote Data'!G288</f>
        <v>0.517073170731707</v>
      </c>
    </row>
    <row r="165" customFormat="false" ht="15" hidden="false" customHeight="true" outlineLevel="0" collapsed="false">
      <c r="A165" s="8" t="s">
        <v>129</v>
      </c>
      <c r="B165" s="8" t="n">
        <v>2022</v>
      </c>
      <c r="C165" s="9" t="n">
        <f aca="false">'House Vote Data'!K292</f>
        <v>0.5603517186251</v>
      </c>
      <c r="D165" s="9" t="n">
        <f aca="false">'House Vote Data'!G292</f>
        <v>0.503912363067293</v>
      </c>
    </row>
    <row r="166" customFormat="false" ht="15" hidden="false" customHeight="true" outlineLevel="0" collapsed="false">
      <c r="A166" s="8" t="s">
        <v>111</v>
      </c>
      <c r="B166" s="8" t="n">
        <v>2022</v>
      </c>
      <c r="C166" s="9" t="n">
        <f aca="false">'House Vote Data'!K296</f>
        <v>0.547619047619048</v>
      </c>
      <c r="D166" s="9" t="n">
        <f aca="false">'House Vote Data'!G296</f>
        <v>0.49834479246244</v>
      </c>
    </row>
    <row r="167" customFormat="false" ht="15" hidden="false" customHeight="true" outlineLevel="0" collapsed="false">
      <c r="A167" s="8" t="s">
        <v>130</v>
      </c>
      <c r="B167" s="8" t="n">
        <v>2022</v>
      </c>
      <c r="C167" s="9" t="n">
        <f aca="false">'House Vote Data'!K300</f>
        <v>0.577880547082554</v>
      </c>
      <c r="D167" s="9" t="n">
        <f aca="false">'House Vote Data'!G300</f>
        <v>0.523901871424416</v>
      </c>
    </row>
    <row r="168" customFormat="false" ht="15" hidden="false" customHeight="true" outlineLevel="0" collapsed="false">
      <c r="A168" s="8" t="s">
        <v>131</v>
      </c>
      <c r="B168" s="8" t="n">
        <v>2022</v>
      </c>
      <c r="C168" s="9" t="n">
        <f aca="false">'House Vote Data'!K304</f>
        <v>0.458795562599049</v>
      </c>
      <c r="D168" s="9" t="n">
        <f aca="false">'House Vote Data'!G304</f>
        <v>0.396431342125679</v>
      </c>
    </row>
    <row r="169" customFormat="false" ht="15" hidden="false" customHeight="true" outlineLevel="0" collapsed="false">
      <c r="A169" s="8" t="s">
        <v>132</v>
      </c>
      <c r="B169" s="8" t="n">
        <v>2022</v>
      </c>
      <c r="C169" s="9" t="n">
        <f aca="false">'House Vote Data'!K308</f>
        <v>0.407100199071002</v>
      </c>
      <c r="D169" s="9" t="n">
        <f aca="false">'House Vote Data'!G308</f>
        <v>0.350032530904359</v>
      </c>
    </row>
    <row r="170" customFormat="false" ht="15" hidden="false" customHeight="true" outlineLevel="0" collapsed="false">
      <c r="A170" s="8" t="s">
        <v>133</v>
      </c>
      <c r="B170" s="8" t="n">
        <v>2022</v>
      </c>
      <c r="C170" s="9" t="n">
        <f aca="false">'House Vote Data'!K312</f>
        <v>0.382198952879581</v>
      </c>
      <c r="D170" s="9" t="n">
        <f aca="false">'House Vote Data'!G312</f>
        <v>0.335051546391753</v>
      </c>
    </row>
    <row r="171" customFormat="false" ht="15" hidden="false" customHeight="true" outlineLevel="0" collapsed="false">
      <c r="A171" s="8" t="s">
        <v>134</v>
      </c>
      <c r="B171" s="8" t="n">
        <v>2022</v>
      </c>
      <c r="C171" s="9" t="n">
        <f aca="false">'House Vote Data'!K316</f>
        <v>0.442249240121581</v>
      </c>
      <c r="D171" s="9" t="n">
        <f aca="false">'House Vote Data'!G316</f>
        <v>0.381656804733728</v>
      </c>
    </row>
    <row r="172" customFormat="false" ht="15" hidden="false" customHeight="true" outlineLevel="0" collapsed="false">
      <c r="A172" s="8" t="s">
        <v>135</v>
      </c>
      <c r="B172" s="8" t="n">
        <v>2022</v>
      </c>
      <c r="C172" s="9" t="n">
        <f aca="false">'House Vote Data'!K320</f>
        <v>0.4750656167979</v>
      </c>
      <c r="D172" s="9" t="n">
        <f aca="false">'House Vote Data'!G320</f>
        <v>0.41343669250646</v>
      </c>
    </row>
    <row r="173" customFormat="false" ht="15" hidden="false" customHeight="true" outlineLevel="0" collapsed="false">
      <c r="A173" s="8" t="s">
        <v>136</v>
      </c>
      <c r="B173" s="8" t="n">
        <v>2022</v>
      </c>
      <c r="C173" s="9" t="n">
        <f aca="false">'House Vote Data'!K324</f>
        <v>0.503610108303249</v>
      </c>
      <c r="D173" s="9" t="n">
        <f aca="false">'House Vote Data'!G324</f>
        <v>0.433155080213904</v>
      </c>
    </row>
    <row r="174" customFormat="false" ht="15" hidden="false" customHeight="true" outlineLevel="0" collapsed="false">
      <c r="A174" s="8" t="s">
        <v>137</v>
      </c>
      <c r="B174" s="8" t="n">
        <v>2022</v>
      </c>
      <c r="C174" s="9" t="n">
        <f aca="false">'House Vote Data'!K328</f>
        <v>0.378009108653221</v>
      </c>
      <c r="D174" s="9" t="n">
        <f aca="false">'House Vote Data'!G328</f>
        <v>0.3296</v>
      </c>
    </row>
    <row r="175" customFormat="false" ht="15" hidden="false" customHeight="true" outlineLevel="0" collapsed="false">
      <c r="A175" s="8" t="s">
        <v>138</v>
      </c>
      <c r="B175" s="8" t="n">
        <v>2022</v>
      </c>
      <c r="C175" s="9" t="n">
        <f aca="false">'House Vote Data'!K332</f>
        <v>0.562479819179852</v>
      </c>
      <c r="D175" s="9" t="n">
        <f aca="false">'House Vote Data'!G332</f>
        <v>0.497944988934556</v>
      </c>
    </row>
    <row r="176" customFormat="false" ht="15" hidden="false" customHeight="true" outlineLevel="0" collapsed="false">
      <c r="A176" s="8" t="s">
        <v>139</v>
      </c>
      <c r="B176" s="8" t="n">
        <v>2022</v>
      </c>
      <c r="C176" s="9" t="n">
        <f aca="false">'House Vote Data'!K336</f>
        <v>0.50071530758226</v>
      </c>
      <c r="D176" s="9" t="n">
        <f aca="false">'House Vote Data'!G336</f>
        <v>0.421270718232044</v>
      </c>
    </row>
    <row r="177" customFormat="false" ht="15" hidden="false" customHeight="true" outlineLevel="0" collapsed="false">
      <c r="A177" s="8" t="s">
        <v>103</v>
      </c>
      <c r="B177" s="8" t="n">
        <v>2022</v>
      </c>
      <c r="C177" s="9" t="n">
        <f aca="false">'House Vote Data'!K340</f>
        <v>0.414310197086547</v>
      </c>
      <c r="D177" s="9" t="n">
        <f aca="false">'House Vote Data'!G340</f>
        <v>0.353982300884956</v>
      </c>
    </row>
    <row r="178" customFormat="false" ht="15" hidden="false" customHeight="true" outlineLevel="0" collapsed="false">
      <c r="A178" s="8" t="s">
        <v>140</v>
      </c>
      <c r="B178" s="8" t="n">
        <v>2022</v>
      </c>
      <c r="C178" s="9" t="n">
        <f aca="false">'House Vote Data'!K344</f>
        <v>0.513715710723192</v>
      </c>
      <c r="D178" s="9" t="n">
        <f aca="false">'House Vote Data'!G344</f>
        <v>0.480676328502416</v>
      </c>
    </row>
    <row r="179" customFormat="false" ht="15" hidden="false" customHeight="true" outlineLevel="0" collapsed="false">
      <c r="A179" s="8" t="s">
        <v>141</v>
      </c>
      <c r="B179" s="8" t="n">
        <v>2022</v>
      </c>
      <c r="C179" s="9" t="n">
        <f aca="false">'House Vote Data'!K348</f>
        <v>0.493865030674847</v>
      </c>
      <c r="D179" s="9" t="n">
        <f aca="false">'House Vote Data'!G348</f>
        <v>0.439083232810615</v>
      </c>
    </row>
    <row r="180" customFormat="false" ht="15" hidden="false" customHeight="true" outlineLevel="0" collapsed="false">
      <c r="A180" s="8" t="s">
        <v>142</v>
      </c>
      <c r="B180" s="8" t="n">
        <v>2022</v>
      </c>
      <c r="C180" s="9" t="n">
        <f aca="false">'House Vote Data'!K352</f>
        <v>0.638827187916482</v>
      </c>
      <c r="D180" s="9" t="n">
        <f aca="false">'House Vote Data'!G352</f>
        <v>0.584387265590929</v>
      </c>
    </row>
    <row r="181" customFormat="false" ht="15" hidden="false" customHeight="true" outlineLevel="0" collapsed="false">
      <c r="A181" s="8" t="s">
        <v>143</v>
      </c>
      <c r="B181" s="8" t="n">
        <v>2022</v>
      </c>
      <c r="C181" s="9" t="n">
        <f aca="false">'House Vote Data'!K356</f>
        <v>0.513837638376384</v>
      </c>
      <c r="D181" s="9" t="n">
        <f aca="false">'House Vote Data'!G356</f>
        <v>0.451141552511416</v>
      </c>
    </row>
    <row r="183" customFormat="false" ht="15" hidden="false" customHeight="true" outlineLevel="0" collapsed="false">
      <c r="A183" s="8" t="s">
        <v>186</v>
      </c>
      <c r="B183" s="7" t="n">
        <f aca="false">CORREL(C4:C92,D4:D92)</f>
        <v>0.987668911903817</v>
      </c>
    </row>
    <row r="184" customFormat="false" ht="15" hidden="false" customHeight="true" outlineLevel="0" collapsed="false">
      <c r="A184" s="8" t="s">
        <v>187</v>
      </c>
      <c r="B184" s="7" t="n">
        <f aca="false">CORREL(C93:C181,D93:D181)</f>
        <v>0.995149979933596</v>
      </c>
    </row>
    <row r="185" customFormat="false" ht="15" hidden="false" customHeight="true" outlineLevel="0" collapsed="false">
      <c r="A185" s="8" t="s">
        <v>188</v>
      </c>
      <c r="B185" s="7" t="n">
        <f aca="false">CORREL(C4:C181,D4:D181)</f>
        <v>0.990648532258207</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6"/>
    <col collapsed="false" customWidth="true" hidden="false" outlineLevel="0" max="3" min="3" style="1" width="14"/>
    <col collapsed="false" customWidth="true" hidden="false" outlineLevel="0" max="4" min="4" style="1" width="10"/>
    <col collapsed="false" customWidth="true" hidden="false" outlineLevel="0" max="5" min="5" style="1" width="16"/>
    <col collapsed="false" customWidth="true" hidden="false" outlineLevel="0" max="6" min="6" style="1" width="13"/>
    <col collapsed="false" customWidth="true" hidden="false" outlineLevel="0" max="8" min="7" style="1" width="16"/>
    <col collapsed="false" customWidth="true" hidden="true" outlineLevel="0" max="11" min="9" style="1" width="13"/>
    <col collapsed="false" customWidth="true" hidden="true" outlineLevel="0" max="14" min="13" style="1" width="13"/>
    <col collapsed="false" customWidth="true" hidden="false" outlineLevel="0" max="15" min="15" style="1" width="13"/>
    <col collapsed="false" customWidth="true" hidden="true" outlineLevel="0" max="20" min="19" style="1" width="13"/>
  </cols>
  <sheetData>
    <row r="1" customFormat="false" ht="15.75" hidden="false" customHeight="true" outlineLevel="0" collapsed="false">
      <c r="A1" s="10" t="s">
        <v>189</v>
      </c>
      <c r="B1" s="10"/>
      <c r="C1" s="10"/>
      <c r="D1" s="10"/>
      <c r="E1" s="10"/>
      <c r="F1" s="10"/>
      <c r="G1" s="10"/>
      <c r="H1" s="10"/>
    </row>
    <row r="2" customFormat="false" ht="15" hidden="false" customHeight="true" outlineLevel="0" collapsed="false">
      <c r="W2" s="8" t="n">
        <v>2018</v>
      </c>
      <c r="X2" s="8" t="n">
        <v>2020</v>
      </c>
      <c r="Y2" s="8" t="n">
        <v>2022</v>
      </c>
    </row>
    <row r="3" customFormat="false" ht="15" hidden="false" customHeight="true" outlineLevel="0" collapsed="false">
      <c r="A3" s="7" t="s">
        <v>45</v>
      </c>
      <c r="B3" s="7" t="s">
        <v>190</v>
      </c>
      <c r="C3" s="7" t="s">
        <v>191</v>
      </c>
      <c r="D3" s="7" t="s">
        <v>192</v>
      </c>
      <c r="E3" s="7" t="s">
        <v>193</v>
      </c>
      <c r="F3" s="7" t="s">
        <v>194</v>
      </c>
      <c r="G3" s="7" t="s">
        <v>195</v>
      </c>
      <c r="H3" s="7" t="s">
        <v>196</v>
      </c>
      <c r="M3" s="13" t="s">
        <v>197</v>
      </c>
      <c r="N3" s="13" t="s">
        <v>198</v>
      </c>
      <c r="O3" s="7" t="s">
        <v>178</v>
      </c>
      <c r="P3" s="7" t="s">
        <v>199</v>
      </c>
      <c r="Q3" s="7" t="s">
        <v>200</v>
      </c>
      <c r="R3" s="7" t="s">
        <v>201</v>
      </c>
      <c r="S3" s="13" t="s">
        <v>202</v>
      </c>
      <c r="T3" s="13" t="s">
        <v>203</v>
      </c>
      <c r="U3" s="7" t="s">
        <v>204</v>
      </c>
      <c r="V3" s="7" t="s">
        <v>205</v>
      </c>
      <c r="W3" s="7" t="s">
        <v>206</v>
      </c>
      <c r="X3" s="13" t="s">
        <v>207</v>
      </c>
    </row>
    <row r="4" customFormat="false" ht="15" hidden="false" customHeight="true" outlineLevel="0" collapsed="false">
      <c r="A4" s="8" t="s">
        <v>56</v>
      </c>
      <c r="B4" s="9" t="n">
        <f aca="false">MIN(1,MAX(0, SLOPE(I4:K4,{2018,2020,2022})*2024 + INTERCEPT(I4:K4,{2018,2020,2022})))</f>
        <v>0.306584781538732</v>
      </c>
      <c r="C4" s="9" t="n">
        <f aca="false">'House Vote Data'!G5</f>
        <v>0.388412017167382</v>
      </c>
      <c r="D4" s="17" t="n">
        <f aca="false">(B4-C4)*100</f>
        <v>-8.18272356286505</v>
      </c>
      <c r="E4" s="9" t="n">
        <f aca="false">K4</f>
        <v>0.354922279792746</v>
      </c>
      <c r="F4" s="17" t="n">
        <f aca="false">(E4-C4)*100</f>
        <v>-3.34897373746359</v>
      </c>
      <c r="G4" s="18" t="b">
        <f aca="false">IF(B4&gt;0.5,"D","R")=IF(C4&gt;0.5,"D","R")</f>
        <v>1</v>
      </c>
      <c r="H4" s="18" t="b">
        <f aca="false">IF(E4&gt;0.5,"D","R")=IF(C4&gt;0.5,"D","R")</f>
        <v>1</v>
      </c>
      <c r="I4" s="9" t="n">
        <f aca="false">'House Vote Data'!G2</f>
        <v>0.41994750656168</v>
      </c>
      <c r="J4" s="9" t="n">
        <f aca="false">'House Vote Data'!G3</f>
        <v>0.339960238568589</v>
      </c>
      <c r="K4" s="9" t="n">
        <f aca="false">'House Vote Data'!G4</f>
        <v>0.354922279792746</v>
      </c>
      <c r="M4" s="8" t="n">
        <f aca="false">ABS(D4)</f>
        <v>8.18272356286505</v>
      </c>
      <c r="N4" s="8" t="n">
        <f aca="false">ABS(F4)</f>
        <v>3.34897373746359</v>
      </c>
      <c r="O4" s="16" t="n">
        <f aca="false">SLOPE(I4:K4,$W$4:$Y$4)</f>
        <v>-0.00702512538054462</v>
      </c>
      <c r="P4" s="9" t="n">
        <f aca="false">MIN(1,MAX(0,K4+O4*($Z$4-$Y$4)))</f>
        <v>0.342177274259042</v>
      </c>
      <c r="Q4" s="17" t="n">
        <f aca="false">(P4-C4)*100</f>
        <v>-4.62347429083397</v>
      </c>
      <c r="R4" s="18" t="b">
        <f aca="false">IF(P4&gt;0.5,"D","R")=IF(C4&gt;0.5,"D","R")</f>
        <v>1</v>
      </c>
      <c r="S4" s="8" t="n">
        <f aca="false">ABS(Q4)</f>
        <v>4.62347429083397</v>
      </c>
      <c r="T4" s="8"/>
      <c r="U4" s="9" t="n">
        <f aca="false">MIN(1,MAX(0,(9.05022494236107+0.113115349224159*'Registration &amp; ACS Data'!D5*100+11.7889818160387*'Registration &amp; ACS Data'!E5+(-6.22406681530858)*1+0.775169323879817*(K4*100))/100))</f>
        <v>0.3190842207272</v>
      </c>
      <c r="V4" s="17" t="n">
        <f aca="false">(U4-C4)*100</f>
        <v>-6.93277964401816</v>
      </c>
      <c r="W4" s="18" t="b">
        <f aca="false">IF(U4&gt;0.5,"D","R")=IF(C4&gt;0.5,"D","R")</f>
        <v>1</v>
      </c>
      <c r="X4" s="8" t="n">
        <f aca="false">ABS(V4)</f>
        <v>6.93277964401816</v>
      </c>
      <c r="Y4" s="8" t="n">
        <f aca="false">SUMIF('House Vote Data'!$A:$A,2022,'House Vote Data'!$D:$D)/(SUMIF('House Vote Data'!$A:$A,2022,'House Vote Data'!$D:$D)+SUMIF('House Vote Data'!$A:$A,2022,'House Vote Data'!$E:$E))</f>
        <v>0.509830207045683</v>
      </c>
      <c r="Z4" s="8" t="n">
        <f aca="false">SLOPE(W4:Y4,W2:Y2)*2024+INTERCEPT(W4:Y4,W2:Y2)</f>
        <v>2.32403349073365</v>
      </c>
    </row>
    <row r="5" customFormat="false" ht="15" hidden="false" customHeight="true" outlineLevel="0" collapsed="false">
      <c r="A5" s="8" t="s">
        <v>58</v>
      </c>
      <c r="B5" s="9" t="n">
        <f aca="false">MIN(1,MAX(0, SLOPE(I5:K5,{2018,2020,2022})*2024 + INTERCEPT(I5:K5,{2018,2020,2022})))</f>
        <v>0.218727248720185</v>
      </c>
      <c r="C5" s="9" t="n">
        <f aca="false">'House Vote Data'!G9</f>
        <v>0.282296650717703</v>
      </c>
      <c r="D5" s="17" t="n">
        <f aca="false">(B5-C5)*100</f>
        <v>-6.35694019975181</v>
      </c>
      <c r="E5" s="9" t="n">
        <f aca="false">K5</f>
        <v>0.267515923566879</v>
      </c>
      <c r="F5" s="17" t="n">
        <f aca="false">(E5-C5)*100</f>
        <v>-1.47807271508243</v>
      </c>
      <c r="G5" s="18" t="b">
        <f aca="false">IF(B5&gt;0.5,"D","R")=IF(C5&gt;0.5,"D","R")</f>
        <v>1</v>
      </c>
      <c r="H5" s="18" t="b">
        <f aca="false">IF(E5&gt;0.5,"D","R")=IF(C5&gt;0.5,"D","R")</f>
        <v>1</v>
      </c>
      <c r="I5" s="9" t="n">
        <f aca="false">'House Vote Data'!G6</f>
        <v>0.331010452961673</v>
      </c>
      <c r="J5" s="9" t="n">
        <f aca="false">'House Vote Data'!G7</f>
        <v>0.248138957816377</v>
      </c>
      <c r="K5" s="9" t="n">
        <f aca="false">'House Vote Data'!G8</f>
        <v>0.267515923566879</v>
      </c>
      <c r="M5" s="8" t="n">
        <f aca="false">ABS(D5)</f>
        <v>6.35694019975181</v>
      </c>
      <c r="N5" s="8" t="n">
        <f aca="false">ABS(F5)</f>
        <v>1.47807271508243</v>
      </c>
      <c r="O5" s="16" t="n">
        <f aca="false">SLOPE(I5:K5,$W$4:$Y$4)</f>
        <v>-0.00762777454238255</v>
      </c>
      <c r="P5" s="9" t="n">
        <f aca="false">MIN(1,MAX(0,K5+O5*($Z$4-$Y$4)))</f>
        <v>0.253677589944857</v>
      </c>
      <c r="Q5" s="17" t="n">
        <f aca="false">(P5-C5)*100</f>
        <v>-2.86190607728463</v>
      </c>
      <c r="R5" s="18" t="b">
        <f aca="false">IF(P5&gt;0.5,"D","R")=IF(C5&gt;0.5,"D","R")</f>
        <v>1</v>
      </c>
      <c r="S5" s="8" t="n">
        <f aca="false">ABS(Q5)</f>
        <v>2.86190607728463</v>
      </c>
      <c r="T5" s="8"/>
      <c r="U5" s="9" t="n">
        <f aca="false">MIN(1,MAX(0,(9.05022494236107+0.113115349224159*'Registration &amp; ACS Data'!D9*100+11.7889818160387*'Registration &amp; ACS Data'!E9+(-6.22406681530858)*1+0.775169323879817*(K5*100))/100))</f>
        <v>0.222786676173637</v>
      </c>
      <c r="V5" s="17" t="n">
        <f aca="false">(U5-C5)*100</f>
        <v>-5.95099745440667</v>
      </c>
      <c r="W5" s="18" t="b">
        <f aca="false">IF(U5&gt;0.5,"D","R")=IF(C5&gt;0.5,"D","R")</f>
        <v>1</v>
      </c>
      <c r="X5" s="8" t="n">
        <f aca="false">ABS(V5)</f>
        <v>5.95099745440667</v>
      </c>
    </row>
    <row r="6" customFormat="false" ht="15" hidden="false" customHeight="true" outlineLevel="0" collapsed="false">
      <c r="A6" s="8" t="s">
        <v>59</v>
      </c>
      <c r="B6" s="9" t="n">
        <f aca="false">MIN(1,MAX(0, SLOPE(I6:K6,{2018,2020,2022})*2024 + INTERCEPT(I6:K6,{2018,2020,2022})))</f>
        <v>0.308065859675509</v>
      </c>
      <c r="C6" s="9" t="n">
        <f aca="false">'House Vote Data'!G13</f>
        <v>0.317180616740088</v>
      </c>
      <c r="D6" s="17" t="n">
        <f aca="false">(B6-C6)*100</f>
        <v>-0.911475706457954</v>
      </c>
      <c r="E6" s="9" t="n">
        <f aca="false">K6</f>
        <v>0.359195402298851</v>
      </c>
      <c r="F6" s="17" t="n">
        <f aca="false">(E6-C6)*100</f>
        <v>4.20147855587624</v>
      </c>
      <c r="G6" s="18" t="b">
        <f aca="false">IF(B6&gt;0.5,"D","R")=IF(C6&gt;0.5,"D","R")</f>
        <v>1</v>
      </c>
      <c r="H6" s="18" t="b">
        <f aca="false">IF(E6&gt;0.5,"D","R")=IF(C6&gt;0.5,"D","R")</f>
        <v>1</v>
      </c>
      <c r="I6" s="9" t="n">
        <f aca="false">'House Vote Data'!G10</f>
        <v>0.385964912280702</v>
      </c>
      <c r="J6" s="9" t="n">
        <f aca="false">'House Vote Data'!G11</f>
        <v>0.259345794392523</v>
      </c>
      <c r="K6" s="9" t="n">
        <f aca="false">'House Vote Data'!G12</f>
        <v>0.359195402298851</v>
      </c>
      <c r="M6" s="8" t="n">
        <f aca="false">ABS(D6)</f>
        <v>0.911475706457954</v>
      </c>
      <c r="N6" s="8" t="n">
        <f aca="false">ABS(F6)</f>
        <v>4.20147855587624</v>
      </c>
      <c r="O6" s="16" t="n">
        <f aca="false">SLOPE(I6:K6,$W$4:$Y$4)</f>
        <v>-0.0179862716454421</v>
      </c>
      <c r="P6" s="9" t="n">
        <f aca="false">MIN(1,MAX(0,K6+O6*($Z$4-$Y$4)))</f>
        <v>0.326564649218386</v>
      </c>
      <c r="Q6" s="17" t="n">
        <f aca="false">(P6-C6)*100</f>
        <v>0.938403247829761</v>
      </c>
      <c r="R6" s="18" t="b">
        <f aca="false">IF(P6&gt;0.5,"D","R")=IF(C6&gt;0.5,"D","R")</f>
        <v>1</v>
      </c>
      <c r="S6" s="8" t="n">
        <f aca="false">ABS(Q6)</f>
        <v>0.938403247829761</v>
      </c>
      <c r="T6" s="8"/>
      <c r="U6" s="9" t="n">
        <f aca="false">MIN(1,MAX(0,(9.05022494236107+0.113115349224159*'Registration &amp; ACS Data'!D13*100+11.7889818160387*'Registration &amp; ACS Data'!E13+(-6.22406681530858)*1+0.775169323879817*(K6*100))/100))</f>
        <v>0.313672649990675</v>
      </c>
      <c r="V6" s="17" t="n">
        <f aca="false">(U6-C6)*100</f>
        <v>-0.350796674941295</v>
      </c>
      <c r="W6" s="18" t="b">
        <f aca="false">IF(U6&gt;0.5,"D","R")=IF(C6&gt;0.5,"D","R")</f>
        <v>1</v>
      </c>
      <c r="X6" s="8" t="n">
        <f aca="false">ABS(V6)</f>
        <v>0.350796674941295</v>
      </c>
    </row>
    <row r="7" customFormat="false" ht="15" hidden="false" customHeight="true" outlineLevel="0" collapsed="false">
      <c r="A7" s="8" t="s">
        <v>60</v>
      </c>
      <c r="B7" s="9" t="n">
        <f aca="false">MIN(1,MAX(0, SLOPE(I7:K7,{2018,2020,2022})*2024 + INTERCEPT(I7:K7,{2018,2020,2022})))</f>
        <v>0.243801377029108</v>
      </c>
      <c r="C7" s="9" t="n">
        <f aca="false">'House Vote Data'!G17</f>
        <v>0.259018332347723</v>
      </c>
      <c r="D7" s="17" t="n">
        <f aca="false">(B7-C7)*100</f>
        <v>-1.52169553186154</v>
      </c>
      <c r="E7" s="9" t="n">
        <f aca="false">K7</f>
        <v>0.286815728604472</v>
      </c>
      <c r="F7" s="17" t="n">
        <f aca="false">(E7-C7)*100</f>
        <v>2.77973962567486</v>
      </c>
      <c r="G7" s="18" t="b">
        <f aca="false">IF(B7&gt;0.5,"D","R")=IF(C7&gt;0.5,"D","R")</f>
        <v>1</v>
      </c>
      <c r="H7" s="18" t="b">
        <f aca="false">IF(E7&gt;0.5,"D","R")=IF(C7&gt;0.5,"D","R")</f>
        <v>1</v>
      </c>
      <c r="I7" s="9" t="n">
        <f aca="false">'House Vote Data'!G14</f>
        <v>0.332133213321332</v>
      </c>
      <c r="J7" s="9" t="n">
        <f aca="false">'House Vote Data'!G15</f>
        <v>0.248407643312102</v>
      </c>
      <c r="K7" s="9" t="n">
        <f aca="false">'House Vote Data'!G16</f>
        <v>0.286815728604472</v>
      </c>
      <c r="M7" s="8" t="n">
        <f aca="false">ABS(D7)</f>
        <v>1.52169553186154</v>
      </c>
      <c r="N7" s="8" t="n">
        <f aca="false">ABS(F7)</f>
        <v>2.77973962567486</v>
      </c>
      <c r="O7" s="16" t="n">
        <f aca="false">SLOPE(I7:K7,$W$4:$Y$4)</f>
        <v>-0.00940386655231208</v>
      </c>
      <c r="P7" s="9" t="n">
        <f aca="false">MIN(1,MAX(0,K7+O7*($Z$4-$Y$4)))</f>
        <v>0.269755203025904</v>
      </c>
      <c r="Q7" s="17" t="n">
        <f aca="false">(P7-C7)*100</f>
        <v>1.07368706781805</v>
      </c>
      <c r="R7" s="18" t="b">
        <f aca="false">IF(P7&gt;0.5,"D","R")=IF(C7&gt;0.5,"D","R")</f>
        <v>1</v>
      </c>
      <c r="S7" s="8" t="n">
        <f aca="false">ABS(Q7)</f>
        <v>1.07368706781805</v>
      </c>
      <c r="U7" s="9" t="n">
        <f aca="false">MIN(1,MAX(0,(9.05022494236107+0.113115349224159*'Registration &amp; ACS Data'!D17*100+11.7889818160387*'Registration &amp; ACS Data'!E17+(-6.22406681530858)*1+0.775169323879817*(K7*100))/100))</f>
        <v>0.233409841898218</v>
      </c>
      <c r="V7" s="17" t="n">
        <f aca="false">(U7-C7)*100</f>
        <v>-2.56084904495053</v>
      </c>
      <c r="W7" s="18" t="b">
        <f aca="false">IF(U7&gt;0.5,"D","R")=IF(C7&gt;0.5,"D","R")</f>
        <v>1</v>
      </c>
      <c r="X7" s="8" t="n">
        <f aca="false">ABS(V7)</f>
        <v>2.56084904495053</v>
      </c>
    </row>
    <row r="8" customFormat="false" ht="15" hidden="false" customHeight="true" outlineLevel="0" collapsed="false">
      <c r="A8" s="8" t="s">
        <v>61</v>
      </c>
      <c r="B8" s="9" t="n">
        <f aca="false">MIN(1,MAX(0, SLOPE(I8:K8,{2018,2020,2022})*2024 + INTERCEPT(I8:K8,{2018,2020,2022})))</f>
        <v>0.303189396032721</v>
      </c>
      <c r="C8" s="9" t="n">
        <f aca="false">'House Vote Data'!G21</f>
        <v>0.327586206896552</v>
      </c>
      <c r="D8" s="17" t="n">
        <f aca="false">(B8-C8)*100</f>
        <v>-2.43968108638307</v>
      </c>
      <c r="E8" s="9" t="n">
        <f aca="false">K8</f>
        <v>0.351063829787234</v>
      </c>
      <c r="F8" s="17" t="n">
        <f aca="false">(E8-C8)*100</f>
        <v>2.34776228906823</v>
      </c>
      <c r="G8" s="18" t="b">
        <f aca="false">IF(B8&gt;0.5,"D","R")=IF(C8&gt;0.5,"D","R")</f>
        <v>1</v>
      </c>
      <c r="H8" s="18" t="b">
        <f aca="false">IF(E8&gt;0.5,"D","R")=IF(C8&gt;0.5,"D","R")</f>
        <v>1</v>
      </c>
      <c r="I8" s="9" t="n">
        <f aca="false">'House Vote Data'!G18</f>
        <v>0.441558441558442</v>
      </c>
      <c r="J8" s="9" t="n">
        <f aca="false">'House Vote Data'!G19</f>
        <v>0.388429752066116</v>
      </c>
      <c r="K8" s="9" t="n">
        <f aca="false">'House Vote Data'!G20</f>
        <v>0.351063829787234</v>
      </c>
      <c r="M8" s="8" t="n">
        <f aca="false">ABS(D8)</f>
        <v>2.43968108638307</v>
      </c>
      <c r="N8" s="8" t="n">
        <f aca="false">ABS(F8)</f>
        <v>2.34776228906823</v>
      </c>
      <c r="O8" s="16" t="n">
        <f aca="false">SLOPE(I8:K8,$W$4:$Y$4)</f>
        <v>-0.000402173420455377</v>
      </c>
      <c r="P8" s="9" t="n">
        <f aca="false">MIN(1,MAX(0,K8+O8*($Z$4-$Y$4)))</f>
        <v>0.350334205447232</v>
      </c>
      <c r="Q8" s="17" t="n">
        <f aca="false">(P8-C8)*100</f>
        <v>2.27479985506802</v>
      </c>
      <c r="R8" s="18" t="b">
        <f aca="false">IF(P8&gt;0.5,"D","R")=IF(C8&gt;0.5,"D","R")</f>
        <v>1</v>
      </c>
      <c r="S8" s="8" t="n">
        <f aca="false">ABS(Q8)</f>
        <v>2.27479985506802</v>
      </c>
      <c r="U8" s="9" t="n">
        <f aca="false">MIN(1,MAX(0,(9.05022494236107+0.113115349224159*'Registration &amp; ACS Data'!D21*100+11.7889818160387*'Registration &amp; ACS Data'!E21+(-6.22406681530858)*1+0.775169323879817*(K8*100))/100))</f>
        <v>0.300717076799736</v>
      </c>
      <c r="V8" s="17" t="n">
        <f aca="false">(U8-C8)*100</f>
        <v>-2.6869130096816</v>
      </c>
      <c r="W8" s="18" t="b">
        <f aca="false">IF(U8&gt;0.5,"D","R")=IF(C8&gt;0.5,"D","R")</f>
        <v>1</v>
      </c>
      <c r="X8" s="8" t="n">
        <f aca="false">ABS(V8)</f>
        <v>2.6869130096816</v>
      </c>
    </row>
    <row r="9" customFormat="false" ht="15" hidden="false" customHeight="true" outlineLevel="0" collapsed="false">
      <c r="A9" s="8" t="s">
        <v>62</v>
      </c>
      <c r="B9" s="9" t="n">
        <f aca="false">MIN(1,MAX(0, SLOPE(I9:K9,{2018,2020,2022})*2024 + INTERCEPT(I9:K9,{2018,2020,2022})))</f>
        <v>0.251356923053471</v>
      </c>
      <c r="C9" s="9" t="n">
        <f aca="false">'House Vote Data'!G25</f>
        <v>0.277212216131558</v>
      </c>
      <c r="D9" s="17" t="n">
        <f aca="false">(B9-C9)*100</f>
        <v>-2.5855293078087</v>
      </c>
      <c r="E9" s="9" t="n">
        <f aca="false">K9</f>
        <v>0.286006128702758</v>
      </c>
      <c r="F9" s="17" t="n">
        <f aca="false">(E9-C9)*100</f>
        <v>0.87939125711996</v>
      </c>
      <c r="G9" s="18" t="b">
        <f aca="false">IF(B9&gt;0.5,"D","R")=IF(C9&gt;0.5,"D","R")</f>
        <v>1</v>
      </c>
      <c r="H9" s="18" t="b">
        <f aca="false">IF(E9&gt;0.5,"D","R")=IF(C9&gt;0.5,"D","R")</f>
        <v>1</v>
      </c>
      <c r="I9" s="9" t="n">
        <f aca="false">'House Vote Data'!G22</f>
        <v>0.323281061519904</v>
      </c>
      <c r="J9" s="9" t="n">
        <f aca="false">'House Vote Data'!G23</f>
        <v>0.256608377389183</v>
      </c>
      <c r="K9" s="9" t="n">
        <f aca="false">'House Vote Data'!G24</f>
        <v>0.286006128702758</v>
      </c>
      <c r="M9" s="8" t="n">
        <f aca="false">ABS(D9)</f>
        <v>2.5855293078087</v>
      </c>
      <c r="N9" s="8" t="n">
        <f aca="false">ABS(F9)</f>
        <v>0.87939125711996</v>
      </c>
      <c r="O9" s="16" t="n">
        <f aca="false">SLOPE(I9:K9,$W$4:$Y$4)</f>
        <v>-0.00738148001967674</v>
      </c>
      <c r="P9" s="9" t="n">
        <f aca="false">MIN(1,MAX(0,K9+O9*($Z$4-$Y$4)))</f>
        <v>0.272614623412583</v>
      </c>
      <c r="Q9" s="17" t="n">
        <f aca="false">(P9-C9)*100</f>
        <v>-0.459759271897509</v>
      </c>
      <c r="R9" s="18" t="b">
        <f aca="false">IF(P9&gt;0.5,"D","R")=IF(C9&gt;0.5,"D","R")</f>
        <v>1</v>
      </c>
      <c r="S9" s="8" t="n">
        <f aca="false">ABS(Q9)</f>
        <v>0.459759271897509</v>
      </c>
      <c r="U9" s="9" t="n">
        <f aca="false">MIN(1,MAX(0,(9.05022494236107+0.113115349224159*'Registration &amp; ACS Data'!D25*100+11.7889818160387*'Registration &amp; ACS Data'!E25+(-6.22406681530858)*1+0.775169323879817*(K9*100))/100))</f>
        <v>0.24035086296633</v>
      </c>
      <c r="V9" s="17" t="n">
        <f aca="false">(U9-C9)*100</f>
        <v>-3.68613531652282</v>
      </c>
      <c r="W9" s="18" t="b">
        <f aca="false">IF(U9&gt;0.5,"D","R")=IF(C9&gt;0.5,"D","R")</f>
        <v>1</v>
      </c>
      <c r="X9" s="8" t="n">
        <f aca="false">ABS(V9)</f>
        <v>3.68613531652282</v>
      </c>
    </row>
    <row r="10" customFormat="false" ht="15" hidden="false" customHeight="true" outlineLevel="0" collapsed="false">
      <c r="A10" s="8" t="s">
        <v>63</v>
      </c>
      <c r="B10" s="9" t="n">
        <f aca="false">MIN(1,MAX(0, SLOPE(I10:K10,{2018,2020,2022})*2024 + INTERCEPT(I10:K10,{2018,2020,2022})))</f>
        <v>0.421515374121686</v>
      </c>
      <c r="C10" s="9" t="n">
        <f aca="false">'House Vote Data'!G29</f>
        <v>0.427079303675048</v>
      </c>
      <c r="D10" s="17" t="n">
        <f aca="false">(B10-C10)*100</f>
        <v>-0.556392955336243</v>
      </c>
      <c r="E10" s="9" t="n">
        <f aca="false">K10</f>
        <v>0.458333333333333</v>
      </c>
      <c r="F10" s="17" t="n">
        <f aca="false">(E10-C10)*100</f>
        <v>3.12540296582849</v>
      </c>
      <c r="G10" s="18" t="b">
        <f aca="false">IF(B10&gt;0.5,"D","R")=IF(C10&gt;0.5,"D","R")</f>
        <v>1</v>
      </c>
      <c r="H10" s="18" t="b">
        <f aca="false">IF(E10&gt;0.5,"D","R")=IF(C10&gt;0.5,"D","R")</f>
        <v>1</v>
      </c>
      <c r="I10" s="9" t="n">
        <f aca="false">'House Vote Data'!G26</f>
        <v>0.490059108006448</v>
      </c>
      <c r="J10" s="9" t="n">
        <f aca="false">'House Vote Data'!G27</f>
        <v>0.411331005044626</v>
      </c>
      <c r="K10" s="9" t="n">
        <f aca="false">'House Vote Data'!G28</f>
        <v>0.458333333333333</v>
      </c>
      <c r="M10" s="8" t="n">
        <f aca="false">ABS(D10)</f>
        <v>0.556392955336243</v>
      </c>
      <c r="N10" s="8" t="n">
        <f aca="false">ABS(F10)</f>
        <v>3.12540296582849</v>
      </c>
      <c r="O10" s="16" t="n">
        <f aca="false">SLOPE(I10:K10,$W$4:$Y$4)</f>
        <v>-0.00982390497407427</v>
      </c>
      <c r="P10" s="9" t="n">
        <f aca="false">MIN(1,MAX(0,K10+O10*($Z$4-$Y$4)))</f>
        <v>0.440510772670729</v>
      </c>
      <c r="Q10" s="17" t="n">
        <f aca="false">(P10-C10)*100</f>
        <v>1.34314689956808</v>
      </c>
      <c r="R10" s="18" t="b">
        <f aca="false">IF(P10&gt;0.5,"D","R")=IF(C10&gt;0.5,"D","R")</f>
        <v>1</v>
      </c>
      <c r="S10" s="8" t="n">
        <f aca="false">ABS(Q10)</f>
        <v>1.34314689956808</v>
      </c>
      <c r="U10" s="9" t="n">
        <f aca="false">MIN(1,MAX(0,(9.05022494236107+0.113115349224159*'Registration &amp; ACS Data'!D29*100+11.7889818160387*'Registration &amp; ACS Data'!E29+(-6.22406681530858)*1+0.775169323879817*(K10*100))/100))</f>
        <v>0.413126776835851</v>
      </c>
      <c r="V10" s="17" t="n">
        <f aca="false">(U10-C10)*100</f>
        <v>-1.39525268391971</v>
      </c>
      <c r="W10" s="18" t="b">
        <f aca="false">IF(U10&gt;0.5,"D","R")=IF(C10&gt;0.5,"D","R")</f>
        <v>1</v>
      </c>
      <c r="X10" s="8" t="n">
        <f aca="false">ABS(V10)</f>
        <v>1.39525268391971</v>
      </c>
    </row>
    <row r="11" customFormat="false" ht="15" hidden="false" customHeight="true" outlineLevel="0" collapsed="false">
      <c r="A11" s="8" t="s">
        <v>64</v>
      </c>
      <c r="B11" s="9" t="n">
        <f aca="false">MIN(1,MAX(0, SLOPE(I11:K11,{2018,2020,2022})*2024 + INTERCEPT(I11:K11,{2018,2020,2022})))</f>
        <v>0.309085611073298</v>
      </c>
      <c r="C11" s="9" t="n">
        <f aca="false">'House Vote Data'!G33</f>
        <v>0.334923664122137</v>
      </c>
      <c r="D11" s="17" t="n">
        <f aca="false">(B11-C11)*100</f>
        <v>-2.58380530488392</v>
      </c>
      <c r="E11" s="9" t="n">
        <f aca="false">K11</f>
        <v>0.330943847072879</v>
      </c>
      <c r="F11" s="17" t="n">
        <f aca="false">(E11-C11)*100</f>
        <v>-0.397981704925809</v>
      </c>
      <c r="G11" s="18" t="b">
        <f aca="false">IF(B11&gt;0.5,"D","R")=IF(C11&gt;0.5,"D","R")</f>
        <v>1</v>
      </c>
      <c r="H11" s="18" t="b">
        <f aca="false">IF(E11&gt;0.5,"D","R")=IF(C11&gt;0.5,"D","R")</f>
        <v>1</v>
      </c>
      <c r="I11" s="9" t="n">
        <f aca="false">'House Vote Data'!G30</f>
        <v>0.350393700787402</v>
      </c>
      <c r="J11" s="9" t="n">
        <f aca="false">'House Vote Data'!G31</f>
        <v>0.304268846503179</v>
      </c>
      <c r="K11" s="9" t="n">
        <f aca="false">'House Vote Data'!G32</f>
        <v>0.330943847072879</v>
      </c>
      <c r="M11" s="8" t="n">
        <f aca="false">ABS(D11)</f>
        <v>2.58380530488392</v>
      </c>
      <c r="N11" s="8" t="n">
        <f aca="false">ABS(F11)</f>
        <v>0.397981704925809</v>
      </c>
      <c r="O11" s="16" t="n">
        <f aca="false">SLOPE(I11:K11,$W$4:$Y$4)</f>
        <v>-0.00567783680011131</v>
      </c>
      <c r="P11" s="9" t="n">
        <f aca="false">MIN(1,MAX(0,K11+O11*($Z$4-$Y$4)))</f>
        <v>0.320643096905873</v>
      </c>
      <c r="Q11" s="17" t="n">
        <f aca="false">(P11-C11)*100</f>
        <v>-1.42805672162644</v>
      </c>
      <c r="R11" s="18" t="b">
        <f aca="false">IF(P11&gt;0.5,"D","R")=IF(C11&gt;0.5,"D","R")</f>
        <v>1</v>
      </c>
      <c r="S11" s="8" t="n">
        <f aca="false">ABS(Q11)</f>
        <v>1.42805672162644</v>
      </c>
      <c r="U11" s="9" t="n">
        <f aca="false">MIN(1,MAX(0,(9.05022494236107+0.113115349224159*'Registration &amp; ACS Data'!D33*100+11.7889818160387*'Registration &amp; ACS Data'!E33+(-6.22406681530858)*1+0.775169323879817*(K11*100))/100))</f>
        <v>0.29159560623196</v>
      </c>
      <c r="V11" s="17" t="n">
        <f aca="false">(U11-C11)*100</f>
        <v>-4.33280578901771</v>
      </c>
      <c r="W11" s="18" t="b">
        <f aca="false">IF(U11&gt;0.5,"D","R")=IF(C11&gt;0.5,"D","R")</f>
        <v>1</v>
      </c>
      <c r="X11" s="8" t="n">
        <f aca="false">ABS(V11)</f>
        <v>4.33280578901771</v>
      </c>
    </row>
    <row r="12" customFormat="false" ht="15" hidden="false" customHeight="true" outlineLevel="0" collapsed="false">
      <c r="A12" s="8" t="s">
        <v>65</v>
      </c>
      <c r="B12" s="9" t="n">
        <f aca="false">MIN(1,MAX(0, SLOPE(I12:K12,{2018,2020,2022})*2024 + INTERCEPT(I12:K12,{2018,2020,2022})))</f>
        <v>0.371187709862419</v>
      </c>
      <c r="C12" s="9" t="n">
        <f aca="false">'House Vote Data'!G37</f>
        <v>0.395189003436426</v>
      </c>
      <c r="D12" s="17" t="n">
        <f aca="false">(B12-C12)*100</f>
        <v>-2.40012935740075</v>
      </c>
      <c r="E12" s="9" t="n">
        <f aca="false">K12</f>
        <v>0.42</v>
      </c>
      <c r="F12" s="17" t="n">
        <f aca="false">(E12-C12)*100</f>
        <v>2.48109965635739</v>
      </c>
      <c r="G12" s="18" t="b">
        <f aca="false">IF(B12&gt;0.5,"D","R")=IF(C12&gt;0.5,"D","R")</f>
        <v>1</v>
      </c>
      <c r="H12" s="18" t="b">
        <f aca="false">IF(E12&gt;0.5,"D","R")=IF(C12&gt;0.5,"D","R")</f>
        <v>1</v>
      </c>
      <c r="I12" s="9" t="n">
        <f aca="false">'House Vote Data'!G34</f>
        <v>0.493492407809111</v>
      </c>
      <c r="J12" s="9" t="n">
        <f aca="false">'House Vote Data'!G35</f>
        <v>0.420547945205479</v>
      </c>
      <c r="K12" s="9" t="n">
        <f aca="false">'House Vote Data'!G36</f>
        <v>0.42</v>
      </c>
      <c r="M12" s="8" t="n">
        <f aca="false">ABS(D12)</f>
        <v>2.40012935740075</v>
      </c>
      <c r="N12" s="8" t="n">
        <f aca="false">ABS(F12)</f>
        <v>2.48109965635739</v>
      </c>
      <c r="O12" s="16" t="n">
        <f aca="false">SLOPE(I12:K12,$W$4:$Y$4)</f>
        <v>-0.00512723733562088</v>
      </c>
      <c r="P12" s="9" t="n">
        <f aca="false">MIN(1,MAX(0,K12+O12*($Z$4-$Y$4)))</f>
        <v>0.410698149189469</v>
      </c>
      <c r="Q12" s="17" t="n">
        <f aca="false">(P12-C12)*100</f>
        <v>1.55091457530429</v>
      </c>
      <c r="R12" s="18" t="b">
        <f aca="false">IF(P12&gt;0.5,"D","R")=IF(C12&gt;0.5,"D","R")</f>
        <v>1</v>
      </c>
      <c r="S12" s="8" t="n">
        <f aca="false">ABS(Q12)</f>
        <v>1.55091457530429</v>
      </c>
      <c r="U12" s="9" t="n">
        <f aca="false">MIN(1,MAX(0,(9.05022494236107+0.113115349224159*'Registration &amp; ACS Data'!D37*100+11.7889818160387*'Registration &amp; ACS Data'!E37+(-6.22406681530858)*1+0.775169323879817*(K12*100))/100))</f>
        <v>0.367382462678079</v>
      </c>
      <c r="V12" s="17" t="n">
        <f aca="false">(U12-C12)*100</f>
        <v>-2.78065407583472</v>
      </c>
      <c r="W12" s="18" t="b">
        <f aca="false">IF(U12&gt;0.5,"D","R")=IF(C12&gt;0.5,"D","R")</f>
        <v>1</v>
      </c>
      <c r="X12" s="8" t="n">
        <f aca="false">ABS(V12)</f>
        <v>2.78065407583472</v>
      </c>
    </row>
    <row r="13" customFormat="false" ht="15" hidden="false" customHeight="true" outlineLevel="0" collapsed="false">
      <c r="A13" s="8" t="s">
        <v>66</v>
      </c>
      <c r="B13" s="9" t="n">
        <f aca="false">MIN(1,MAX(0, SLOPE(I13:K13,{2018,2020,2022})*2024 + INTERCEPT(I13:K13,{2018,2020,2022})))</f>
        <v>0.296985114792699</v>
      </c>
      <c r="C13" s="9" t="n">
        <f aca="false">'House Vote Data'!G41</f>
        <v>0.262068965517241</v>
      </c>
      <c r="D13" s="17" t="n">
        <f aca="false">(B13-C13)*100</f>
        <v>3.49161492754578</v>
      </c>
      <c r="E13" s="9" t="n">
        <f aca="false">K13</f>
        <v>0.31304347826087</v>
      </c>
      <c r="F13" s="17" t="n">
        <f aca="false">(E13-C13)*100</f>
        <v>5.09745127436282</v>
      </c>
      <c r="G13" s="18" t="b">
        <f aca="false">IF(B13&gt;0.5,"D","R")=IF(C13&gt;0.5,"D","R")</f>
        <v>1</v>
      </c>
      <c r="H13" s="18" t="b">
        <f aca="false">IF(E13&gt;0.5,"D","R")=IF(C13&gt;0.5,"D","R")</f>
        <v>1</v>
      </c>
      <c r="I13" s="9" t="n">
        <f aca="false">'House Vote Data'!G38</f>
        <v>0.329545454545455</v>
      </c>
      <c r="J13" s="9" t="n">
        <f aca="false">'House Vote Data'!G39</f>
        <v>0.297872340425532</v>
      </c>
      <c r="K13" s="9" t="n">
        <f aca="false">'House Vote Data'!G40</f>
        <v>0.31304347826087</v>
      </c>
      <c r="M13" s="8" t="n">
        <f aca="false">ABS(D13)</f>
        <v>3.49161492754578</v>
      </c>
      <c r="N13" s="8" t="n">
        <f aca="false">ABS(F13)</f>
        <v>5.09745127436282</v>
      </c>
      <c r="O13" s="16" t="n">
        <f aca="false">SLOPE(I13:K13,$W$4:$Y$4)</f>
        <v>-0.00361527628034349</v>
      </c>
      <c r="P13" s="9" t="n">
        <f aca="false">MIN(1,MAX(0,K13+O13*($Z$4-$Y$4)))</f>
        <v>0.306484632161631</v>
      </c>
      <c r="Q13" s="17" t="n">
        <f aca="false">(P13-C13)*100</f>
        <v>4.44156666443898</v>
      </c>
      <c r="R13" s="18" t="b">
        <f aca="false">IF(P13&gt;0.5,"D","R")=IF(C13&gt;0.5,"D","R")</f>
        <v>1</v>
      </c>
      <c r="S13" s="8" t="n">
        <f aca="false">ABS(Q13)</f>
        <v>4.44156666443898</v>
      </c>
      <c r="U13" s="9" t="n">
        <f aca="false">MIN(1,MAX(0,(9.05022494236107+0.113115349224159*'Registration &amp; ACS Data'!D41*100+11.7889818160387*'Registration &amp; ACS Data'!E41+(-6.22406681530858)*1+0.775169323879817*(K13*100))/100))</f>
        <v>0.246470106583607</v>
      </c>
      <c r="V13" s="17" t="n">
        <f aca="false">(U13-C13)*100</f>
        <v>-1.5598858933634</v>
      </c>
      <c r="W13" s="18" t="b">
        <f aca="false">IF(U13&gt;0.5,"D","R")=IF(C13&gt;0.5,"D","R")</f>
        <v>1</v>
      </c>
      <c r="X13" s="8" t="n">
        <f aca="false">ABS(V13)</f>
        <v>1.5598858933634</v>
      </c>
    </row>
    <row r="14" customFormat="false" ht="15" hidden="false" customHeight="true" outlineLevel="0" collapsed="false">
      <c r="A14" s="8" t="s">
        <v>67</v>
      </c>
      <c r="B14" s="9" t="n">
        <f aca="false">MIN(1,MAX(0, SLOPE(I14:K14,{2018,2020,2022})*2024 + INTERCEPT(I14:K14,{2018,2020,2022})))</f>
        <v>0.215747047322225</v>
      </c>
      <c r="C14" s="9" t="n">
        <f aca="false">'House Vote Data'!G45</f>
        <v>0.211678832116788</v>
      </c>
      <c r="D14" s="17" t="n">
        <f aca="false">(B14-C14)*100</f>
        <v>0.40682152054364</v>
      </c>
      <c r="E14" s="9" t="n">
        <f aca="false">K14</f>
        <v>0.215767634854772</v>
      </c>
      <c r="F14" s="17" t="n">
        <f aca="false">(E14-C14)*100</f>
        <v>0.408880273798348</v>
      </c>
      <c r="G14" s="18" t="b">
        <f aca="false">IF(B14&gt;0.5,"D","R")=IF(C14&gt;0.5,"D","R")</f>
        <v>1</v>
      </c>
      <c r="H14" s="18" t="b">
        <f aca="false">IF(E14&gt;0.5,"D","R")=IF(C14&gt;0.5,"D","R")</f>
        <v>1</v>
      </c>
      <c r="I14" s="9" t="n">
        <f aca="false">'House Vote Data'!G42</f>
        <v>0.200980392156863</v>
      </c>
      <c r="J14" s="9" t="n">
        <f aca="false">'House Vote Data'!G43</f>
        <v>0.186131386861314</v>
      </c>
      <c r="K14" s="9" t="n">
        <f aca="false">'House Vote Data'!G44</f>
        <v>0.215767634854772</v>
      </c>
      <c r="M14" s="8" t="n">
        <f aca="false">ABS(D14)</f>
        <v>0.40682152054364</v>
      </c>
      <c r="N14" s="8" t="n">
        <f aca="false">ABS(F14)</f>
        <v>0.408880273798348</v>
      </c>
      <c r="O14" s="16" t="n">
        <f aca="false">SLOPE(I14:K14,$W$4:$Y$4)</f>
        <v>-0.00372522157548715</v>
      </c>
      <c r="P14" s="9" t="n">
        <f aca="false">MIN(1,MAX(0,K14+O14*($Z$4-$Y$4)))</f>
        <v>0.209009325640058</v>
      </c>
      <c r="Q14" s="17" t="n">
        <f aca="false">(P14-C14)*100</f>
        <v>-0.266950647673059</v>
      </c>
      <c r="R14" s="18" t="b">
        <f aca="false">IF(P14&gt;0.5,"D","R")=IF(C14&gt;0.5,"D","R")</f>
        <v>1</v>
      </c>
      <c r="S14" s="8" t="n">
        <f aca="false">ABS(Q14)</f>
        <v>0.266950647673059</v>
      </c>
      <c r="U14" s="9" t="n">
        <f aca="false">MIN(1,MAX(0,(9.05022494236107+0.113115349224159*'Registration &amp; ACS Data'!D45*100+11.7889818160387*'Registration &amp; ACS Data'!E45+(-6.22406681530858)*1+0.775169323879817*(K14*100))/100))</f>
        <v>0.148858996431729</v>
      </c>
      <c r="V14" s="17" t="n">
        <f aca="false">(U14-C14)*100</f>
        <v>-6.28198356850591</v>
      </c>
      <c r="W14" s="18" t="b">
        <f aca="false">IF(U14&gt;0.5,"D","R")=IF(C14&gt;0.5,"D","R")</f>
        <v>1</v>
      </c>
      <c r="X14" s="8" t="n">
        <f aca="false">ABS(V14)</f>
        <v>6.28198356850591</v>
      </c>
    </row>
    <row r="15" customFormat="false" ht="15" hidden="false" customHeight="true" outlineLevel="0" collapsed="false">
      <c r="A15" s="8" t="s">
        <v>68</v>
      </c>
      <c r="B15" s="9" t="n">
        <f aca="false">MIN(1,MAX(0, SLOPE(I15:K15,{2018,2020,2022})*2024 + INTERCEPT(I15:K15,{2018,2020,2022})))</f>
        <v>0.38906899465502</v>
      </c>
      <c r="C15" s="9" t="n">
        <f aca="false">'House Vote Data'!G49</f>
        <v>0.388477366255144</v>
      </c>
      <c r="D15" s="17" t="n">
        <f aca="false">(B15-C15)*100</f>
        <v>0.0591628399875643</v>
      </c>
      <c r="E15" s="9" t="n">
        <f aca="false">K15</f>
        <v>0.43131373725255</v>
      </c>
      <c r="F15" s="17" t="n">
        <f aca="false">(E15-C15)*100</f>
        <v>4.28363709974055</v>
      </c>
      <c r="G15" s="18" t="b">
        <f aca="false">IF(B15&gt;0.5,"D","R")=IF(C15&gt;0.5,"D","R")</f>
        <v>1</v>
      </c>
      <c r="H15" s="18" t="b">
        <f aca="false">IF(E15&gt;0.5,"D","R")=IF(C15&gt;0.5,"D","R")</f>
        <v>1</v>
      </c>
      <c r="I15" s="9" t="n">
        <f aca="false">'House Vote Data'!G46</f>
        <v>0.465829846582985</v>
      </c>
      <c r="J15" s="9" t="n">
        <f aca="false">'House Vote Data'!G47</f>
        <v>0.373611728120835</v>
      </c>
      <c r="K15" s="9" t="n">
        <f aca="false">'House Vote Data'!G48</f>
        <v>0.43131373725255</v>
      </c>
      <c r="M15" s="8" t="n">
        <f aca="false">ABS(D15)</f>
        <v>0.0591628399875643</v>
      </c>
      <c r="N15" s="8" t="n">
        <f aca="false">ABS(F15)</f>
        <v>4.28363709974055</v>
      </c>
      <c r="O15" s="16" t="n">
        <f aca="false">SLOPE(I15:K15,$W$4:$Y$4)</f>
        <v>-0.0117457254128868</v>
      </c>
      <c r="P15" s="9" t="n">
        <f aca="false">MIN(1,MAX(0,K15+O15*($Z$4-$Y$4)))</f>
        <v>0.410004603639193</v>
      </c>
      <c r="Q15" s="17" t="n">
        <f aca="false">(P15-C15)*100</f>
        <v>2.15272373840489</v>
      </c>
      <c r="R15" s="18" t="b">
        <f aca="false">IF(P15&gt;0.5,"D","R")=IF(C15&gt;0.5,"D","R")</f>
        <v>1</v>
      </c>
      <c r="S15" s="8" t="n">
        <f aca="false">ABS(Q15)</f>
        <v>2.15272373840489</v>
      </c>
      <c r="U15" s="9" t="n">
        <f aca="false">MIN(1,MAX(0,(9.05022494236107+0.113115349224159*'Registration &amp; ACS Data'!D49*100+11.7889818160387*'Registration &amp; ACS Data'!E49+(-6.22406681530858)*1+0.775169323879817*(K15*100))/100))</f>
        <v>0.366406978730914</v>
      </c>
      <c r="V15" s="17" t="n">
        <f aca="false">(U15-C15)*100</f>
        <v>-2.20703875242297</v>
      </c>
      <c r="W15" s="18" t="b">
        <f aca="false">IF(U15&gt;0.5,"D","R")=IF(C15&gt;0.5,"D","R")</f>
        <v>1</v>
      </c>
      <c r="X15" s="8" t="n">
        <f aca="false">ABS(V15)</f>
        <v>2.20703875242297</v>
      </c>
    </row>
    <row r="16" customFormat="false" ht="15" hidden="false" customHeight="true" outlineLevel="0" collapsed="false">
      <c r="A16" s="8" t="s">
        <v>69</v>
      </c>
      <c r="B16" s="9" t="n">
        <f aca="false">MIN(1,MAX(0, SLOPE(I16:K16,{2018,2020,2022})*2024 + INTERCEPT(I16:K16,{2018,2020,2022})))</f>
        <v>0.278238503328026</v>
      </c>
      <c r="C16" s="9" t="n">
        <f aca="false">'House Vote Data'!G53</f>
        <v>0.284845132743363</v>
      </c>
      <c r="D16" s="17" t="n">
        <f aca="false">(B16-C16)*100</f>
        <v>-0.660662941533646</v>
      </c>
      <c r="E16" s="9" t="n">
        <f aca="false">K16</f>
        <v>0.319465081723626</v>
      </c>
      <c r="F16" s="17" t="n">
        <f aca="false">(E16-C16)*100</f>
        <v>3.46199489802627</v>
      </c>
      <c r="G16" s="18" t="b">
        <f aca="false">IF(B16&gt;0.5,"D","R")=IF(C16&gt;0.5,"D","R")</f>
        <v>1</v>
      </c>
      <c r="H16" s="18" t="b">
        <f aca="false">IF(E16&gt;0.5,"D","R")=IF(C16&gt;0.5,"D","R")</f>
        <v>1</v>
      </c>
      <c r="I16" s="9" t="n">
        <f aca="false">'House Vote Data'!G50</f>
        <v>0.369485294117647</v>
      </c>
      <c r="J16" s="9" t="n">
        <f aca="false">'House Vote Data'!G51</f>
        <v>0.295825771324864</v>
      </c>
      <c r="K16" s="9" t="n">
        <f aca="false">'House Vote Data'!G52</f>
        <v>0.319465081723626</v>
      </c>
      <c r="M16" s="8" t="n">
        <f aca="false">ABS(D16)</f>
        <v>0.660662941533646</v>
      </c>
      <c r="N16" s="8" t="n">
        <f aca="false">ABS(F16)</f>
        <v>3.46199489802627</v>
      </c>
      <c r="O16" s="16" t="n">
        <f aca="false">SLOPE(I16:K16,$W$4:$Y$4)</f>
        <v>-0.00735824236870671</v>
      </c>
      <c r="P16" s="9" t="n">
        <f aca="false">MIN(1,MAX(0,K16+O16*($Z$4-$Y$4)))</f>
        <v>0.306115734256146</v>
      </c>
      <c r="Q16" s="17" t="n">
        <f aca="false">(P16-C16)*100</f>
        <v>2.1270601512783</v>
      </c>
      <c r="R16" s="18" t="b">
        <f aca="false">IF(P16&gt;0.5,"D","R")=IF(C16&gt;0.5,"D","R")</f>
        <v>1</v>
      </c>
      <c r="S16" s="8" t="n">
        <f aca="false">ABS(Q16)</f>
        <v>2.1270601512783</v>
      </c>
      <c r="U16" s="9" t="n">
        <f aca="false">MIN(1,MAX(0,(9.05022494236107+0.113115349224159*'Registration &amp; ACS Data'!D53*100+11.7889818160387*'Registration &amp; ACS Data'!E53+(-6.22406681530858)*1+0.775169323879817*(K16*100))/100))</f>
        <v>0.258369278634343</v>
      </c>
      <c r="V16" s="17" t="n">
        <f aca="false">(U16-C16)*100</f>
        <v>-2.647585410902</v>
      </c>
      <c r="W16" s="18" t="b">
        <f aca="false">IF(U16&gt;0.5,"D","R")=IF(C16&gt;0.5,"D","R")</f>
        <v>1</v>
      </c>
      <c r="X16" s="8" t="n">
        <f aca="false">ABS(V16)</f>
        <v>2.647585410902</v>
      </c>
    </row>
    <row r="17" customFormat="false" ht="15" hidden="false" customHeight="true" outlineLevel="0" collapsed="false">
      <c r="A17" s="8" t="s">
        <v>70</v>
      </c>
      <c r="B17" s="9" t="n">
        <f aca="false">MIN(1,MAX(0, SLOPE(I17:K17,{2018,2020,2022})*2024 + INTERCEPT(I17:K17,{2018,2020,2022})))</f>
        <v>0.267749559847125</v>
      </c>
      <c r="C17" s="9" t="n">
        <f aca="false">'House Vote Data'!G57</f>
        <v>0.290498116366681</v>
      </c>
      <c r="D17" s="17" t="n">
        <f aca="false">(B17-C17)*100</f>
        <v>-2.27485565195553</v>
      </c>
      <c r="E17" s="9" t="n">
        <f aca="false">K17</f>
        <v>0.307952622673435</v>
      </c>
      <c r="F17" s="17" t="n">
        <f aca="false">(E17-C17)*100</f>
        <v>1.74545063067543</v>
      </c>
      <c r="G17" s="18" t="b">
        <f aca="false">IF(B17&gt;0.5,"D","R")=IF(C17&gt;0.5,"D","R")</f>
        <v>1</v>
      </c>
      <c r="H17" s="18" t="b">
        <f aca="false">IF(E17&gt;0.5,"D","R")=IF(C17&gt;0.5,"D","R")</f>
        <v>1</v>
      </c>
      <c r="I17" s="9" t="n">
        <f aca="false">'House Vote Data'!G54</f>
        <v>0.346938775510204</v>
      </c>
      <c r="J17" s="9" t="n">
        <f aca="false">'House Vote Data'!G55</f>
        <v>0.265315739868049</v>
      </c>
      <c r="K17" s="9" t="n">
        <f aca="false">'House Vote Data'!G56</f>
        <v>0.307952622673435</v>
      </c>
      <c r="M17" s="8" t="n">
        <f aca="false">ABS(D17)</f>
        <v>2.27485565195553</v>
      </c>
      <c r="N17" s="8" t="n">
        <f aca="false">ABS(F17)</f>
        <v>1.74545063067543</v>
      </c>
      <c r="O17" s="16" t="n">
        <f aca="false">SLOPE(I17:K17,$W$4:$Y$4)</f>
        <v>-0.00963584393810571</v>
      </c>
      <c r="P17" s="9" t="n">
        <f aca="false">MIN(1,MAX(0,K17+O17*($Z$4-$Y$4)))</f>
        <v>0.290471242959819</v>
      </c>
      <c r="Q17" s="17" t="n">
        <f aca="false">(P17-C17)*100</f>
        <v>-0.00268734068619714</v>
      </c>
      <c r="R17" s="18" t="b">
        <f aca="false">IF(P17&gt;0.5,"D","R")=IF(C17&gt;0.5,"D","R")</f>
        <v>1</v>
      </c>
      <c r="S17" s="8" t="n">
        <f aca="false">ABS(Q17)</f>
        <v>0.00268734068619714</v>
      </c>
      <c r="U17" s="9" t="n">
        <f aca="false">MIN(1,MAX(0,(9.05022494236107+0.113115349224159*'Registration &amp; ACS Data'!D57*100+11.7889818160387*'Registration &amp; ACS Data'!E57+(-6.22406681530858)*1+0.775169323879817*(K17*100))/100))</f>
        <v>0.258406271621647</v>
      </c>
      <c r="V17" s="17" t="n">
        <f aca="false">(U17-C17)*100</f>
        <v>-3.20918447450335</v>
      </c>
      <c r="W17" s="18" t="b">
        <f aca="false">IF(U17&gt;0.5,"D","R")=IF(C17&gt;0.5,"D","R")</f>
        <v>1</v>
      </c>
      <c r="X17" s="8" t="n">
        <f aca="false">ABS(V17)</f>
        <v>3.20918447450335</v>
      </c>
    </row>
    <row r="18" customFormat="false" ht="15" hidden="false" customHeight="true" outlineLevel="0" collapsed="false">
      <c r="A18" s="8" t="s">
        <v>71</v>
      </c>
      <c r="B18" s="9" t="n">
        <f aca="false">MIN(1,MAX(0, SLOPE(I18:K18,{2018,2020,2022})*2024 + INTERCEPT(I18:K18,{2018,2020,2022})))</f>
        <v>0.35075756950468</v>
      </c>
      <c r="C18" s="9" t="n">
        <f aca="false">'House Vote Data'!G61</f>
        <v>0.386246786632391</v>
      </c>
      <c r="D18" s="17" t="n">
        <f aca="false">(B18-C18)*100</f>
        <v>-3.54892171277111</v>
      </c>
      <c r="E18" s="9" t="n">
        <f aca="false">K18</f>
        <v>0.408710217755444</v>
      </c>
      <c r="F18" s="17" t="n">
        <f aca="false">(E18-C18)*100</f>
        <v>2.24634311230531</v>
      </c>
      <c r="G18" s="18" t="b">
        <f aca="false">IF(B18&gt;0.5,"D","R")=IF(C18&gt;0.5,"D","R")</f>
        <v>1</v>
      </c>
      <c r="H18" s="18" t="b">
        <f aca="false">IF(E18&gt;0.5,"D","R")=IF(C18&gt;0.5,"D","R")</f>
        <v>1</v>
      </c>
      <c r="I18" s="9" t="n">
        <f aca="false">'House Vote Data'!G58</f>
        <v>0.478011472275335</v>
      </c>
      <c r="J18" s="9" t="n">
        <f aca="false">'House Vote Data'!G59</f>
        <v>0.373454782042941</v>
      </c>
      <c r="K18" s="9" t="n">
        <f aca="false">'House Vote Data'!G60</f>
        <v>0.408710217755444</v>
      </c>
      <c r="M18" s="8" t="n">
        <f aca="false">ABS(D18)</f>
        <v>3.54892171277111</v>
      </c>
      <c r="N18" s="8" t="n">
        <f aca="false">ABS(F18)</f>
        <v>2.24634311230531</v>
      </c>
      <c r="O18" s="16" t="n">
        <f aca="false">SLOPE(I18:K18,$W$4:$Y$4)</f>
        <v>-0.0105980004375161</v>
      </c>
      <c r="P18" s="9" t="n">
        <f aca="false">MIN(1,MAX(0,K18+O18*($Z$4-$Y$4)))</f>
        <v>0.389483290561176</v>
      </c>
      <c r="Q18" s="17" t="n">
        <f aca="false">(P18-C18)*100</f>
        <v>0.323650392878494</v>
      </c>
      <c r="R18" s="18" t="b">
        <f aca="false">IF(P18&gt;0.5,"D","R")=IF(C18&gt;0.5,"D","R")</f>
        <v>1</v>
      </c>
      <c r="S18" s="8" t="n">
        <f aca="false">ABS(Q18)</f>
        <v>0.323650392878494</v>
      </c>
      <c r="U18" s="9" t="n">
        <f aca="false">MIN(1,MAX(0,(9.05022494236107+0.113115349224159*'Registration &amp; ACS Data'!D61*100+11.7889818160387*'Registration &amp; ACS Data'!E61+(-6.22406681530858)*1+0.775169323879817*(K18*100))/100))</f>
        <v>0.358426044843981</v>
      </c>
      <c r="V18" s="17" t="n">
        <f aca="false">(U18-C18)*100</f>
        <v>-2.78207417884103</v>
      </c>
      <c r="W18" s="18" t="b">
        <f aca="false">IF(U18&gt;0.5,"D","R")=IF(C18&gt;0.5,"D","R")</f>
        <v>1</v>
      </c>
      <c r="X18" s="8" t="n">
        <f aca="false">ABS(V18)</f>
        <v>2.78207417884103</v>
      </c>
    </row>
    <row r="19" customFormat="false" ht="15" hidden="false" customHeight="true" outlineLevel="0" collapsed="false">
      <c r="A19" s="8" t="s">
        <v>72</v>
      </c>
      <c r="B19" s="9" t="n">
        <f aca="false">MIN(1,MAX(0, SLOPE(I19:K19,{2018,2020,2022})*2024 + INTERCEPT(I19:K19,{2018,2020,2022})))</f>
        <v>0.140598760639524</v>
      </c>
      <c r="C19" s="9" t="n">
        <f aca="false">'House Vote Data'!G65</f>
        <v>0.209702660406886</v>
      </c>
      <c r="D19" s="17" t="n">
        <f aca="false">(B19-C19)*100</f>
        <v>-6.91038997673622</v>
      </c>
      <c r="E19" s="9" t="n">
        <f aca="false">K19</f>
        <v>0.177777777777778</v>
      </c>
      <c r="F19" s="17" t="n">
        <f aca="false">(E19-C19)*100</f>
        <v>-3.1924882629108</v>
      </c>
      <c r="G19" s="18" t="b">
        <f aca="false">IF(B19&gt;0.5,"D","R")=IF(C19&gt;0.5,"D","R")</f>
        <v>1</v>
      </c>
      <c r="H19" s="18" t="b">
        <f aca="false">IF(E19&gt;0.5,"D","R")=IF(C19&gt;0.5,"D","R")</f>
        <v>1</v>
      </c>
      <c r="I19" s="9" t="n">
        <f aca="false">'House Vote Data'!G62</f>
        <v>0.229813664596273</v>
      </c>
      <c r="J19" s="9" t="n">
        <f aca="false">'House Vote Data'!G63</f>
        <v>0.1703125</v>
      </c>
      <c r="K19" s="9" t="n">
        <f aca="false">'House Vote Data'!G64</f>
        <v>0.177777777777778</v>
      </c>
      <c r="M19" s="8" t="n">
        <f aca="false">ABS(D19)</f>
        <v>6.91038997673622</v>
      </c>
      <c r="N19" s="8" t="n">
        <f aca="false">ABS(F19)</f>
        <v>3.1924882629108</v>
      </c>
      <c r="O19" s="16" t="n">
        <f aca="false">SLOPE(I19:K19,$W$4:$Y$4)</f>
        <v>-0.00489552916654793</v>
      </c>
      <c r="P19" s="9" t="n">
        <f aca="false">MIN(1,MAX(0,K19+O19*($Z$4-$Y$4)))</f>
        <v>0.168896292688436</v>
      </c>
      <c r="Q19" s="17" t="n">
        <f aca="false">(P19-C19)*100</f>
        <v>-4.08063677184495</v>
      </c>
      <c r="R19" s="18" t="b">
        <f aca="false">IF(P19&gt;0.5,"D","R")=IF(C19&gt;0.5,"D","R")</f>
        <v>1</v>
      </c>
      <c r="S19" s="8" t="n">
        <f aca="false">ABS(Q19)</f>
        <v>4.08063677184495</v>
      </c>
      <c r="U19" s="9" t="n">
        <f aca="false">MIN(1,MAX(0,(9.05022494236107+0.113115349224159*'Registration &amp; ACS Data'!D65*100+11.7889818160387*'Registration &amp; ACS Data'!E65+(-6.22406681530858)*1+0.775169323879817*(K19*100))/100))</f>
        <v>0.119111327599737</v>
      </c>
      <c r="V19" s="17" t="n">
        <f aca="false">(U19-C19)*100</f>
        <v>-9.05913328071489</v>
      </c>
      <c r="W19" s="18" t="b">
        <f aca="false">IF(U19&gt;0.5,"D","R")=IF(C19&gt;0.5,"D","R")</f>
        <v>1</v>
      </c>
      <c r="X19" s="8" t="n">
        <f aca="false">ABS(V19)</f>
        <v>9.05913328071489</v>
      </c>
    </row>
    <row r="20" customFormat="false" ht="15" hidden="false" customHeight="true" outlineLevel="0" collapsed="false">
      <c r="A20" s="8" t="s">
        <v>73</v>
      </c>
      <c r="B20" s="9" t="n">
        <f aca="false">MIN(1,MAX(0, SLOPE(I20:K20,{2018,2020,2022})*2024 + INTERCEPT(I20:K20,{2018,2020,2022})))</f>
        <v>0.352978794942041</v>
      </c>
      <c r="C20" s="9" t="n">
        <f aca="false">'House Vote Data'!G69</f>
        <v>0.360529217199559</v>
      </c>
      <c r="D20" s="17" t="n">
        <f aca="false">(B20-C20)*100</f>
        <v>-0.755042225751768</v>
      </c>
      <c r="E20" s="9" t="n">
        <f aca="false">K20</f>
        <v>0.386066003143007</v>
      </c>
      <c r="F20" s="17" t="n">
        <f aca="false">(E20-C20)*100</f>
        <v>2.55367859434478</v>
      </c>
      <c r="G20" s="18" t="b">
        <f aca="false">IF(B20&gt;0.5,"D","R")=IF(C20&gt;0.5,"D","R")</f>
        <v>1</v>
      </c>
      <c r="H20" s="18" t="b">
        <f aca="false">IF(E20&gt;0.5,"D","R")=IF(C20&gt;0.5,"D","R")</f>
        <v>1</v>
      </c>
      <c r="I20" s="9" t="n">
        <f aca="false">'House Vote Data'!G66</f>
        <v>0.412612612612613</v>
      </c>
      <c r="J20" s="9" t="n">
        <f aca="false">'House Vote Data'!G67</f>
        <v>0.339897597479323</v>
      </c>
      <c r="K20" s="9" t="n">
        <f aca="false">'House Vote Data'!G68</f>
        <v>0.386066003143007</v>
      </c>
      <c r="M20" s="8" t="n">
        <f aca="false">ABS(D20)</f>
        <v>0.755042225751768</v>
      </c>
      <c r="N20" s="8" t="n">
        <f aca="false">ABS(F20)</f>
        <v>2.55367859434478</v>
      </c>
      <c r="O20" s="16" t="n">
        <f aca="false">SLOPE(I20:K20,$W$4:$Y$4)</f>
        <v>-0.00932200534063369</v>
      </c>
      <c r="P20" s="9" t="n">
        <f aca="false">MIN(1,MAX(0,K20+O20*($Z$4-$Y$4)))</f>
        <v>0.369153990443472</v>
      </c>
      <c r="Q20" s="17" t="n">
        <f aca="false">(P20-C20)*100</f>
        <v>0.862477324391336</v>
      </c>
      <c r="R20" s="18" t="b">
        <f aca="false">IF(P20&gt;0.5,"D","R")=IF(C20&gt;0.5,"D","R")</f>
        <v>1</v>
      </c>
      <c r="S20" s="8" t="n">
        <f aca="false">ABS(Q20)</f>
        <v>0.862477324391336</v>
      </c>
      <c r="U20" s="9" t="n">
        <f aca="false">MIN(1,MAX(0,(9.05022494236107+0.113115349224159*'Registration &amp; ACS Data'!D69*100+11.7889818160387*'Registration &amp; ACS Data'!E69+(-6.22406681530858)*1+0.775169323879817*(K20*100))/100))</f>
        <v>0.332889499207515</v>
      </c>
      <c r="V20" s="17" t="n">
        <f aca="false">(U20-C20)*100</f>
        <v>-2.76397179920438</v>
      </c>
      <c r="W20" s="18" t="b">
        <f aca="false">IF(U20&gt;0.5,"D","R")=IF(C20&gt;0.5,"D","R")</f>
        <v>1</v>
      </c>
      <c r="X20" s="8" t="n">
        <f aca="false">ABS(V20)</f>
        <v>2.76397179920438</v>
      </c>
    </row>
    <row r="21" customFormat="false" ht="15" hidden="false" customHeight="true" outlineLevel="0" collapsed="false">
      <c r="A21" s="8" t="s">
        <v>74</v>
      </c>
      <c r="B21" s="9" t="n">
        <f aca="false">MIN(1,MAX(0, SLOPE(I21:K21,{2018,2020,2022})*2024 + INTERCEPT(I21:K21,{2018,2020,2022})))</f>
        <v>0.228642590286427</v>
      </c>
      <c r="C21" s="9" t="n">
        <f aca="false">'House Vote Data'!G73</f>
        <v>0.313559322033898</v>
      </c>
      <c r="D21" s="17" t="n">
        <f aca="false">(B21-C21)*100</f>
        <v>-8.49167317474717</v>
      </c>
      <c r="E21" s="9" t="n">
        <f aca="false">K21</f>
        <v>0.272727272727273</v>
      </c>
      <c r="F21" s="17" t="n">
        <f aca="false">(E21-C21)*100</f>
        <v>-4.08320493066256</v>
      </c>
      <c r="G21" s="18" t="b">
        <f aca="false">IF(B21&gt;0.5,"D","R")=IF(C21&gt;0.5,"D","R")</f>
        <v>1</v>
      </c>
      <c r="H21" s="18" t="b">
        <f aca="false">IF(E21&gt;0.5,"D","R")=IF(C21&gt;0.5,"D","R")</f>
        <v>1</v>
      </c>
      <c r="I21" s="9" t="n">
        <f aca="false">'House Vote Data'!G70</f>
        <v>0.321212121212121</v>
      </c>
      <c r="J21" s="9" t="n">
        <f aca="false">'House Vote Data'!G71</f>
        <v>0.237442922374429</v>
      </c>
      <c r="K21" s="9" t="n">
        <f aca="false">'House Vote Data'!G72</f>
        <v>0.272727272727273</v>
      </c>
      <c r="M21" s="8" t="n">
        <f aca="false">ABS(D21)</f>
        <v>8.49167317474717</v>
      </c>
      <c r="N21" s="8" t="n">
        <f aca="false">ABS(F21)</f>
        <v>4.08320493066256</v>
      </c>
      <c r="O21" s="16" t="n">
        <f aca="false">SLOPE(I21:K21,$W$4:$Y$4)</f>
        <v>-0.00912538665387784</v>
      </c>
      <c r="P21" s="9" t="n">
        <f aca="false">MIN(1,MAX(0,K21+O21*($Z$4-$Y$4)))</f>
        <v>0.256171966294885</v>
      </c>
      <c r="Q21" s="17" t="n">
        <f aca="false">(P21-C21)*100</f>
        <v>-5.73873557390132</v>
      </c>
      <c r="R21" s="18" t="b">
        <f aca="false">IF(P21&gt;0.5,"D","R")=IF(C21&gt;0.5,"D","R")</f>
        <v>1</v>
      </c>
      <c r="S21" s="8" t="n">
        <f aca="false">ABS(Q21)</f>
        <v>5.73873557390132</v>
      </c>
      <c r="U21" s="9" t="n">
        <f aca="false">MIN(1,MAX(0,(9.05022494236107+0.113115349224159*'Registration &amp; ACS Data'!D73*100+11.7889818160387*'Registration &amp; ACS Data'!E73+(-6.22406681530858)*1+0.775169323879817*(K21*100))/100))</f>
        <v>0.221437066456385</v>
      </c>
      <c r="V21" s="17" t="n">
        <f aca="false">(U21-C21)*100</f>
        <v>-9.21222555775129</v>
      </c>
      <c r="W21" s="18" t="b">
        <f aca="false">IF(U21&gt;0.5,"D","R")=IF(C21&gt;0.5,"D","R")</f>
        <v>1</v>
      </c>
      <c r="X21" s="8" t="n">
        <f aca="false">ABS(V21)</f>
        <v>9.21222555775129</v>
      </c>
    </row>
    <row r="22" customFormat="false" ht="15" hidden="false" customHeight="true" outlineLevel="0" collapsed="false">
      <c r="A22" s="8" t="s">
        <v>75</v>
      </c>
      <c r="B22" s="9" t="n">
        <f aca="false">MIN(1,MAX(0, SLOPE(I22:K22,{2018,2020,2022})*2024 + INTERCEPT(I22:K22,{2018,2020,2022})))</f>
        <v>0.332848104502173</v>
      </c>
      <c r="C22" s="9" t="n">
        <f aca="false">'House Vote Data'!G77</f>
        <v>0.356061923812837</v>
      </c>
      <c r="D22" s="17" t="n">
        <f aca="false">(B22-C22)*100</f>
        <v>-2.32138193106645</v>
      </c>
      <c r="E22" s="9" t="n">
        <f aca="false">K22</f>
        <v>0.364014801110083</v>
      </c>
      <c r="F22" s="17" t="n">
        <f aca="false">(E22-C22)*100</f>
        <v>0.795287729724625</v>
      </c>
      <c r="G22" s="18" t="b">
        <f aca="false">IF(B22&gt;0.5,"D","R")=IF(C22&gt;0.5,"D","R")</f>
        <v>1</v>
      </c>
      <c r="H22" s="18" t="b">
        <f aca="false">IF(E22&gt;0.5,"D","R")=IF(C22&gt;0.5,"D","R")</f>
        <v>1</v>
      </c>
      <c r="I22" s="9" t="n">
        <f aca="false">'House Vote Data'!G74</f>
        <v>0.411265213699406</v>
      </c>
      <c r="J22" s="9" t="n">
        <f aca="false">'House Vote Data'!G75</f>
        <v>0.365015536464997</v>
      </c>
      <c r="K22" s="9" t="n">
        <f aca="false">'House Vote Data'!G76</f>
        <v>0.364014801110083</v>
      </c>
      <c r="M22" s="8" t="n">
        <f aca="false">ABS(D22)</f>
        <v>2.32138193106645</v>
      </c>
      <c r="N22" s="8" t="n">
        <f aca="false">ABS(F22)</f>
        <v>0.795287729724625</v>
      </c>
      <c r="O22" s="16" t="n">
        <f aca="false">SLOPE(I22:K22,$W$4:$Y$4)</f>
        <v>-0.00319198097359579</v>
      </c>
      <c r="P22" s="9" t="n">
        <f aca="false">MIN(1,MAX(0,K22+O22*($Z$4-$Y$4)))</f>
        <v>0.358223898746316</v>
      </c>
      <c r="Q22" s="17" t="n">
        <f aca="false">(P22-C22)*100</f>
        <v>0.216197493347925</v>
      </c>
      <c r="R22" s="18" t="b">
        <f aca="false">IF(P22&gt;0.5,"D","R")=IF(C22&gt;0.5,"D","R")</f>
        <v>1</v>
      </c>
      <c r="S22" s="8" t="n">
        <f aca="false">ABS(Q22)</f>
        <v>0.216197493347925</v>
      </c>
      <c r="U22" s="9" t="n">
        <f aca="false">MIN(1,MAX(0,(9.05022494236107+0.113115349224159*'Registration &amp; ACS Data'!D77*100+11.7889818160387*'Registration &amp; ACS Data'!E77+(-6.22406681530858)*1+0.775169323879817*(K22*100))/100))</f>
        <v>0.319478510999488</v>
      </c>
      <c r="V22" s="17" t="n">
        <f aca="false">(U22-C22)*100</f>
        <v>-3.65834128133493</v>
      </c>
      <c r="W22" s="18" t="b">
        <f aca="false">IF(U22&gt;0.5,"D","R")=IF(C22&gt;0.5,"D","R")</f>
        <v>1</v>
      </c>
      <c r="X22" s="8" t="n">
        <f aca="false">ABS(V22)</f>
        <v>3.65834128133493</v>
      </c>
    </row>
    <row r="23" customFormat="false" ht="15" hidden="false" customHeight="true" outlineLevel="0" collapsed="false">
      <c r="A23" s="8" t="s">
        <v>76</v>
      </c>
      <c r="B23" s="9" t="n">
        <f aca="false">MIN(1,MAX(0, SLOPE(I23:K23,{2018,2020,2022})*2024 + INTERCEPT(I23:K23,{2018,2020,2022})))</f>
        <v>0.398956138922536</v>
      </c>
      <c r="C23" s="9" t="n">
        <f aca="false">'House Vote Data'!G81</f>
        <v>0.41958041958042</v>
      </c>
      <c r="D23" s="17" t="n">
        <f aca="false">(B23-C23)*100</f>
        <v>-2.06242806578838</v>
      </c>
      <c r="E23" s="9" t="n">
        <f aca="false">K23</f>
        <v>0.451012145748988</v>
      </c>
      <c r="F23" s="17" t="n">
        <f aca="false">(E23-C23)*100</f>
        <v>3.14317261685683</v>
      </c>
      <c r="G23" s="18" t="b">
        <f aca="false">IF(B23&gt;0.5,"D","R")=IF(C23&gt;0.5,"D","R")</f>
        <v>1</v>
      </c>
      <c r="H23" s="18" t="b">
        <f aca="false">IF(E23&gt;0.5,"D","R")=IF(C23&gt;0.5,"D","R")</f>
        <v>1</v>
      </c>
      <c r="I23" s="9" t="n">
        <f aca="false">'House Vote Data'!G78</f>
        <v>0.505281690140845</v>
      </c>
      <c r="J23" s="9" t="n">
        <f aca="false">'House Vote Data'!G79</f>
        <v>0.403383214053351</v>
      </c>
      <c r="K23" s="9" t="n">
        <f aca="false">'House Vote Data'!G80</f>
        <v>0.451012145748988</v>
      </c>
      <c r="M23" s="8" t="n">
        <f aca="false">ABS(D23)</f>
        <v>2.06242806578838</v>
      </c>
      <c r="N23" s="8" t="n">
        <f aca="false">ABS(F23)</f>
        <v>3.14317261685683</v>
      </c>
      <c r="O23" s="16" t="n">
        <f aca="false">SLOPE(I23:K23,$W$4:$Y$4)</f>
        <v>-0.0115247130167453</v>
      </c>
      <c r="P23" s="9" t="n">
        <f aca="false">MIN(1,MAX(0,K23+O23*($Z$4-$Y$4)))</f>
        <v>0.430103973550447</v>
      </c>
      <c r="Q23" s="17" t="n">
        <f aca="false">(P23-C23)*100</f>
        <v>1.05235539700274</v>
      </c>
      <c r="R23" s="18" t="b">
        <f aca="false">IF(P23&gt;0.5,"D","R")=IF(C23&gt;0.5,"D","R")</f>
        <v>1</v>
      </c>
      <c r="S23" s="8" t="n">
        <f aca="false">ABS(Q23)</f>
        <v>1.05235539700274</v>
      </c>
      <c r="U23" s="9" t="n">
        <f aca="false">MIN(1,MAX(0,(9.05022494236107+0.113115349224159*'Registration &amp; ACS Data'!D81*100+11.7889818160387*'Registration &amp; ACS Data'!E81+(-6.22406681530858)*1+0.775169323879817*(K23*100))/100))</f>
        <v>0.388151911924365</v>
      </c>
      <c r="V23" s="17" t="n">
        <f aca="false">(U23-C23)*100</f>
        <v>-3.14285076560543</v>
      </c>
      <c r="W23" s="18" t="b">
        <f aca="false">IF(U23&gt;0.5,"D","R")=IF(C23&gt;0.5,"D","R")</f>
        <v>1</v>
      </c>
      <c r="X23" s="8" t="n">
        <f aca="false">ABS(V23)</f>
        <v>3.14285076560543</v>
      </c>
    </row>
    <row r="24" customFormat="false" ht="15" hidden="false" customHeight="true" outlineLevel="0" collapsed="false">
      <c r="A24" s="8" t="s">
        <v>77</v>
      </c>
      <c r="B24" s="9" t="n">
        <f aca="false">MIN(1,MAX(0, SLOPE(I24:K24,{2018,2020,2022})*2024 + INTERCEPT(I24:K24,{2018,2020,2022})))</f>
        <v>0.249555997763569</v>
      </c>
      <c r="C24" s="9" t="n">
        <f aca="false">'House Vote Data'!G85</f>
        <v>0.290895901342038</v>
      </c>
      <c r="D24" s="17" t="n">
        <f aca="false">(B24-C24)*100</f>
        <v>-4.13399035784698</v>
      </c>
      <c r="E24" s="9" t="n">
        <f aca="false">K24</f>
        <v>0.293289535429376</v>
      </c>
      <c r="F24" s="17" t="n">
        <f aca="false">(E24-C24)*100</f>
        <v>0.239363408733739</v>
      </c>
      <c r="G24" s="18" t="b">
        <f aca="false">IF(B24&gt;0.5,"D","R")=IF(C24&gt;0.5,"D","R")</f>
        <v>1</v>
      </c>
      <c r="H24" s="18" t="b">
        <f aca="false">IF(E24&gt;0.5,"D","R")=IF(C24&gt;0.5,"D","R")</f>
        <v>1</v>
      </c>
      <c r="I24" s="9" t="n">
        <f aca="false">'House Vote Data'!G82</f>
        <v>0.350485991995426</v>
      </c>
      <c r="J24" s="9" t="n">
        <f aca="false">'House Vote Data'!G83</f>
        <v>0.276481835564054</v>
      </c>
      <c r="K24" s="9" t="n">
        <f aca="false">'House Vote Data'!G84</f>
        <v>0.293289535429376</v>
      </c>
      <c r="M24" s="8" t="n">
        <f aca="false">ABS(D24)</f>
        <v>4.13399035784698</v>
      </c>
      <c r="N24" s="8" t="n">
        <f aca="false">ABS(F24)</f>
        <v>0.239363408733739</v>
      </c>
      <c r="O24" s="16" t="n">
        <f aca="false">SLOPE(I24:K24,$W$4:$Y$4)</f>
        <v>-0.00676689277255046</v>
      </c>
      <c r="P24" s="9" t="n">
        <f aca="false">MIN(1,MAX(0,K24+O24*($Z$4-$Y$4)))</f>
        <v>0.28101301634105</v>
      </c>
      <c r="Q24" s="17" t="n">
        <f aca="false">(P24-C24)*100</f>
        <v>-0.988288500098805</v>
      </c>
      <c r="R24" s="18" t="b">
        <f aca="false">IF(P24&gt;0.5,"D","R")=IF(C24&gt;0.5,"D","R")</f>
        <v>1</v>
      </c>
      <c r="S24" s="8" t="n">
        <f aca="false">ABS(Q24)</f>
        <v>0.988288500098805</v>
      </c>
      <c r="U24" s="9" t="n">
        <f aca="false">MIN(1,MAX(0,(9.05022494236107+0.113115349224159*'Registration &amp; ACS Data'!D85*100+11.7889818160387*'Registration &amp; ACS Data'!E85+(-6.22406681530858)*1+0.775169323879817*(K24*100))/100))</f>
        <v>0.238626748886866</v>
      </c>
      <c r="V24" s="17" t="n">
        <f aca="false">(U24-C24)*100</f>
        <v>-5.22691524551729</v>
      </c>
      <c r="W24" s="18" t="b">
        <f aca="false">IF(U24&gt;0.5,"D","R")=IF(C24&gt;0.5,"D","R")</f>
        <v>1</v>
      </c>
      <c r="X24" s="8" t="n">
        <f aca="false">ABS(V24)</f>
        <v>5.22691524551729</v>
      </c>
    </row>
    <row r="25" customFormat="false" ht="15" hidden="false" customHeight="true" outlineLevel="0" collapsed="false">
      <c r="A25" s="8" t="s">
        <v>78</v>
      </c>
      <c r="B25" s="9" t="n">
        <f aca="false">MIN(1,MAX(0, SLOPE(I25:K25,{2018,2020,2022})*2024 + INTERCEPT(I25:K25,{2018,2020,2022})))</f>
        <v>0.235863173508214</v>
      </c>
      <c r="C25" s="9" t="n">
        <f aca="false">'House Vote Data'!G89</f>
        <v>0.2925</v>
      </c>
      <c r="D25" s="17" t="n">
        <f aca="false">(B25-C25)*100</f>
        <v>-5.66368264917858</v>
      </c>
      <c r="E25" s="9" t="n">
        <f aca="false">K25</f>
        <v>0.271920088790233</v>
      </c>
      <c r="F25" s="17" t="n">
        <f aca="false">(E25-C25)*100</f>
        <v>-2.05799112097669</v>
      </c>
      <c r="G25" s="18" t="b">
        <f aca="false">IF(B25&gt;0.5,"D","R")=IF(C25&gt;0.5,"D","R")</f>
        <v>1</v>
      </c>
      <c r="H25" s="18" t="b">
        <f aca="false">IF(E25&gt;0.5,"D","R")=IF(C25&gt;0.5,"D","R")</f>
        <v>1</v>
      </c>
      <c r="I25" s="9" t="n">
        <f aca="false">'House Vote Data'!G86</f>
        <v>0.322314049586777</v>
      </c>
      <c r="J25" s="9" t="n">
        <f aca="false">'House Vote Data'!G87</f>
        <v>0.264537264537265</v>
      </c>
      <c r="K25" s="9" t="n">
        <f aca="false">'House Vote Data'!G88</f>
        <v>0.271920088790233</v>
      </c>
      <c r="M25" s="8" t="n">
        <f aca="false">ABS(D25)</f>
        <v>5.66368264917858</v>
      </c>
      <c r="N25" s="8" t="n">
        <f aca="false">ABS(F25)</f>
        <v>2.05799112097669</v>
      </c>
      <c r="O25" s="16" t="n">
        <f aca="false">SLOPE(I25:K25,$W$4:$Y$4)</f>
        <v>-0.00476572316837878</v>
      </c>
      <c r="P25" s="9" t="n">
        <f aca="false">MIN(1,MAX(0,K25+O25*($Z$4-$Y$4)))</f>
        <v>0.263274098169012</v>
      </c>
      <c r="Q25" s="17" t="n">
        <f aca="false">(P25-C25)*100</f>
        <v>-2.92259018309876</v>
      </c>
      <c r="R25" s="18" t="b">
        <f aca="false">IF(P25&gt;0.5,"D","R")=IF(C25&gt;0.5,"D","R")</f>
        <v>1</v>
      </c>
      <c r="S25" s="8" t="n">
        <f aca="false">ABS(Q25)</f>
        <v>2.92259018309876</v>
      </c>
      <c r="U25" s="9" t="n">
        <f aca="false">MIN(1,MAX(0,(9.05022494236107+0.113115349224159*'Registration &amp; ACS Data'!D89*100+11.7889818160387*'Registration &amp; ACS Data'!E89+(-6.22406681530858)*1+0.775169323879817*(K25*100))/100))</f>
        <v>0.228381141519641</v>
      </c>
      <c r="V25" s="17" t="n">
        <f aca="false">(U25-C25)*100</f>
        <v>-6.41188584803586</v>
      </c>
      <c r="W25" s="18" t="b">
        <f aca="false">IF(U25&gt;0.5,"D","R")=IF(C25&gt;0.5,"D","R")</f>
        <v>1</v>
      </c>
      <c r="X25" s="8" t="n">
        <f aca="false">ABS(V25)</f>
        <v>6.41188584803586</v>
      </c>
    </row>
    <row r="26" customFormat="false" ht="15" hidden="false" customHeight="true" outlineLevel="0" collapsed="false">
      <c r="A26" s="8" t="s">
        <v>79</v>
      </c>
      <c r="B26" s="9" t="n">
        <f aca="false">MIN(1,MAX(0, SLOPE(I26:K26,{2018,2020,2022})*2024 + INTERCEPT(I26:K26,{2018,2020,2022})))</f>
        <v>0.408273531634876</v>
      </c>
      <c r="C26" s="9" t="n">
        <f aca="false">'House Vote Data'!G93</f>
        <v>0.355828220858896</v>
      </c>
      <c r="D26" s="17" t="n">
        <f aca="false">(B26-C26)*100</f>
        <v>5.24453107759803</v>
      </c>
      <c r="E26" s="9" t="n">
        <f aca="false">K26</f>
        <v>0.46</v>
      </c>
      <c r="F26" s="17" t="n">
        <f aca="false">(E26-C26)*100</f>
        <v>10.4171779141104</v>
      </c>
      <c r="G26" s="18" t="b">
        <f aca="false">IF(B26&gt;0.5,"D","R")=IF(C26&gt;0.5,"D","R")</f>
        <v>1</v>
      </c>
      <c r="H26" s="18" t="b">
        <f aca="false">IF(E26&gt;0.5,"D","R")=IF(C26&gt;0.5,"D","R")</f>
        <v>1</v>
      </c>
      <c r="I26" s="9" t="n">
        <f aca="false">'House Vote Data'!G90</f>
        <v>0.510204081632653</v>
      </c>
      <c r="J26" s="9" t="n">
        <f aca="false">'House Vote Data'!G91</f>
        <v>0.405228758169935</v>
      </c>
      <c r="K26" s="9" t="n">
        <f aca="false">'House Vote Data'!G92</f>
        <v>0.46</v>
      </c>
      <c r="M26" s="8" t="n">
        <f aca="false">ABS(D26)</f>
        <v>5.24453107759803</v>
      </c>
      <c r="N26" s="8" t="n">
        <f aca="false">ABS(F26)</f>
        <v>10.4171779141104</v>
      </c>
      <c r="O26" s="16" t="n">
        <f aca="false">SLOPE(I26:K26,$W$4:$Y$4)</f>
        <v>-0.0123868806364179</v>
      </c>
      <c r="P26" s="9" t="n">
        <f aca="false">MIN(1,MAX(0,K26+O26*($Z$4-$Y$4)))</f>
        <v>0.43752768047476</v>
      </c>
      <c r="Q26" s="17" t="n">
        <f aca="false">(P26-C26)*100</f>
        <v>8.1699459615864</v>
      </c>
      <c r="R26" s="18" t="b">
        <f aca="false">IF(P26&gt;0.5,"D","R")=IF(C26&gt;0.5,"D","R")</f>
        <v>1</v>
      </c>
      <c r="S26" s="8" t="n">
        <f aca="false">ABS(Q26)</f>
        <v>8.1699459615864</v>
      </c>
      <c r="U26" s="9" t="n">
        <f aca="false">MIN(1,MAX(0,(9.05022494236107+0.113115349224159*'Registration &amp; ACS Data'!D93*100+11.7889818160387*'Registration &amp; ACS Data'!E93+(-6.22406681530858)*1+0.775169323879817*(K26*100))/100))</f>
        <v>0.37760626621768</v>
      </c>
      <c r="V26" s="17" t="n">
        <f aca="false">(U26-C26)*100</f>
        <v>2.17780453587845</v>
      </c>
      <c r="W26" s="18" t="b">
        <f aca="false">IF(U26&gt;0.5,"D","R")=IF(C26&gt;0.5,"D","R")</f>
        <v>1</v>
      </c>
      <c r="X26" s="8" t="n">
        <f aca="false">ABS(V26)</f>
        <v>2.17780453587845</v>
      </c>
    </row>
    <row r="27" customFormat="false" ht="15" hidden="false" customHeight="true" outlineLevel="0" collapsed="false">
      <c r="A27" s="8" t="s">
        <v>80</v>
      </c>
      <c r="B27" s="9" t="n">
        <f aca="false">MIN(1,MAX(0, SLOPE(I27:K27,{2018,2020,2022})*2024 + INTERCEPT(I27:K27,{2018,2020,2022})))</f>
        <v>0.453944260364676</v>
      </c>
      <c r="C27" s="9" t="n">
        <f aca="false">'House Vote Data'!G97</f>
        <v>0.439648866130212</v>
      </c>
      <c r="D27" s="17" t="n">
        <f aca="false">(B27-C27)*100</f>
        <v>1.42953942344634</v>
      </c>
      <c r="E27" s="9" t="n">
        <f aca="false">K27</f>
        <v>0.487660414610069</v>
      </c>
      <c r="F27" s="17" t="n">
        <f aca="false">(E27-C27)*100</f>
        <v>4.80115484798569</v>
      </c>
      <c r="G27" s="18" t="b">
        <f aca="false">IF(B27&gt;0.5,"D","R")=IF(C27&gt;0.5,"D","R")</f>
        <v>1</v>
      </c>
      <c r="H27" s="18" t="b">
        <f aca="false">IF(E27&gt;0.5,"D","R")=IF(C27&gt;0.5,"D","R")</f>
        <v>1</v>
      </c>
      <c r="I27" s="9" t="n">
        <f aca="false">'House Vote Data'!G94</f>
        <v>0.527906976744186</v>
      </c>
      <c r="J27" s="9" t="n">
        <f aca="false">'House Vote Data'!G95</f>
        <v>0.467005076142132</v>
      </c>
      <c r="K27" s="9" t="n">
        <f aca="false">'House Vote Data'!G96</f>
        <v>0.487660414610069</v>
      </c>
      <c r="M27" s="8" t="n">
        <f aca="false">ABS(D27)</f>
        <v>1.42953942344634</v>
      </c>
      <c r="N27" s="8" t="n">
        <f aca="false">ABS(F27)</f>
        <v>4.80115484798569</v>
      </c>
      <c r="O27" s="16" t="n">
        <f aca="false">SLOPE(I27:K27,$W$4:$Y$4)</f>
        <v>-0.0061838979717933</v>
      </c>
      <c r="P27" s="9" t="n">
        <f aca="false">MIN(1,MAX(0,K27+O27*($Z$4-$Y$4)))</f>
        <v>0.47644156660365</v>
      </c>
      <c r="Q27" s="17" t="n">
        <f aca="false">(P27-C27)*100</f>
        <v>3.67927004734381</v>
      </c>
      <c r="R27" s="18" t="b">
        <f aca="false">IF(P27&gt;0.5,"D","R")=IF(C27&gt;0.5,"D","R")</f>
        <v>1</v>
      </c>
      <c r="S27" s="8" t="n">
        <f aca="false">ABS(Q27)</f>
        <v>3.67927004734381</v>
      </c>
      <c r="U27" s="9" t="n">
        <f aca="false">MIN(1,MAX(0,(9.05022494236107+0.113115349224159*'Registration &amp; ACS Data'!D97*100+11.7889818160387*'Registration &amp; ACS Data'!E97+(-6.22406681530858)*1+0.775169323879817*(K27*100))/100))</f>
        <v>0.442574149122286</v>
      </c>
      <c r="V27" s="17" t="n">
        <f aca="false">(U27-C27)*100</f>
        <v>0.29252829920734</v>
      </c>
      <c r="W27" s="18" t="b">
        <f aca="false">IF(U27&gt;0.5,"D","R")=IF(C27&gt;0.5,"D","R")</f>
        <v>1</v>
      </c>
      <c r="X27" s="8" t="n">
        <f aca="false">ABS(V27)</f>
        <v>0.29252829920734</v>
      </c>
    </row>
    <row r="28" customFormat="false" ht="15" hidden="false" customHeight="true" outlineLevel="0" collapsed="false">
      <c r="A28" s="8" t="s">
        <v>82</v>
      </c>
      <c r="B28" s="9" t="n">
        <f aca="false">MIN(1,MAX(0, SLOPE(I28:K28,{2018,2020,2022})*2024 + INTERCEPT(I28:K28,{2018,2020,2022})))</f>
        <v>0.649124407275785</v>
      </c>
      <c r="C28" s="9" t="n">
        <f aca="false">'House Vote Data'!G101</f>
        <v>0.645622220602172</v>
      </c>
      <c r="D28" s="17" t="n">
        <f aca="false">(B28-C28)*100</f>
        <v>0.350218667361268</v>
      </c>
      <c r="E28" s="9" t="n">
        <f aca="false">K28</f>
        <v>0.681297939841773</v>
      </c>
      <c r="F28" s="17" t="n">
        <f aca="false">(E28-C28)*100</f>
        <v>3.5675719239601</v>
      </c>
      <c r="G28" s="18" t="b">
        <f aca="false">IF(B28&gt;0.5,"D","R")=IF(C28&gt;0.5,"D","R")</f>
        <v>1</v>
      </c>
      <c r="H28" s="18" t="b">
        <f aca="false">IF(E28&gt;0.5,"D","R")=IF(C28&gt;0.5,"D","R")</f>
        <v>1</v>
      </c>
      <c r="I28" s="9" t="n">
        <f aca="false">'House Vote Data'!G98</f>
        <v>0.73070432868672</v>
      </c>
      <c r="J28" s="9" t="n">
        <f aca="false">'House Vote Data'!G99</f>
        <v>0.6835901198337</v>
      </c>
      <c r="K28" s="9" t="n">
        <f aca="false">'House Vote Data'!G100</f>
        <v>0.681297939841773</v>
      </c>
      <c r="M28" s="8" t="n">
        <f aca="false">ABS(D28)</f>
        <v>0.350218667361268</v>
      </c>
      <c r="N28" s="8" t="n">
        <f aca="false">ABS(F28)</f>
        <v>3.5675719239601</v>
      </c>
      <c r="O28" s="16" t="n">
        <f aca="false">SLOPE(I28:K28,$W$4:$Y$4)</f>
        <v>-0.00313692204548428</v>
      </c>
      <c r="P28" s="9" t="n">
        <f aca="false">MIN(1,MAX(0,K28+O28*($Z$4-$Y$4)))</f>
        <v>0.675606925566183</v>
      </c>
      <c r="Q28" s="17" t="n">
        <f aca="false">(P28-C28)*100</f>
        <v>2.99847049640102</v>
      </c>
      <c r="R28" s="18" t="b">
        <f aca="false">IF(P28&gt;0.5,"D","R")=IF(C28&gt;0.5,"D","R")</f>
        <v>1</v>
      </c>
      <c r="S28" s="8" t="n">
        <f aca="false">ABS(Q28)</f>
        <v>2.99847049640102</v>
      </c>
      <c r="U28" s="9" t="n">
        <f aca="false">MIN(1,MAX(0,(9.05022494236107+0.113115349224159*'Registration &amp; ACS Data'!D101*100+11.7889818160387*'Registration &amp; ACS Data'!E101+(-6.22406681530858)*1+0.775169323879817*(K28*100))/100))</f>
        <v>0.618236543918245</v>
      </c>
      <c r="V28" s="17" t="n">
        <f aca="false">(U28-C28)*100</f>
        <v>-2.73856766839278</v>
      </c>
      <c r="W28" s="18" t="b">
        <f aca="false">IF(U28&gt;0.5,"D","R")=IF(C28&gt;0.5,"D","R")</f>
        <v>1</v>
      </c>
      <c r="X28" s="8" t="n">
        <f aca="false">ABS(V28)</f>
        <v>2.73856766839278</v>
      </c>
    </row>
    <row r="29" customFormat="false" ht="15" hidden="false" customHeight="true" outlineLevel="0" collapsed="false">
      <c r="A29" s="8" t="s">
        <v>83</v>
      </c>
      <c r="B29" s="9" t="n">
        <f aca="false">MIN(1,MAX(0, SLOPE(I29:K29,{2018,2020,2022})*2024 + INTERCEPT(I29:K29,{2018,2020,2022})))</f>
        <v>0.639037877108777</v>
      </c>
      <c r="C29" s="9" t="n">
        <f aca="false">'House Vote Data'!G105</f>
        <v>0.632969557725445</v>
      </c>
      <c r="D29" s="17" t="n">
        <f aca="false">(B29-C29)*100</f>
        <v>0.606831938333163</v>
      </c>
      <c r="E29" s="9" t="n">
        <f aca="false">K29</f>
        <v>0.657204410087441</v>
      </c>
      <c r="F29" s="17" t="n">
        <f aca="false">(E29-C29)*100</f>
        <v>2.42348523619962</v>
      </c>
      <c r="G29" s="18" t="b">
        <f aca="false">IF(B29&gt;0.5,"D","R")=IF(C29&gt;0.5,"D","R")</f>
        <v>1</v>
      </c>
      <c r="H29" s="18" t="b">
        <f aca="false">IF(E29&gt;0.5,"D","R")=IF(C29&gt;0.5,"D","R")</f>
        <v>1</v>
      </c>
      <c r="I29" s="9" t="n">
        <f aca="false">'House Vote Data'!G102</f>
        <v>0.671428571428571</v>
      </c>
      <c r="J29" s="9" t="n">
        <f aca="false">'House Vote Data'!G103</f>
        <v>0.631153133833707</v>
      </c>
      <c r="K29" s="9" t="n">
        <f aca="false">'House Vote Data'!G104</f>
        <v>0.657204410087441</v>
      </c>
      <c r="M29" s="8" t="n">
        <f aca="false">ABS(D29)</f>
        <v>0.606831938333163</v>
      </c>
      <c r="N29" s="8" t="n">
        <f aca="false">ABS(F29)</f>
        <v>2.42348523619962</v>
      </c>
      <c r="O29" s="16" t="n">
        <f aca="false">SLOPE(I29:K29,$W$4:$Y$4)</f>
        <v>-0.00520649982358945</v>
      </c>
      <c r="P29" s="9" t="n">
        <f aca="false">MIN(1,MAX(0,K29+O29*($Z$4-$Y$4)))</f>
        <v>0.647758761010965</v>
      </c>
      <c r="Q29" s="17" t="n">
        <f aca="false">(P29-C29)*100</f>
        <v>1.47892032855194</v>
      </c>
      <c r="R29" s="18" t="b">
        <f aca="false">IF(P29&gt;0.5,"D","R")=IF(C29&gt;0.5,"D","R")</f>
        <v>1</v>
      </c>
      <c r="S29" s="8" t="n">
        <f aca="false">ABS(Q29)</f>
        <v>1.47892032855194</v>
      </c>
      <c r="U29" s="9" t="n">
        <f aca="false">MIN(1,MAX(0,(9.05022494236107+0.113115349224159*'Registration &amp; ACS Data'!D105*100+11.7889818160387*'Registration &amp; ACS Data'!E105+(-6.22406681530858)*1+0.775169323879817*(K29*100))/100))</f>
        <v>0.612912314810914</v>
      </c>
      <c r="V29" s="17" t="n">
        <f aca="false">(U29-C29)*100</f>
        <v>-2.00572429145309</v>
      </c>
      <c r="W29" s="18" t="b">
        <f aca="false">IF(U29&gt;0.5,"D","R")=IF(C29&gt;0.5,"D","R")</f>
        <v>1</v>
      </c>
      <c r="X29" s="8" t="n">
        <f aca="false">ABS(V29)</f>
        <v>2.00572429145309</v>
      </c>
    </row>
    <row r="30" customFormat="false" ht="15" hidden="false" customHeight="true" outlineLevel="0" collapsed="false">
      <c r="A30" s="8" t="s">
        <v>84</v>
      </c>
      <c r="B30" s="9" t="n">
        <f aca="false">MIN(1,MAX(0, SLOPE(I30:K30,{2018,2020,2022})*2024 + INTERCEPT(I30:K30,{2018,2020,2022})))</f>
        <v>0.501413235202907</v>
      </c>
      <c r="C30" s="9" t="n">
        <f aca="false">'House Vote Data'!G109</f>
        <v>0.511307767944936</v>
      </c>
      <c r="D30" s="17" t="n">
        <f aca="false">(B30-C30)*100</f>
        <v>-0.989453274202878</v>
      </c>
      <c r="E30" s="9" t="n">
        <f aca="false">K30</f>
        <v>0.537914691943128</v>
      </c>
      <c r="F30" s="17" t="n">
        <f aca="false">(E30-C30)*100</f>
        <v>2.66069239981919</v>
      </c>
      <c r="G30" s="18" t="b">
        <f aca="false">IF(B30&gt;0.5,"D","R")=IF(C30&gt;0.5,"D","R")</f>
        <v>1</v>
      </c>
      <c r="H30" s="18" t="b">
        <f aca="false">IF(E30&gt;0.5,"D","R")=IF(C30&gt;0.5,"D","R")</f>
        <v>1</v>
      </c>
      <c r="I30" s="9" t="n">
        <f aca="false">'House Vote Data'!G106</f>
        <v>0.580694586312564</v>
      </c>
      <c r="J30" s="9" t="n">
        <f aca="false">'House Vote Data'!G107</f>
        <v>0.513970110461339</v>
      </c>
      <c r="K30" s="9" t="n">
        <f aca="false">'House Vote Data'!G108</f>
        <v>0.537914691943128</v>
      </c>
      <c r="M30" s="8" t="n">
        <f aca="false">ABS(D30)</f>
        <v>0.989453274202878</v>
      </c>
      <c r="N30" s="8" t="n">
        <f aca="false">ABS(F30)</f>
        <v>2.66069239981919</v>
      </c>
      <c r="O30" s="16" t="n">
        <f aca="false">SLOPE(I30:K30,$W$4:$Y$4)</f>
        <v>-0.00689360219547677</v>
      </c>
      <c r="P30" s="9" t="n">
        <f aca="false">MIN(1,MAX(0,K30+O30*($Z$4-$Y$4)))</f>
        <v>0.525408296203655</v>
      </c>
      <c r="Q30" s="17" t="n">
        <f aca="false">(P30-C30)*100</f>
        <v>1.41005282587193</v>
      </c>
      <c r="R30" s="18" t="b">
        <f aca="false">IF(P30&gt;0.5,"D","R")=IF(C30&gt;0.5,"D","R")</f>
        <v>1</v>
      </c>
      <c r="S30" s="8" t="n">
        <f aca="false">ABS(Q30)</f>
        <v>1.41005282587193</v>
      </c>
      <c r="U30" s="9" t="n">
        <f aca="false">MIN(1,MAX(0,(9.05022494236107+0.113115349224159*'Registration &amp; ACS Data'!D109*100+11.7889818160387*'Registration &amp; ACS Data'!E109+(-6.22406681530858)*1+0.775169323879817*(K30*100))/100))</f>
        <v>0.493433273928908</v>
      </c>
      <c r="V30" s="17" t="n">
        <f aca="false">(U30-C30)*100</f>
        <v>-1.78744940160285</v>
      </c>
      <c r="W30" s="18" t="b">
        <f aca="false">IF(U30&gt;0.5,"D","R")=IF(C30&gt;0.5,"D","R")</f>
        <v>0</v>
      </c>
      <c r="X30" s="8" t="n">
        <f aca="false">ABS(V30)</f>
        <v>1.78744940160285</v>
      </c>
    </row>
    <row r="31" customFormat="false" ht="15" hidden="false" customHeight="true" outlineLevel="0" collapsed="false">
      <c r="A31" s="8" t="s">
        <v>85</v>
      </c>
      <c r="B31" s="9" t="n">
        <f aca="false">MIN(1,MAX(0, SLOPE(I31:K31,{2018,2020,2022})*2024 + INTERCEPT(I31:K31,{2018,2020,2022})))</f>
        <v>0.479591472320944</v>
      </c>
      <c r="C31" s="9" t="n">
        <f aca="false">'House Vote Data'!G113</f>
        <v>0.477582846003899</v>
      </c>
      <c r="D31" s="17" t="n">
        <f aca="false">(B31-C31)*100</f>
        <v>0.200862631704563</v>
      </c>
      <c r="E31" s="9" t="n">
        <f aca="false">K31</f>
        <v>0.509433962264151</v>
      </c>
      <c r="F31" s="17" t="n">
        <f aca="false">(E31-C31)*100</f>
        <v>3.18511162602523</v>
      </c>
      <c r="G31" s="18" t="b">
        <f aca="false">IF(B31&gt;0.5,"D","R")=IF(C31&gt;0.5,"D","R")</f>
        <v>1</v>
      </c>
      <c r="H31" s="18" t="b">
        <f aca="false">IF(E31&gt;0.5,"D","R")=IF(C31&gt;0.5,"D","R")</f>
        <v>0</v>
      </c>
      <c r="I31" s="9" t="n">
        <f aca="false">'House Vote Data'!G110</f>
        <v>0.534932221063608</v>
      </c>
      <c r="J31" s="9" t="n">
        <f aca="false">'House Vote Data'!G111</f>
        <v>0.470903010033445</v>
      </c>
      <c r="K31" s="9" t="n">
        <f aca="false">'House Vote Data'!G112</f>
        <v>0.509433962264151</v>
      </c>
      <c r="M31" s="8" t="n">
        <f aca="false">ABS(D31)</f>
        <v>0.200862631704563</v>
      </c>
      <c r="N31" s="8" t="n">
        <f aca="false">ABS(F31)</f>
        <v>3.18511162602523</v>
      </c>
      <c r="O31" s="16" t="n">
        <f aca="false">SLOPE(I31:K31,$W$4:$Y$4)</f>
        <v>-0.00801715580126707</v>
      </c>
      <c r="P31" s="9" t="n">
        <f aca="false">MIN(1,MAX(0,K31+O31*($Z$4-$Y$4)))</f>
        <v>0.494889211883654</v>
      </c>
      <c r="Q31" s="17" t="n">
        <f aca="false">(P31-C31)*100</f>
        <v>1.73063658797555</v>
      </c>
      <c r="R31" s="18" t="b">
        <f aca="false">IF(P31&gt;0.5,"D","R")=IF(C31&gt;0.5,"D","R")</f>
        <v>1</v>
      </c>
      <c r="S31" s="8" t="n">
        <f aca="false">ABS(Q31)</f>
        <v>1.73063658797555</v>
      </c>
      <c r="U31" s="9" t="n">
        <f aca="false">MIN(1,MAX(0,(9.05022494236107+0.113115349224159*'Registration &amp; ACS Data'!D113*100+11.7889818160387*'Registration &amp; ACS Data'!E113+(-6.22406681530858)*1+0.775169323879817*(K31*100))/100))</f>
        <v>0.449312202945935</v>
      </c>
      <c r="V31" s="17" t="n">
        <f aca="false">(U31-C31)*100</f>
        <v>-2.82706430579635</v>
      </c>
      <c r="W31" s="18" t="b">
        <f aca="false">IF(U31&gt;0.5,"D","R")=IF(C31&gt;0.5,"D","R")</f>
        <v>1</v>
      </c>
      <c r="X31" s="8" t="n">
        <f aca="false">ABS(V31)</f>
        <v>2.82706430579635</v>
      </c>
    </row>
    <row r="32" customFormat="false" ht="15" hidden="false" customHeight="true" outlineLevel="0" collapsed="false">
      <c r="A32" s="8" t="s">
        <v>86</v>
      </c>
      <c r="B32" s="9" t="n">
        <f aca="false">MIN(1,MAX(0, SLOPE(I32:K32,{2018,2020,2022})*2024 + INTERCEPT(I32:K32,{2018,2020,2022})))</f>
        <v>0.503318592710818</v>
      </c>
      <c r="C32" s="9" t="n">
        <f aca="false">'House Vote Data'!G117</f>
        <v>0.500278241513634</v>
      </c>
      <c r="D32" s="17" t="n">
        <f aca="false">(B32-C32)*100</f>
        <v>0.30403511971836</v>
      </c>
      <c r="E32" s="9" t="n">
        <f aca="false">K32</f>
        <v>0.532767925983038</v>
      </c>
      <c r="F32" s="17" t="n">
        <f aca="false">(E32-C32)*100</f>
        <v>3.24896844694039</v>
      </c>
      <c r="G32" s="18" t="b">
        <f aca="false">IF(B32&gt;0.5,"D","R")=IF(C32&gt;0.5,"D","R")</f>
        <v>1</v>
      </c>
      <c r="H32" s="18" t="b">
        <f aca="false">IF(E32&gt;0.5,"D","R")=IF(C32&gt;0.5,"D","R")</f>
        <v>1</v>
      </c>
      <c r="I32" s="9" t="n">
        <f aca="false">'House Vote Data'!G114</f>
        <v>0.561702127659575</v>
      </c>
      <c r="J32" s="9" t="n">
        <f aca="false">'House Vote Data'!G115</f>
        <v>0.502288329519451</v>
      </c>
      <c r="K32" s="9" t="n">
        <f aca="false">'House Vote Data'!G116</f>
        <v>0.532767925983038</v>
      </c>
      <c r="M32" s="8" t="n">
        <f aca="false">ABS(D32)</f>
        <v>0.30403511971836</v>
      </c>
      <c r="N32" s="8" t="n">
        <f aca="false">ABS(F32)</f>
        <v>3.24896844694039</v>
      </c>
      <c r="O32" s="16" t="n">
        <f aca="false">SLOPE(I32:K32,$W$4:$Y$4)</f>
        <v>-0.00696385908913141</v>
      </c>
      <c r="P32" s="9" t="n">
        <f aca="false">MIN(1,MAX(0,K32+O32*($Z$4-$Y$4)))</f>
        <v>0.520134069956395</v>
      </c>
      <c r="Q32" s="17" t="n">
        <f aca="false">(P32-C32)*100</f>
        <v>1.98558284427613</v>
      </c>
      <c r="R32" s="18" t="b">
        <f aca="false">IF(P32&gt;0.5,"D","R")=IF(C32&gt;0.5,"D","R")</f>
        <v>1</v>
      </c>
      <c r="S32" s="8" t="n">
        <f aca="false">ABS(Q32)</f>
        <v>1.98558284427613</v>
      </c>
      <c r="U32" s="9" t="n">
        <f aca="false">MIN(1,MAX(0,(9.05022494236107+0.113115349224159*'Registration &amp; ACS Data'!D117*100+11.7889818160387*'Registration &amp; ACS Data'!E117+(-6.22406681530858)*1+0.775169323879817*(K32*100))/100))</f>
        <v>0.474799173123624</v>
      </c>
      <c r="V32" s="17" t="n">
        <f aca="false">(U32-C32)*100</f>
        <v>-2.54790683900097</v>
      </c>
      <c r="W32" s="18" t="b">
        <f aca="false">IF(U32&gt;0.5,"D","R")=IF(C32&gt;0.5,"D","R")</f>
        <v>0</v>
      </c>
      <c r="X32" s="8" t="n">
        <f aca="false">ABS(V32)</f>
        <v>2.54790683900097</v>
      </c>
    </row>
    <row r="33" customFormat="false" ht="15" hidden="false" customHeight="true" outlineLevel="0" collapsed="false">
      <c r="A33" s="8" t="s">
        <v>87</v>
      </c>
      <c r="B33" s="9" t="n">
        <f aca="false">MIN(1,MAX(0, SLOPE(I33:K33,{2018,2020,2022})*2024 + INTERCEPT(I33:K33,{2018,2020,2022})))</f>
        <v>0.548314414861583</v>
      </c>
      <c r="C33" s="9" t="n">
        <f aca="false">'House Vote Data'!G121</f>
        <v>0.530946513987535</v>
      </c>
      <c r="D33" s="17" t="n">
        <f aca="false">(B33-C33)*100</f>
        <v>1.73679008740487</v>
      </c>
      <c r="E33" s="9" t="n">
        <f aca="false">K33</f>
        <v>0.557435090479937</v>
      </c>
      <c r="F33" s="17" t="n">
        <f aca="false">(E33-C33)*100</f>
        <v>2.64885764924027</v>
      </c>
      <c r="G33" s="18" t="b">
        <f aca="false">IF(B33&gt;0.5,"D","R")=IF(C33&gt;0.5,"D","R")</f>
        <v>1</v>
      </c>
      <c r="H33" s="18" t="b">
        <f aca="false">IF(E33&gt;0.5,"D","R")=IF(C33&gt;0.5,"D","R")</f>
        <v>1</v>
      </c>
      <c r="I33" s="9" t="n">
        <f aca="false">'House Vote Data'!G118</f>
        <v>0.554568238778765</v>
      </c>
      <c r="J33" s="9" t="n">
        <f aca="false">'House Vote Data'!G119</f>
        <v>0.524339360222531</v>
      </c>
      <c r="K33" s="9" t="n">
        <f aca="false">'House Vote Data'!G120</f>
        <v>0.557435090479937</v>
      </c>
      <c r="M33" s="8" t="n">
        <f aca="false">ABS(D33)</f>
        <v>1.73679008740487</v>
      </c>
      <c r="N33" s="8" t="n">
        <f aca="false">ABS(F33)</f>
        <v>2.64885764924027</v>
      </c>
      <c r="O33" s="16" t="n">
        <f aca="false">SLOPE(I33:K33,$W$4:$Y$4)</f>
        <v>-0.00512852144267241</v>
      </c>
      <c r="P33" s="9" t="n">
        <f aca="false">MIN(1,MAX(0,K33+O33*($Z$4-$Y$4)))</f>
        <v>0.548130910038177</v>
      </c>
      <c r="Q33" s="17" t="n">
        <f aca="false">(P33-C33)*100</f>
        <v>1.71843960506421</v>
      </c>
      <c r="R33" s="18" t="b">
        <f aca="false">IF(P33&gt;0.5,"D","R")=IF(C33&gt;0.5,"D","R")</f>
        <v>1</v>
      </c>
      <c r="S33" s="8" t="n">
        <f aca="false">ABS(Q33)</f>
        <v>1.71843960506421</v>
      </c>
      <c r="U33" s="9" t="n">
        <f aca="false">MIN(1,MAX(0,(9.05022494236107+0.113115349224159*'Registration &amp; ACS Data'!D121*100+11.7889818160387*'Registration &amp; ACS Data'!E121+(-6.22406681530858)*1+0.775169323879817*(K33*100))/100))</f>
        <v>0.504913760834283</v>
      </c>
      <c r="V33" s="17" t="n">
        <f aca="false">(U33-C33)*100</f>
        <v>-2.60327531532517</v>
      </c>
      <c r="W33" s="18" t="b">
        <f aca="false">IF(U33&gt;0.5,"D","R")=IF(C33&gt;0.5,"D","R")</f>
        <v>1</v>
      </c>
      <c r="X33" s="8" t="n">
        <f aca="false">ABS(V33)</f>
        <v>2.60327531532517</v>
      </c>
    </row>
    <row r="34" customFormat="false" ht="15" hidden="false" customHeight="true" outlineLevel="0" collapsed="false">
      <c r="A34" s="8" t="s">
        <v>88</v>
      </c>
      <c r="B34" s="9" t="n">
        <f aca="false">MIN(1,MAX(0, SLOPE(I34:K34,{2018,2020,2022})*2024 + INTERCEPT(I34:K34,{2018,2020,2022})))</f>
        <v>0.677363439017864</v>
      </c>
      <c r="C34" s="9" t="n">
        <f aca="false">'House Vote Data'!G125</f>
        <v>0.643755615453729</v>
      </c>
      <c r="D34" s="17" t="n">
        <f aca="false">(B34-C34)*100</f>
        <v>3.36078235641358</v>
      </c>
      <c r="E34" s="9" t="n">
        <f aca="false">K34</f>
        <v>0.690768237572628</v>
      </c>
      <c r="F34" s="17" t="n">
        <f aca="false">(E34-C34)*100</f>
        <v>4.70126221188989</v>
      </c>
      <c r="G34" s="18" t="b">
        <f aca="false">IF(B34&gt;0.5,"D","R")=IF(C34&gt;0.5,"D","R")</f>
        <v>1</v>
      </c>
      <c r="H34" s="18" t="b">
        <f aca="false">IF(E34&gt;0.5,"D","R")=IF(C34&gt;0.5,"D","R")</f>
        <v>1</v>
      </c>
      <c r="I34" s="9" t="n">
        <f aca="false">'House Vote Data'!G122</f>
        <v>0.699350649350649</v>
      </c>
      <c r="J34" s="9" t="n">
        <f aca="false">'House Vote Data'!G123</f>
        <v>0.667718665464382</v>
      </c>
      <c r="K34" s="9" t="n">
        <f aca="false">'House Vote Data'!G124</f>
        <v>0.690768237572628</v>
      </c>
      <c r="M34" s="8" t="n">
        <f aca="false">ABS(D34)</f>
        <v>3.36078235641358</v>
      </c>
      <c r="N34" s="8" t="n">
        <f aca="false">ABS(F34)</f>
        <v>4.70126221188989</v>
      </c>
      <c r="O34" s="16" t="n">
        <f aca="false">SLOPE(I34:K34,$W$4:$Y$4)</f>
        <v>-0.00432252609091427</v>
      </c>
      <c r="P34" s="9" t="n">
        <f aca="false">MIN(1,MAX(0,K34+O34*($Z$4-$Y$4)))</f>
        <v>0.682926296544664</v>
      </c>
      <c r="Q34" s="17" t="n">
        <f aca="false">(P34-C34)*100</f>
        <v>3.91706810909352</v>
      </c>
      <c r="R34" s="18" t="b">
        <f aca="false">IF(P34&gt;0.5,"D","R")=IF(C34&gt;0.5,"D","R")</f>
        <v>1</v>
      </c>
      <c r="S34" s="8" t="n">
        <f aca="false">ABS(Q34)</f>
        <v>3.91706810909352</v>
      </c>
      <c r="U34" s="9" t="n">
        <f aca="false">MIN(1,MAX(0,(9.05022494236107+0.113115349224159*'Registration &amp; ACS Data'!D125*100+11.7889818160387*'Registration &amp; ACS Data'!E125+(-6.22406681530858)*1+0.775169323879817*(K34*100))/100))</f>
        <v>0.634448234013267</v>
      </c>
      <c r="V34" s="17" t="n">
        <f aca="false">(U34-C34)*100</f>
        <v>-0.930738144046184</v>
      </c>
      <c r="W34" s="18" t="b">
        <f aca="false">IF(U34&gt;0.5,"D","R")=IF(C34&gt;0.5,"D","R")</f>
        <v>1</v>
      </c>
      <c r="X34" s="8" t="n">
        <f aca="false">ABS(V34)</f>
        <v>0.930738144046184</v>
      </c>
    </row>
    <row r="35" customFormat="false" ht="15" hidden="false" customHeight="true" outlineLevel="0" collapsed="false">
      <c r="A35" s="8" t="s">
        <v>89</v>
      </c>
      <c r="B35" s="9" t="n">
        <f aca="false">MIN(1,MAX(0, SLOPE(I35:K35,{2018,2020,2022})*2024 + INTERCEPT(I35:K35,{2018,2020,2022})))</f>
        <v>0.540072159403938</v>
      </c>
      <c r="C35" s="9" t="n">
        <f aca="false">'House Vote Data'!G129</f>
        <v>0.534555712270804</v>
      </c>
      <c r="D35" s="17" t="n">
        <f aca="false">(B35-C35)*100</f>
        <v>0.55164471331336</v>
      </c>
      <c r="E35" s="9" t="n">
        <f aca="false">K35</f>
        <v>0.561027837259101</v>
      </c>
      <c r="F35" s="17" t="n">
        <f aca="false">(E35-C35)*100</f>
        <v>2.64721249882968</v>
      </c>
      <c r="G35" s="18" t="b">
        <f aca="false">IF(B35&gt;0.5,"D","R")=IF(C35&gt;0.5,"D","R")</f>
        <v>1</v>
      </c>
      <c r="H35" s="18" t="b">
        <f aca="false">IF(E35&gt;0.5,"D","R")=IF(C35&gt;0.5,"D","R")</f>
        <v>1</v>
      </c>
      <c r="I35" s="9" t="n">
        <f aca="false">'House Vote Data'!G126</f>
        <v>0.597560975609756</v>
      </c>
      <c r="J35" s="9" t="n">
        <f aca="false">'House Vote Data'!G127</f>
        <v>0.571227080394922</v>
      </c>
      <c r="K35" s="9" t="n">
        <f aca="false">'House Vote Data'!G128</f>
        <v>0.561027837259101</v>
      </c>
      <c r="M35" s="8" t="n">
        <f aca="false">ABS(D35)</f>
        <v>0.55164471331336</v>
      </c>
      <c r="N35" s="8" t="n">
        <f aca="false">ABS(F35)</f>
        <v>2.64721249882968</v>
      </c>
      <c r="O35" s="16" t="n">
        <f aca="false">SLOPE(I35:K35,$W$4:$Y$4)</f>
        <v>-0.000949461934699742</v>
      </c>
      <c r="P35" s="9" t="n">
        <f aca="false">MIN(1,MAX(0,K35+O35*($Z$4-$Y$4)))</f>
        <v>0.559305320299432</v>
      </c>
      <c r="Q35" s="17" t="n">
        <f aca="false">(P35-C35)*100</f>
        <v>2.47496080286278</v>
      </c>
      <c r="R35" s="18" t="b">
        <f aca="false">IF(P35&gt;0.5,"D","R")=IF(C35&gt;0.5,"D","R")</f>
        <v>1</v>
      </c>
      <c r="S35" s="8" t="n">
        <f aca="false">ABS(Q35)</f>
        <v>2.47496080286278</v>
      </c>
      <c r="U35" s="9" t="n">
        <f aca="false">MIN(1,MAX(0,(9.05022494236107+0.113115349224159*'Registration &amp; ACS Data'!D129*100+11.7889818160387*'Registration &amp; ACS Data'!E129+(-6.22406681530858)*1+0.775169323879817*(K35*100))/100))</f>
        <v>0.503712226656714</v>
      </c>
      <c r="V35" s="17" t="n">
        <f aca="false">(U35-C35)*100</f>
        <v>-3.08434856140899</v>
      </c>
      <c r="W35" s="18" t="b">
        <f aca="false">IF(U35&gt;0.5,"D","R")=IF(C35&gt;0.5,"D","R")</f>
        <v>1</v>
      </c>
      <c r="X35" s="8" t="n">
        <f aca="false">ABS(V35)</f>
        <v>3.08434856140899</v>
      </c>
    </row>
    <row r="36" customFormat="false" ht="15" hidden="false" customHeight="true" outlineLevel="0" collapsed="false">
      <c r="A36" s="8" t="s">
        <v>90</v>
      </c>
      <c r="B36" s="9" t="n">
        <f aca="false">MIN(1,MAX(0, SLOPE(I36:K36,{2018,2020,2022})*2024 + INTERCEPT(I36:K36,{2018,2020,2022})))</f>
        <v>0.305086192609192</v>
      </c>
      <c r="C36" s="9" t="n">
        <f aca="false">'House Vote Data'!G133</f>
        <v>0.312470138557095</v>
      </c>
      <c r="D36" s="17" t="n">
        <f aca="false">(B36-C36)*100</f>
        <v>-0.73839459479032</v>
      </c>
      <c r="E36" s="9" t="n">
        <f aca="false">K36</f>
        <v>0.3325</v>
      </c>
      <c r="F36" s="17" t="n">
        <f aca="false">(E36-C36)*100</f>
        <v>2.00298614429049</v>
      </c>
      <c r="G36" s="18" t="b">
        <f aca="false">IF(B36&gt;0.5,"D","R")=IF(C36&gt;0.5,"D","R")</f>
        <v>1</v>
      </c>
      <c r="H36" s="18" t="b">
        <f aca="false">IF(E36&gt;0.5,"D","R")=IF(C36&gt;0.5,"D","R")</f>
        <v>1</v>
      </c>
      <c r="I36" s="9" t="n">
        <f aca="false">'House Vote Data'!G130</f>
        <v>0.362445414847162</v>
      </c>
      <c r="J36" s="9" t="n">
        <f aca="false">'House Vote Data'!G131</f>
        <v>0.310149407521896</v>
      </c>
      <c r="K36" s="9" t="n">
        <f aca="false">'House Vote Data'!G132</f>
        <v>0.3325</v>
      </c>
      <c r="M36" s="8" t="n">
        <f aca="false">ABS(D36)</f>
        <v>0.73839459479032</v>
      </c>
      <c r="N36" s="8" t="n">
        <f aca="false">ABS(F36)</f>
        <v>2.00298614429049</v>
      </c>
      <c r="O36" s="16" t="n">
        <f aca="false">SLOPE(I36:K36,$W$4:$Y$4)</f>
        <v>-0.00572597753667817</v>
      </c>
      <c r="P36" s="9" t="n">
        <f aca="false">MIN(1,MAX(0,K36+O36*($Z$4-$Y$4)))</f>
        <v>0.322111912750635</v>
      </c>
      <c r="Q36" s="17" t="n">
        <f aca="false">(P36-C36)*100</f>
        <v>0.964177419353979</v>
      </c>
      <c r="R36" s="18" t="b">
        <f aca="false">IF(P36&gt;0.5,"D","R")=IF(C36&gt;0.5,"D","R")</f>
        <v>1</v>
      </c>
      <c r="S36" s="8" t="n">
        <f aca="false">ABS(Q36)</f>
        <v>0.964177419353979</v>
      </c>
      <c r="U36" s="9" t="n">
        <f aca="false">MIN(1,MAX(0,(9.05022494236107+0.113115349224159*'Registration &amp; ACS Data'!D133*100+11.7889818160387*'Registration &amp; ACS Data'!E133+(-6.22406681530858)*1+0.775169323879817*(K36*100))/100))</f>
        <v>0.279478217441956</v>
      </c>
      <c r="V36" s="17" t="n">
        <f aca="false">(U36-C36)*100</f>
        <v>-3.2991921115139</v>
      </c>
      <c r="W36" s="18" t="b">
        <f aca="false">IF(U36&gt;0.5,"D","R")=IF(C36&gt;0.5,"D","R")</f>
        <v>1</v>
      </c>
      <c r="X36" s="8" t="n">
        <f aca="false">ABS(V36)</f>
        <v>3.2991921115139</v>
      </c>
    </row>
    <row r="37" customFormat="false" ht="15" hidden="false" customHeight="true" outlineLevel="0" collapsed="false">
      <c r="A37" s="8" t="s">
        <v>91</v>
      </c>
      <c r="B37" s="9" t="n">
        <f aca="false">MIN(1,MAX(0, SLOPE(I37:K37,{2018,2020,2022})*2024 + INTERCEPT(I37:K37,{2018,2020,2022})))</f>
        <v>0.520700430040381</v>
      </c>
      <c r="C37" s="9" t="n">
        <f aca="false">'House Vote Data'!G137</f>
        <v>0.495598417408506</v>
      </c>
      <c r="D37" s="17" t="n">
        <f aca="false">(B37-C37)*100</f>
        <v>2.51020126318744</v>
      </c>
      <c r="E37" s="9" t="n">
        <f aca="false">K37</f>
        <v>0.523913997367266</v>
      </c>
      <c r="F37" s="17" t="n">
        <f aca="false">(E37-C37)*100</f>
        <v>2.83155799587599</v>
      </c>
      <c r="G37" s="18" t="b">
        <f aca="false">IF(B37&gt;0.5,"D","R")=IF(C37&gt;0.5,"D","R")</f>
        <v>0</v>
      </c>
      <c r="H37" s="18" t="b">
        <f aca="false">IF(E37&gt;0.5,"D","R")=IF(C37&gt;0.5,"D","R")</f>
        <v>0</v>
      </c>
      <c r="I37" s="9" t="n">
        <f aca="false">'House Vote Data'!G134</f>
        <v>0.513847464848743</v>
      </c>
      <c r="J37" s="9" t="n">
        <f aca="false">'House Vote Data'!G135</f>
        <v>0.494140230349566</v>
      </c>
      <c r="K37" s="9" t="n">
        <f aca="false">'House Vote Data'!G136</f>
        <v>0.523913997367266</v>
      </c>
      <c r="M37" s="8" t="n">
        <f aca="false">ABS(D37)</f>
        <v>2.51020126318744</v>
      </c>
      <c r="N37" s="8" t="n">
        <f aca="false">ABS(F37)</f>
        <v>2.83155799587599</v>
      </c>
      <c r="O37" s="16" t="n">
        <f aca="false">SLOPE(I37:K37,$W$4:$Y$4)</f>
        <v>-0.00408239026910545</v>
      </c>
      <c r="P37" s="9" t="n">
        <f aca="false">MIN(1,MAX(0,K37+O37*($Z$4-$Y$4)))</f>
        <v>0.516507711535759</v>
      </c>
      <c r="Q37" s="17" t="n">
        <f aca="false">(P37-C37)*100</f>
        <v>2.0909294127253</v>
      </c>
      <c r="R37" s="18" t="b">
        <f aca="false">IF(P37&gt;0.5,"D","R")=IF(C37&gt;0.5,"D","R")</f>
        <v>0</v>
      </c>
      <c r="S37" s="8" t="n">
        <f aca="false">ABS(Q37)</f>
        <v>2.0909294127253</v>
      </c>
      <c r="U37" s="9" t="n">
        <f aca="false">MIN(1,MAX(0,(9.05022494236107+0.113115349224159*'Registration &amp; ACS Data'!D137*100+11.7889818160387*'Registration &amp; ACS Data'!E137+(-6.22406681530858)*1+0.775169323879817*(K37*100))/100))</f>
        <v>0.492046530128937</v>
      </c>
      <c r="V37" s="17" t="n">
        <f aca="false">(U37-C37)*100</f>
        <v>-0.355188727956968</v>
      </c>
      <c r="W37" s="18" t="b">
        <f aca="false">IF(U37&gt;0.5,"D","R")=IF(C37&gt;0.5,"D","R")</f>
        <v>1</v>
      </c>
      <c r="X37" s="8" t="n">
        <f aca="false">ABS(V37)</f>
        <v>0.355188727956968</v>
      </c>
    </row>
    <row r="38" customFormat="false" ht="15" hidden="false" customHeight="true" outlineLevel="0" collapsed="false">
      <c r="A38" s="8" t="s">
        <v>92</v>
      </c>
      <c r="B38" s="9" t="n">
        <f aca="false">MIN(1,MAX(0, SLOPE(I38:K38,{2018,2020,2022})*2024 + INTERCEPT(I38:K38,{2018,2020,2022})))</f>
        <v>0.380676402941078</v>
      </c>
      <c r="C38" s="9" t="n">
        <f aca="false">'House Vote Data'!G141</f>
        <v>0.383119408790354</v>
      </c>
      <c r="D38" s="17" t="n">
        <f aca="false">(B38-C38)*100</f>
        <v>-0.244300584927587</v>
      </c>
      <c r="E38" s="9" t="n">
        <f aca="false">K38</f>
        <v>0.39333641832485</v>
      </c>
      <c r="F38" s="17" t="n">
        <f aca="false">(E38-C38)*100</f>
        <v>1.02170095344957</v>
      </c>
      <c r="G38" s="18" t="b">
        <f aca="false">IF(B38&gt;0.5,"D","R")=IF(C38&gt;0.5,"D","R")</f>
        <v>1</v>
      </c>
      <c r="H38" s="18" t="b">
        <f aca="false">IF(E38&gt;0.5,"D","R")=IF(C38&gt;0.5,"D","R")</f>
        <v>1</v>
      </c>
      <c r="I38" s="9" t="n">
        <f aca="false">'House Vote Data'!G138</f>
        <v>0.398488120950324</v>
      </c>
      <c r="J38" s="9" t="n">
        <f aca="false">'House Vote Data'!G139</f>
        <v>0.365659777424483</v>
      </c>
      <c r="K38" s="9" t="n">
        <f aca="false">'House Vote Data'!G140</f>
        <v>0.39333641832485</v>
      </c>
      <c r="M38" s="8" t="n">
        <f aca="false">ABS(D38)</f>
        <v>0.244300584927587</v>
      </c>
      <c r="N38" s="8" t="n">
        <f aca="false">ABS(F38)</f>
        <v>1.02170095344957</v>
      </c>
      <c r="O38" s="16" t="n">
        <f aca="false">SLOPE(I38:K38,$W$4:$Y$4)</f>
        <v>-0.00482451568655115</v>
      </c>
      <c r="P38" s="9" t="n">
        <f aca="false">MIN(1,MAX(0,K38+O38*($Z$4-$Y$4)))</f>
        <v>0.384583766124104</v>
      </c>
      <c r="Q38" s="17" t="n">
        <f aca="false">(P38-C38)*100</f>
        <v>0.146435733375044</v>
      </c>
      <c r="R38" s="18" t="b">
        <f aca="false">IF(P38&gt;0.5,"D","R")=IF(C38&gt;0.5,"D","R")</f>
        <v>1</v>
      </c>
      <c r="S38" s="8" t="n">
        <f aca="false">ABS(Q38)</f>
        <v>0.146435733375044</v>
      </c>
      <c r="U38" s="9" t="n">
        <f aca="false">MIN(1,MAX(0,(9.05022494236107+0.113115349224159*'Registration &amp; ACS Data'!D141*100+11.7889818160387*'Registration &amp; ACS Data'!E141+(-6.22406681530858)*1+0.775169323879817*(K38*100))/100))</f>
        <v>0.350742668712417</v>
      </c>
      <c r="V38" s="17" t="n">
        <f aca="false">(U38-C38)*100</f>
        <v>-3.23767400779368</v>
      </c>
      <c r="W38" s="18" t="b">
        <f aca="false">IF(U38&gt;0.5,"D","R")=IF(C38&gt;0.5,"D","R")</f>
        <v>1</v>
      </c>
      <c r="X38" s="8" t="n">
        <f aca="false">ABS(V38)</f>
        <v>3.23767400779368</v>
      </c>
    </row>
    <row r="39" customFormat="false" ht="15" hidden="false" customHeight="true" outlineLevel="0" collapsed="false">
      <c r="A39" s="8" t="s">
        <v>93</v>
      </c>
      <c r="B39" s="9" t="n">
        <f aca="false">MIN(1,MAX(0, SLOPE(I39:K39,{2018,2020,2022})*2024 + INTERCEPT(I39:K39,{2018,2020,2022})))</f>
        <v>0.368938647627662</v>
      </c>
      <c r="C39" s="9" t="n">
        <f aca="false">'House Vote Data'!G145</f>
        <v>0.354207436399217</v>
      </c>
      <c r="D39" s="17" t="n">
        <f aca="false">(B39-C39)*100</f>
        <v>1.47312112284443</v>
      </c>
      <c r="E39" s="9" t="n">
        <f aca="false">K39</f>
        <v>0.375513557929334</v>
      </c>
      <c r="F39" s="17" t="n">
        <f aca="false">(E39-C39)*100</f>
        <v>2.13061215301172</v>
      </c>
      <c r="G39" s="18" t="b">
        <f aca="false">IF(B39&gt;0.5,"D","R")=IF(C39&gt;0.5,"D","R")</f>
        <v>1</v>
      </c>
      <c r="H39" s="18" t="b">
        <f aca="false">IF(E39&gt;0.5,"D","R")=IF(C39&gt;0.5,"D","R")</f>
        <v>1</v>
      </c>
      <c r="I39" s="9" t="n">
        <f aca="false">'House Vote Data'!G142</f>
        <v>0.376718606782768</v>
      </c>
      <c r="J39" s="9" t="n">
        <f aca="false">'House Vote Data'!G143</f>
        <v>0.358198924731183</v>
      </c>
      <c r="K39" s="9" t="n">
        <f aca="false">'House Vote Data'!G144</f>
        <v>0.375513557929334</v>
      </c>
      <c r="M39" s="8" t="n">
        <f aca="false">ABS(D39)</f>
        <v>1.47312112284443</v>
      </c>
      <c r="N39" s="8" t="n">
        <f aca="false">ABS(F39)</f>
        <v>2.13061215301172</v>
      </c>
      <c r="O39" s="16" t="n">
        <f aca="false">SLOPE(I39:K39,$W$4:$Y$4)</f>
        <v>-0.002875036765275</v>
      </c>
      <c r="P39" s="9" t="n">
        <f aca="false">MIN(1,MAX(0,K39+O39*($Z$4-$Y$4)))</f>
        <v>0.370297656789049</v>
      </c>
      <c r="Q39" s="17" t="n">
        <f aca="false">(P39-C39)*100</f>
        <v>1.60902203898317</v>
      </c>
      <c r="R39" s="18" t="b">
        <f aca="false">IF(P39&gt;0.5,"D","R")=IF(C39&gt;0.5,"D","R")</f>
        <v>1</v>
      </c>
      <c r="S39" s="8" t="n">
        <f aca="false">ABS(Q39)</f>
        <v>1.60902203898317</v>
      </c>
      <c r="U39" s="9" t="n">
        <f aca="false">MIN(1,MAX(0,(9.05022494236107+0.113115349224159*'Registration &amp; ACS Data'!D145*100+11.7889818160387*'Registration &amp; ACS Data'!E145+(-6.22406681530858)*1+0.775169323879817*(K39*100))/100))</f>
        <v>0.340801657326273</v>
      </c>
      <c r="V39" s="17" t="n">
        <f aca="false">(U39-C39)*100</f>
        <v>-1.34057790729438</v>
      </c>
      <c r="W39" s="18" t="b">
        <f aca="false">IF(U39&gt;0.5,"D","R")=IF(C39&gt;0.5,"D","R")</f>
        <v>1</v>
      </c>
      <c r="X39" s="8" t="n">
        <f aca="false">ABS(V39)</f>
        <v>1.34057790729438</v>
      </c>
    </row>
    <row r="40" customFormat="false" ht="15" hidden="false" customHeight="true" outlineLevel="0" collapsed="false">
      <c r="A40" s="8" t="s">
        <v>94</v>
      </c>
      <c r="B40" s="9" t="n">
        <f aca="false">MIN(1,MAX(0, SLOPE(I40:K40,{2018,2020,2022})*2024 + INTERCEPT(I40:K40,{2018,2020,2022})))</f>
        <v>0.328756549845556</v>
      </c>
      <c r="C40" s="9" t="n">
        <f aca="false">'House Vote Data'!G149</f>
        <v>0.314116777531412</v>
      </c>
      <c r="D40" s="17" t="n">
        <f aca="false">(B40-C40)*100</f>
        <v>1.46397723141445</v>
      </c>
      <c r="E40" s="9" t="n">
        <f aca="false">K40</f>
        <v>0.333952624245239</v>
      </c>
      <c r="F40" s="17" t="n">
        <f aca="false">(E40-C40)*100</f>
        <v>1.98358467138275</v>
      </c>
      <c r="G40" s="18" t="b">
        <f aca="false">IF(B40&gt;0.5,"D","R")=IF(C40&gt;0.5,"D","R")</f>
        <v>1</v>
      </c>
      <c r="H40" s="18" t="b">
        <f aca="false">IF(E40&gt;0.5,"D","R")=IF(C40&gt;0.5,"D","R")</f>
        <v>1</v>
      </c>
      <c r="I40" s="9" t="n">
        <f aca="false">'House Vote Data'!G146</f>
        <v>0.335668103448276</v>
      </c>
      <c r="J40" s="9" t="n">
        <f aca="false">'House Vote Data'!G147</f>
        <v>0.321795359452263</v>
      </c>
      <c r="K40" s="9" t="n">
        <f aca="false">'House Vote Data'!G148</f>
        <v>0.333952624245239</v>
      </c>
      <c r="M40" s="8" t="n">
        <f aca="false">ABS(D40)</f>
        <v>1.46397723141445</v>
      </c>
      <c r="N40" s="8" t="n">
        <f aca="false">ABS(F40)</f>
        <v>1.98358467138275</v>
      </c>
      <c r="O40" s="16" t="n">
        <f aca="false">SLOPE(I40:K40,$W$4:$Y$4)</f>
        <v>-0.00208036926909998</v>
      </c>
      <c r="P40" s="9" t="n">
        <f aca="false">MIN(1,MAX(0,K40+O40*($Z$4-$Y$4)))</f>
        <v>0.330178411485954</v>
      </c>
      <c r="Q40" s="17" t="n">
        <f aca="false">(P40-C40)*100</f>
        <v>1.60616339545428</v>
      </c>
      <c r="R40" s="18" t="b">
        <f aca="false">IF(P40&gt;0.5,"D","R")=IF(C40&gt;0.5,"D","R")</f>
        <v>1</v>
      </c>
      <c r="S40" s="8" t="n">
        <f aca="false">ABS(Q40)</f>
        <v>1.60616339545428</v>
      </c>
      <c r="U40" s="9" t="n">
        <f aca="false">MIN(1,MAX(0,(9.05022494236107+0.113115349224159*'Registration &amp; ACS Data'!D149*100+11.7889818160387*'Registration &amp; ACS Data'!E149+(-6.22406681530858)*1+0.775169323879817*(K40*100))/100))</f>
        <v>0.285777298418647</v>
      </c>
      <c r="V40" s="17" t="n">
        <f aca="false">(U40-C40)*100</f>
        <v>-2.83394791127647</v>
      </c>
      <c r="W40" s="18" t="b">
        <f aca="false">IF(U40&gt;0.5,"D","R")=IF(C40&gt;0.5,"D","R")</f>
        <v>1</v>
      </c>
      <c r="X40" s="8" t="n">
        <f aca="false">ABS(V40)</f>
        <v>2.83394791127647</v>
      </c>
    </row>
    <row r="41" customFormat="false" ht="15" hidden="false" customHeight="true" outlineLevel="0" collapsed="false">
      <c r="A41" s="8" t="s">
        <v>95</v>
      </c>
      <c r="B41" s="9" t="n">
        <f aca="false">MIN(1,MAX(0, SLOPE(I41:K41,{2018,2020,2022})*2024 + INTERCEPT(I41:K41,{2018,2020,2022})))</f>
        <v>0.559651528272838</v>
      </c>
      <c r="C41" s="9" t="n">
        <f aca="false">'House Vote Data'!G153</f>
        <v>0.529157667386609</v>
      </c>
      <c r="D41" s="17" t="n">
        <f aca="false">(B41-C41)*100</f>
        <v>3.04938608862285</v>
      </c>
      <c r="E41" s="9" t="n">
        <f aca="false">K41</f>
        <v>0.556497175141243</v>
      </c>
      <c r="F41" s="17" t="n">
        <f aca="false">(E41-C41)*100</f>
        <v>2.73395077546339</v>
      </c>
      <c r="G41" s="18" t="b">
        <f aca="false">IF(B41&gt;0.5,"D","R")=IF(C41&gt;0.5,"D","R")</f>
        <v>1</v>
      </c>
      <c r="H41" s="18" t="b">
        <f aca="false">IF(E41&gt;0.5,"D","R")=IF(C41&gt;0.5,"D","R")</f>
        <v>1</v>
      </c>
      <c r="I41" s="9" t="n">
        <f aca="false">'House Vote Data'!G150</f>
        <v>0.541960784313726</v>
      </c>
      <c r="J41" s="9" t="n">
        <f aca="false">'House Vote Data'!G151</f>
        <v>0.536887452880991</v>
      </c>
      <c r="K41" s="9" t="n">
        <f aca="false">'House Vote Data'!G152</f>
        <v>0.556497175141243</v>
      </c>
      <c r="M41" s="8" t="n">
        <f aca="false">ABS(D41)</f>
        <v>3.04938608862285</v>
      </c>
      <c r="N41" s="8" t="n">
        <f aca="false">ABS(F41)</f>
        <v>2.73395077546339</v>
      </c>
      <c r="O41" s="16" t="n">
        <f aca="false">SLOPE(I41:K41,$W$4:$Y$4)</f>
        <v>-0.00212767456364266</v>
      </c>
      <c r="P41" s="9" t="n">
        <f aca="false">MIN(1,MAX(0,K41+O41*($Z$4-$Y$4)))</f>
        <v>0.552637140961263</v>
      </c>
      <c r="Q41" s="17" t="n">
        <f aca="false">(P41-C41)*100</f>
        <v>2.3479473574654</v>
      </c>
      <c r="R41" s="18" t="b">
        <f aca="false">IF(P41&gt;0.5,"D","R")=IF(C41&gt;0.5,"D","R")</f>
        <v>1</v>
      </c>
      <c r="S41" s="8" t="n">
        <f aca="false">ABS(Q41)</f>
        <v>2.3479473574654</v>
      </c>
      <c r="U41" s="9" t="n">
        <f aca="false">MIN(1,MAX(0,(9.05022494236107+0.113115349224159*'Registration &amp; ACS Data'!D153*100+11.7889818160387*'Registration &amp; ACS Data'!E153+(-6.22406681530858)*1+0.775169323879817*(K41*100))/100))</f>
        <v>0.50132489929996</v>
      </c>
      <c r="V41" s="17" t="n">
        <f aca="false">(U41-C41)*100</f>
        <v>-2.78327680866495</v>
      </c>
      <c r="W41" s="18" t="b">
        <f aca="false">IF(U41&gt;0.5,"D","R")=IF(C41&gt;0.5,"D","R")</f>
        <v>1</v>
      </c>
      <c r="X41" s="8" t="n">
        <f aca="false">ABS(V41)</f>
        <v>2.78327680866495</v>
      </c>
    </row>
    <row r="42" customFormat="false" ht="15" hidden="false" customHeight="true" outlineLevel="0" collapsed="false">
      <c r="A42" s="8" t="s">
        <v>96</v>
      </c>
      <c r="B42" s="9" t="n">
        <f aca="false">MIN(1,MAX(0, SLOPE(I42:K42,{2018,2020,2022})*2024 + INTERCEPT(I42:K42,{2018,2020,2022})))</f>
        <v>0.416025458005737</v>
      </c>
      <c r="C42" s="9" t="n">
        <f aca="false">'House Vote Data'!G157</f>
        <v>0.404749924524504</v>
      </c>
      <c r="D42" s="17" t="n">
        <f aca="false">(B42-C42)*100</f>
        <v>1.12755334812326</v>
      </c>
      <c r="E42" s="9" t="n">
        <f aca="false">K42</f>
        <v>0.421796034728521</v>
      </c>
      <c r="F42" s="17" t="n">
        <f aca="false">(E42-C42)*100</f>
        <v>1.70461102040171</v>
      </c>
      <c r="G42" s="18" t="b">
        <f aca="false">IF(B42&gt;0.5,"D","R")=IF(C42&gt;0.5,"D","R")</f>
        <v>1</v>
      </c>
      <c r="H42" s="18" t="b">
        <f aca="false">IF(E42&gt;0.5,"D","R")=IF(C42&gt;0.5,"D","R")</f>
        <v>1</v>
      </c>
      <c r="I42" s="9" t="n">
        <f aca="false">'House Vote Data'!G154</f>
        <v>0.419369437320863</v>
      </c>
      <c r="J42" s="9" t="n">
        <f aca="false">'House Vote Data'!G155</f>
        <v>0.399631109744851</v>
      </c>
      <c r="K42" s="9" t="n">
        <f aca="false">'House Vote Data'!G156</f>
        <v>0.421796034728521</v>
      </c>
      <c r="M42" s="8" t="n">
        <f aca="false">ABS(D42)</f>
        <v>1.12755334812326</v>
      </c>
      <c r="N42" s="8" t="n">
        <f aca="false">ABS(F42)</f>
        <v>1.70461102040171</v>
      </c>
      <c r="O42" s="16" t="n">
        <f aca="false">SLOPE(I42:K42,$W$4:$Y$4)</f>
        <v>-0.00339872942544308</v>
      </c>
      <c r="P42" s="9" t="n">
        <f aca="false">MIN(1,MAX(0,K42+O42*($Z$4-$Y$4)))</f>
        <v>0.415630048644516</v>
      </c>
      <c r="Q42" s="17" t="n">
        <f aca="false">(P42-C42)*100</f>
        <v>1.08801241200113</v>
      </c>
      <c r="R42" s="18" t="b">
        <f aca="false">IF(P42&gt;0.5,"D","R")=IF(C42&gt;0.5,"D","R")</f>
        <v>1</v>
      </c>
      <c r="S42" s="8" t="n">
        <f aca="false">ABS(Q42)</f>
        <v>1.08801241200113</v>
      </c>
      <c r="U42" s="9" t="n">
        <f aca="false">MIN(1,MAX(0,(9.05022494236107+0.113115349224159*'Registration &amp; ACS Data'!D157*100+11.7889818160387*'Registration &amp; ACS Data'!E157+(-6.22406681530858)*1+0.775169323879817*(K42*100))/100))</f>
        <v>0.384160471380036</v>
      </c>
      <c r="V42" s="17" t="n">
        <f aca="false">(U42-C42)*100</f>
        <v>-2.05894531444685</v>
      </c>
      <c r="W42" s="18" t="b">
        <f aca="false">IF(U42&gt;0.5,"D","R")=IF(C42&gt;0.5,"D","R")</f>
        <v>1</v>
      </c>
      <c r="X42" s="8" t="n">
        <f aca="false">ABS(V42)</f>
        <v>2.05894531444685</v>
      </c>
    </row>
    <row r="43" customFormat="false" ht="15" hidden="false" customHeight="true" outlineLevel="0" collapsed="false">
      <c r="A43" s="8" t="s">
        <v>97</v>
      </c>
      <c r="B43" s="9" t="n">
        <f aca="false">MIN(1,MAX(0, SLOPE(I43:K43,{2018,2020,2022})*2024 + INTERCEPT(I43:K43,{2018,2020,2022})))</f>
        <v>0.503375273321709</v>
      </c>
      <c r="C43" s="9" t="n">
        <f aca="false">'House Vote Data'!G161</f>
        <v>0.494207542519103</v>
      </c>
      <c r="D43" s="17" t="n">
        <f aca="false">(B43-C43)*100</f>
        <v>0.916773080260652</v>
      </c>
      <c r="E43" s="9" t="n">
        <f aca="false">K43</f>
        <v>0.508636934673367</v>
      </c>
      <c r="F43" s="17" t="n">
        <f aca="false">(E43-C43)*100</f>
        <v>1.4429392154264</v>
      </c>
      <c r="G43" s="18" t="b">
        <f aca="false">IF(B43&gt;0.5,"D","R")=IF(C43&gt;0.5,"D","R")</f>
        <v>0</v>
      </c>
      <c r="H43" s="18" t="b">
        <f aca="false">IF(E43&gt;0.5,"D","R")=IF(C43&gt;0.5,"D","R")</f>
        <v>0</v>
      </c>
      <c r="I43" s="9" t="n">
        <f aca="false">'House Vote Data'!G158</f>
        <v>0.50872344100881</v>
      </c>
      <c r="J43" s="9" t="n">
        <f aca="false">'House Vote Data'!G159</f>
        <v>0.49302496328928</v>
      </c>
      <c r="K43" s="9" t="n">
        <f aca="false">'House Vote Data'!G160</f>
        <v>0.508636934673367</v>
      </c>
      <c r="M43" s="8" t="n">
        <f aca="false">ABS(D43)</f>
        <v>0.916773080260652</v>
      </c>
      <c r="N43" s="8" t="n">
        <f aca="false">ABS(F43)</f>
        <v>1.4429392154264</v>
      </c>
      <c r="O43" s="16" t="n">
        <f aca="false">SLOPE(I43:K43,$W$4:$Y$4)</f>
        <v>-0.00252134576755264</v>
      </c>
      <c r="P43" s="9" t="n">
        <f aca="false">MIN(1,MAX(0,K43+O43*($Z$4-$Y$4)))</f>
        <v>0.50406270090256</v>
      </c>
      <c r="Q43" s="17" t="n">
        <f aca="false">(P43-C43)*100</f>
        <v>0.985515838345724</v>
      </c>
      <c r="R43" s="18" t="b">
        <f aca="false">IF(P43&gt;0.5,"D","R")=IF(C43&gt;0.5,"D","R")</f>
        <v>0</v>
      </c>
      <c r="S43" s="8" t="n">
        <f aca="false">ABS(Q43)</f>
        <v>0.985515838345724</v>
      </c>
      <c r="U43" s="9" t="n">
        <f aca="false">MIN(1,MAX(0,(9.05022494236107+0.113115349224159*'Registration &amp; ACS Data'!D161*100+11.7889818160387*'Registration &amp; ACS Data'!E161+(-6.22406681530858)*1+0.775169323879817*(K43*100))/100))</f>
        <v>0.469228487254572</v>
      </c>
      <c r="V43" s="17" t="n">
        <f aca="false">(U43-C43)*100</f>
        <v>-2.49790552645311</v>
      </c>
      <c r="W43" s="18" t="b">
        <f aca="false">IF(U43&gt;0.5,"D","R")=IF(C43&gt;0.5,"D","R")</f>
        <v>1</v>
      </c>
      <c r="X43" s="8" t="n">
        <f aca="false">ABS(V43)</f>
        <v>2.49790552645311</v>
      </c>
    </row>
    <row r="44" customFormat="false" ht="15" hidden="false" customHeight="true" outlineLevel="0" collapsed="false">
      <c r="A44" s="8" t="s">
        <v>98</v>
      </c>
      <c r="B44" s="9" t="n">
        <f aca="false">MIN(1,MAX(0, SLOPE(I44:K44,{2018,2020,2022})*2024 + INTERCEPT(I44:K44,{2018,2020,2022})))</f>
        <v>0.426621124460254</v>
      </c>
      <c r="C44" s="9" t="n">
        <f aca="false">'House Vote Data'!G165</f>
        <v>0.408997955010225</v>
      </c>
      <c r="D44" s="17" t="n">
        <f aca="false">(B44-C44)*100</f>
        <v>1.76231694500286</v>
      </c>
      <c r="E44" s="9" t="n">
        <f aca="false">K44</f>
        <v>0.452257586972613</v>
      </c>
      <c r="F44" s="17" t="n">
        <f aca="false">(E44-C44)*100</f>
        <v>4.32596319623879</v>
      </c>
      <c r="G44" s="18" t="b">
        <f aca="false">IF(B44&gt;0.5,"D","R")=IF(C44&gt;0.5,"D","R")</f>
        <v>1</v>
      </c>
      <c r="H44" s="18" t="b">
        <f aca="false">IF(E44&gt;0.5,"D","R")=IF(C44&gt;0.5,"D","R")</f>
        <v>1</v>
      </c>
      <c r="I44" s="9" t="n">
        <f aca="false">'House Vote Data'!G162</f>
        <v>0.461736887360275</v>
      </c>
      <c r="J44" s="9" t="n">
        <f aca="false">'House Vote Data'!G163</f>
        <v>0.394306800210859</v>
      </c>
      <c r="K44" s="9" t="n">
        <f aca="false">'House Vote Data'!G164</f>
        <v>0.452257586972613</v>
      </c>
      <c r="M44" s="8" t="n">
        <f aca="false">ABS(D44)</f>
        <v>1.76231694500286</v>
      </c>
      <c r="N44" s="8" t="n">
        <f aca="false">ABS(F44)</f>
        <v>4.32596319623879</v>
      </c>
      <c r="O44" s="16" t="n">
        <f aca="false">SLOPE(I44:K44,$W$4:$Y$4)</f>
        <v>-0.0100090250499945</v>
      </c>
      <c r="P44" s="9" t="n">
        <f aca="false">MIN(1,MAX(0,K44+O44*($Z$4-$Y$4)))</f>
        <v>0.434099180860398</v>
      </c>
      <c r="Q44" s="17" t="n">
        <f aca="false">(P44-C44)*100</f>
        <v>2.51012258501727</v>
      </c>
      <c r="R44" s="18" t="b">
        <f aca="false">IF(P44&gt;0.5,"D","R")=IF(C44&gt;0.5,"D","R")</f>
        <v>1</v>
      </c>
      <c r="S44" s="8" t="n">
        <f aca="false">ABS(Q44)</f>
        <v>2.51012258501727</v>
      </c>
      <c r="U44" s="9" t="n">
        <f aca="false">MIN(1,MAX(0,(9.05022494236107+0.113115349224159*'Registration &amp; ACS Data'!D165*100+11.7889818160387*'Registration &amp; ACS Data'!E165+(-6.22406681530858)*1+0.775169323879817*(K44*100))/100))</f>
        <v>0.384096199463503</v>
      </c>
      <c r="V44" s="17" t="n">
        <f aca="false">(U44-C44)*100</f>
        <v>-2.49017555467222</v>
      </c>
      <c r="W44" s="18" t="b">
        <f aca="false">IF(U44&gt;0.5,"D","R")=IF(C44&gt;0.5,"D","R")</f>
        <v>1</v>
      </c>
      <c r="X44" s="8" t="n">
        <f aca="false">ABS(V44)</f>
        <v>2.49017555467222</v>
      </c>
    </row>
    <row r="45" customFormat="false" ht="15" hidden="false" customHeight="true" outlineLevel="0" collapsed="false">
      <c r="A45" s="8" t="s">
        <v>99</v>
      </c>
      <c r="B45" s="9" t="n">
        <f aca="false">MIN(1,MAX(0, SLOPE(I45:K45,{2018,2020,2022})*2024 + INTERCEPT(I45:K45,{2018,2020,2022})))</f>
        <v>0.550992087564142</v>
      </c>
      <c r="C45" s="9" t="n">
        <f aca="false">'House Vote Data'!G169</f>
        <v>0.534618021174499</v>
      </c>
      <c r="D45" s="17" t="n">
        <f aca="false">(B45-C45)*100</f>
        <v>1.63740663896425</v>
      </c>
      <c r="E45" s="9" t="n">
        <f aca="false">K45</f>
        <v>0.563197944460915</v>
      </c>
      <c r="F45" s="17" t="n">
        <f aca="false">(E45-C45)*100</f>
        <v>2.85799232864159</v>
      </c>
      <c r="G45" s="18" t="b">
        <f aca="false">IF(B45&gt;0.5,"D","R")=IF(C45&gt;0.5,"D","R")</f>
        <v>1</v>
      </c>
      <c r="H45" s="18" t="b">
        <f aca="false">IF(E45&gt;0.5,"D","R")=IF(C45&gt;0.5,"D","R")</f>
        <v>1</v>
      </c>
      <c r="I45" s="9" t="n">
        <f aca="false">'House Vote Data'!G166</f>
        <v>0.566116636528029</v>
      </c>
      <c r="J45" s="9" t="n">
        <f aca="false">'House Vote Data'!G167</f>
        <v>0.532417757904823</v>
      </c>
      <c r="K45" s="9" t="n">
        <f aca="false">'House Vote Data'!G168</f>
        <v>0.563197944460915</v>
      </c>
      <c r="M45" s="8" t="n">
        <f aca="false">ABS(D45)</f>
        <v>1.63740663896425</v>
      </c>
      <c r="N45" s="8" t="n">
        <f aca="false">ABS(F45)</f>
        <v>2.85799232864159</v>
      </c>
      <c r="O45" s="16" t="n">
        <f aca="false">SLOPE(I45:K45,$W$4:$Y$4)</f>
        <v>-0.00516605092538912</v>
      </c>
      <c r="P45" s="9" t="n">
        <f aca="false">MIN(1,MAX(0,K45+O45*($Z$4-$Y$4)))</f>
        <v>0.553825677908375</v>
      </c>
      <c r="Q45" s="17" t="n">
        <f aca="false">(P45-C45)*100</f>
        <v>1.92076567338757</v>
      </c>
      <c r="R45" s="18" t="b">
        <f aca="false">IF(P45&gt;0.5,"D","R")=IF(C45&gt;0.5,"D","R")</f>
        <v>1</v>
      </c>
      <c r="S45" s="8" t="n">
        <f aca="false">ABS(Q45)</f>
        <v>1.92076567338757</v>
      </c>
      <c r="U45" s="9" t="n">
        <f aca="false">MIN(1,MAX(0,(9.05022494236107+0.113115349224159*'Registration &amp; ACS Data'!D169*100+11.7889818160387*'Registration &amp; ACS Data'!E169+(-6.22406681530858)*1+0.775169323879817*(K45*100))/100))</f>
        <v>0.524890107927617</v>
      </c>
      <c r="V45" s="17" t="n">
        <f aca="false">(U45-C45)*100</f>
        <v>-0.972791324688194</v>
      </c>
      <c r="W45" s="18" t="b">
        <f aca="false">IF(U45&gt;0.5,"D","R")=IF(C45&gt;0.5,"D","R")</f>
        <v>1</v>
      </c>
      <c r="X45" s="8" t="n">
        <f aca="false">ABS(V45)</f>
        <v>0.972791324688194</v>
      </c>
    </row>
    <row r="46" customFormat="false" ht="15" hidden="false" customHeight="true" outlineLevel="0" collapsed="false">
      <c r="A46" s="8" t="s">
        <v>100</v>
      </c>
      <c r="B46" s="9" t="n">
        <f aca="false">MIN(1,MAX(0, SLOPE(I46:K46,{2018,2020,2022})*2024 + INTERCEPT(I46:K46,{2018,2020,2022})))</f>
        <v>0.527842983885101</v>
      </c>
      <c r="C46" s="9" t="n">
        <f aca="false">'House Vote Data'!G173</f>
        <v>0.513214308568503</v>
      </c>
      <c r="D46" s="17" t="n">
        <f aca="false">(B46-C46)*100</f>
        <v>1.46286753165977</v>
      </c>
      <c r="E46" s="9" t="n">
        <f aca="false">K46</f>
        <v>0.533374755902716</v>
      </c>
      <c r="F46" s="17" t="n">
        <f aca="false">(E46-C46)*100</f>
        <v>2.01604473342129</v>
      </c>
      <c r="G46" s="18" t="b">
        <f aca="false">IF(B46&gt;0.5,"D","R")=IF(C46&gt;0.5,"D","R")</f>
        <v>1</v>
      </c>
      <c r="H46" s="18" t="b">
        <f aca="false">IF(E46&gt;0.5,"D","R")=IF(C46&gt;0.5,"D","R")</f>
        <v>1</v>
      </c>
      <c r="I46" s="9" t="n">
        <f aca="false">'House Vote Data'!G170</f>
        <v>0.533326411960133</v>
      </c>
      <c r="J46" s="9" t="n">
        <f aca="false">'House Vote Data'!G171</f>
        <v>0.516682751964704</v>
      </c>
      <c r="K46" s="9" t="n">
        <f aca="false">'House Vote Data'!G172</f>
        <v>0.533374755902716</v>
      </c>
      <c r="M46" s="8" t="n">
        <f aca="false">ABS(D46)</f>
        <v>1.46286753165977</v>
      </c>
      <c r="N46" s="8" t="n">
        <f aca="false">ABS(F46)</f>
        <v>2.01604473342129</v>
      </c>
      <c r="O46" s="16" t="n">
        <f aca="false">SLOPE(I46:K46,$W$4:$Y$4)</f>
        <v>-0.00268577730003542</v>
      </c>
      <c r="P46" s="9" t="n">
        <f aca="false">MIN(1,MAX(0,K46+O46*($Z$4-$Y$4)))</f>
        <v>0.528502209905737</v>
      </c>
      <c r="Q46" s="17" t="n">
        <f aca="false">(P46-C46)*100</f>
        <v>1.5287901337234</v>
      </c>
      <c r="R46" s="18" t="b">
        <f aca="false">IF(P46&gt;0.5,"D","R")=IF(C46&gt;0.5,"D","R")</f>
        <v>1</v>
      </c>
      <c r="S46" s="8" t="n">
        <f aca="false">ABS(Q46)</f>
        <v>1.5287901337234</v>
      </c>
      <c r="U46" s="9" t="n">
        <f aca="false">MIN(1,MAX(0,(9.05022494236107+0.113115349224159*'Registration &amp; ACS Data'!D173*100+11.7889818160387*'Registration &amp; ACS Data'!E173+(-6.22406681530858)*1+0.775169323879817*(K46*100))/100))</f>
        <v>0.508357762768745</v>
      </c>
      <c r="V46" s="17" t="n">
        <f aca="false">(U46-C46)*100</f>
        <v>-0.485654579975803</v>
      </c>
      <c r="W46" s="18" t="b">
        <f aca="false">IF(U46&gt;0.5,"D","R")=IF(C46&gt;0.5,"D","R")</f>
        <v>1</v>
      </c>
      <c r="X46" s="8" t="n">
        <f aca="false">ABS(V46)</f>
        <v>0.485654579975803</v>
      </c>
    </row>
    <row r="47" customFormat="false" ht="15" hidden="false" customHeight="true" outlineLevel="0" collapsed="false">
      <c r="A47" s="8" t="s">
        <v>101</v>
      </c>
      <c r="B47" s="9" t="n">
        <f aca="false">MIN(1,MAX(0, SLOPE(I47:K47,{2018,2020,2022})*2024 + INTERCEPT(I47:K47,{2018,2020,2022})))</f>
        <v>0.442730755464691</v>
      </c>
      <c r="C47" s="9" t="n">
        <f aca="false">'House Vote Data'!G177</f>
        <v>0.43155031731641</v>
      </c>
      <c r="D47" s="17" t="n">
        <f aca="false">(B47-C47)*100</f>
        <v>1.11804381482813</v>
      </c>
      <c r="E47" s="9" t="n">
        <f aca="false">K47</f>
        <v>0.453369031682285</v>
      </c>
      <c r="F47" s="17" t="n">
        <f aca="false">(E47-C47)*100</f>
        <v>2.18187143658749</v>
      </c>
      <c r="G47" s="18" t="b">
        <f aca="false">IF(B47&gt;0.5,"D","R")=IF(C47&gt;0.5,"D","R")</f>
        <v>1</v>
      </c>
      <c r="H47" s="18" t="b">
        <f aca="false">IF(E47&gt;0.5,"D","R")=IF(C47&gt;0.5,"D","R")</f>
        <v>1</v>
      </c>
      <c r="I47" s="9" t="n">
        <f aca="false">'House Vote Data'!G174</f>
        <v>0.457244982128128</v>
      </c>
      <c r="J47" s="9" t="n">
        <f aca="false">'House Vote Data'!G175</f>
        <v>0.42920610392119</v>
      </c>
      <c r="K47" s="9" t="n">
        <f aca="false">'House Vote Data'!G176</f>
        <v>0.453369031682285</v>
      </c>
      <c r="M47" s="8" t="n">
        <f aca="false">ABS(D47)</f>
        <v>1.11804381482813</v>
      </c>
      <c r="N47" s="8" t="n">
        <f aca="false">ABS(F47)</f>
        <v>2.18187143658749</v>
      </c>
      <c r="O47" s="16" t="n">
        <f aca="false">SLOPE(I47:K47,$W$4:$Y$4)</f>
        <v>-0.00416789396479548</v>
      </c>
      <c r="P47" s="9" t="n">
        <f aca="false">MIN(1,MAX(0,K47+O47*($Z$4-$Y$4)))</f>
        <v>0.445807624765289</v>
      </c>
      <c r="Q47" s="17" t="n">
        <f aca="false">(P47-C47)*100</f>
        <v>1.42573074488797</v>
      </c>
      <c r="R47" s="18" t="b">
        <f aca="false">IF(P47&gt;0.5,"D","R")=IF(C47&gt;0.5,"D","R")</f>
        <v>1</v>
      </c>
      <c r="S47" s="8" t="n">
        <f aca="false">ABS(Q47)</f>
        <v>1.42573074488797</v>
      </c>
      <c r="U47" s="9" t="n">
        <f aca="false">MIN(1,MAX(0,(9.05022494236107+0.113115349224159*'Registration &amp; ACS Data'!D177*100+11.7889818160387*'Registration &amp; ACS Data'!E177+(-6.22406681530858)*1+0.775169323879817*(K47*100))/100))</f>
        <v>0.413438476537666</v>
      </c>
      <c r="V47" s="17" t="n">
        <f aca="false">(U47-C47)*100</f>
        <v>-1.81118407787435</v>
      </c>
      <c r="W47" s="18" t="b">
        <f aca="false">IF(U47&gt;0.5,"D","R")=IF(C47&gt;0.5,"D","R")</f>
        <v>1</v>
      </c>
      <c r="X47" s="8" t="n">
        <f aca="false">ABS(V47)</f>
        <v>1.81118407787435</v>
      </c>
    </row>
    <row r="48" customFormat="false" ht="15" hidden="false" customHeight="true" outlineLevel="0" collapsed="false">
      <c r="A48" s="8" t="s">
        <v>102</v>
      </c>
      <c r="B48" s="9" t="n">
        <f aca="false">MIN(1,MAX(0, SLOPE(I48:K48,{2018,2020,2022})*2024 + INTERCEPT(I48:K48,{2018,2020,2022})))</f>
        <v>0.496973504364849</v>
      </c>
      <c r="C48" s="9" t="n">
        <f aca="false">'House Vote Data'!G181</f>
        <v>0.487591501517586</v>
      </c>
      <c r="D48" s="17" t="n">
        <f aca="false">(B48-C48)*100</f>
        <v>0.938200284726298</v>
      </c>
      <c r="E48" s="9" t="n">
        <f aca="false">K48</f>
        <v>0.502108262108262</v>
      </c>
      <c r="F48" s="17" t="n">
        <f aca="false">(E48-C48)*100</f>
        <v>1.4516760590676</v>
      </c>
      <c r="G48" s="18" t="b">
        <f aca="false">IF(B48&gt;0.5,"D","R")=IF(C48&gt;0.5,"D","R")</f>
        <v>1</v>
      </c>
      <c r="H48" s="18" t="b">
        <f aca="false">IF(E48&gt;0.5,"D","R")=IF(C48&gt;0.5,"D","R")</f>
        <v>0</v>
      </c>
      <c r="I48" s="9" t="n">
        <f aca="false">'House Vote Data'!G178</f>
        <v>0.492183288409704</v>
      </c>
      <c r="J48" s="9" t="n">
        <f aca="false">'House Vote Data'!G179</f>
        <v>0.466854041480907</v>
      </c>
      <c r="K48" s="9" t="n">
        <f aca="false">'House Vote Data'!G180</f>
        <v>0.502108262108262</v>
      </c>
      <c r="M48" s="8" t="n">
        <f aca="false">ABS(D48)</f>
        <v>0.938200284726298</v>
      </c>
      <c r="N48" s="8" t="n">
        <f aca="false">ABS(F48)</f>
        <v>1.4516760590676</v>
      </c>
      <c r="O48" s="16" t="n">
        <f aca="false">SLOPE(I48:K48,$W$4:$Y$4)</f>
        <v>-0.00497537877163279</v>
      </c>
      <c r="P48" s="9" t="n">
        <f aca="false">MIN(1,MAX(0,K48+O48*($Z$4-$Y$4)))</f>
        <v>0.493081913603175</v>
      </c>
      <c r="Q48" s="17" t="n">
        <f aca="false">(P48-C48)*100</f>
        <v>0.549041208558837</v>
      </c>
      <c r="R48" s="18" t="b">
        <f aca="false">IF(P48&gt;0.5,"D","R")=IF(C48&gt;0.5,"D","R")</f>
        <v>1</v>
      </c>
      <c r="S48" s="8" t="n">
        <f aca="false">ABS(Q48)</f>
        <v>0.549041208558837</v>
      </c>
      <c r="U48" s="9" t="n">
        <f aca="false">MIN(1,MAX(0,(9.05022494236107+0.113115349224159*'Registration &amp; ACS Data'!D181*100+11.7889818160387*'Registration &amp; ACS Data'!E181+(-6.22406681530858)*1+0.775169323879817*(K48*100))/100))</f>
        <v>0.471399275012193</v>
      </c>
      <c r="V48" s="17" t="n">
        <f aca="false">(U48-C48)*100</f>
        <v>-1.61922265053936</v>
      </c>
      <c r="W48" s="18" t="b">
        <f aca="false">IF(U48&gt;0.5,"D","R")=IF(C48&gt;0.5,"D","R")</f>
        <v>1</v>
      </c>
      <c r="X48" s="8" t="n">
        <f aca="false">ABS(V48)</f>
        <v>1.61922265053936</v>
      </c>
    </row>
    <row r="49" customFormat="false" ht="15" hidden="false" customHeight="true" outlineLevel="0" collapsed="false">
      <c r="A49" s="8" t="s">
        <v>103</v>
      </c>
      <c r="B49" s="9" t="n">
        <f aca="false">MIN(1,MAX(0, SLOPE(I49:K49,{2018,2020,2022})*2024 + INTERCEPT(I49:K49,{2018,2020,2022})))</f>
        <v>0.338782204927534</v>
      </c>
      <c r="C49" s="9" t="n">
        <f aca="false">'House Vote Data'!G185</f>
        <v>0.321728081321474</v>
      </c>
      <c r="D49" s="17" t="n">
        <f aca="false">(B49-C49)*100</f>
        <v>1.70541236060602</v>
      </c>
      <c r="E49" s="9" t="n">
        <f aca="false">K49</f>
        <v>0.350632069194943</v>
      </c>
      <c r="F49" s="17" t="n">
        <f aca="false">(E49-C49)*100</f>
        <v>2.89039878734695</v>
      </c>
      <c r="G49" s="18" t="b">
        <f aca="false">IF(B49&gt;0.5,"D","R")=IF(C49&gt;0.5,"D","R")</f>
        <v>1</v>
      </c>
      <c r="H49" s="18" t="b">
        <f aca="false">IF(E49&gt;0.5,"D","R")=IF(C49&gt;0.5,"D","R")</f>
        <v>1</v>
      </c>
      <c r="I49" s="9" t="n">
        <f aca="false">'House Vote Data'!G182</f>
        <v>0.35468179975679</v>
      </c>
      <c r="J49" s="9" t="n">
        <f aca="false">'House Vote Data'!G183</f>
        <v>0.323181937516409</v>
      </c>
      <c r="K49" s="9" t="n">
        <f aca="false">'House Vote Data'!G184</f>
        <v>0.350632069194943</v>
      </c>
      <c r="M49" s="8" t="n">
        <f aca="false">ABS(D49)</f>
        <v>1.70541236060602</v>
      </c>
      <c r="N49" s="8" t="n">
        <f aca="false">ABS(F49)</f>
        <v>2.89039878734695</v>
      </c>
      <c r="O49" s="16" t="n">
        <f aca="false">SLOPE(I49:K49,$W$4:$Y$4)</f>
        <v>-0.00470981998956545</v>
      </c>
      <c r="P49" s="9" t="n">
        <f aca="false">MIN(1,MAX(0,K49+O49*($Z$4-$Y$4)))</f>
        <v>0.342087498304295</v>
      </c>
      <c r="Q49" s="17" t="n">
        <f aca="false">(P49-C49)*100</f>
        <v>2.03594169828206</v>
      </c>
      <c r="R49" s="18" t="b">
        <f aca="false">IF(P49&gt;0.5,"D","R")=IF(C49&gt;0.5,"D","R")</f>
        <v>1</v>
      </c>
      <c r="S49" s="8" t="n">
        <f aca="false">ABS(Q49)</f>
        <v>2.03594169828206</v>
      </c>
      <c r="U49" s="9" t="n">
        <f aca="false">MIN(1,MAX(0,(9.05022494236107+0.113115349224159*'Registration &amp; ACS Data'!D185*100+11.7889818160387*'Registration &amp; ACS Data'!E185+(-6.22406681530858)*1+0.775169323879817*(K49*100))/100))</f>
        <v>0.296863048413437</v>
      </c>
      <c r="V49" s="17" t="n">
        <f aca="false">(U49-C49)*100</f>
        <v>-2.48650329080367</v>
      </c>
      <c r="W49" s="18" t="b">
        <f aca="false">IF(U49&gt;0.5,"D","R")=IF(C49&gt;0.5,"D","R")</f>
        <v>1</v>
      </c>
      <c r="X49" s="8" t="n">
        <f aca="false">ABS(V49)</f>
        <v>2.48650329080367</v>
      </c>
    </row>
    <row r="50" customFormat="false" ht="15" hidden="false" customHeight="true" outlineLevel="0" collapsed="false">
      <c r="A50" s="8" t="s">
        <v>104</v>
      </c>
      <c r="B50" s="9" t="n">
        <f aca="false">MIN(1,MAX(0, SLOPE(I50:K50,{2018,2020,2022})*2024 + INTERCEPT(I50:K50,{2018,2020,2022})))</f>
        <v>0.362563111786872</v>
      </c>
      <c r="C50" s="9" t="n">
        <f aca="false">'House Vote Data'!G189</f>
        <v>0.347465164541951</v>
      </c>
      <c r="D50" s="17" t="n">
        <f aca="false">(B50-C50)*100</f>
        <v>1.50979472449211</v>
      </c>
      <c r="E50" s="9" t="n">
        <f aca="false">K50</f>
        <v>0.364413075780089</v>
      </c>
      <c r="F50" s="17" t="n">
        <f aca="false">(E50-C50)*100</f>
        <v>1.69479112381383</v>
      </c>
      <c r="G50" s="18" t="b">
        <f aca="false">IF(B50&gt;0.5,"D","R")=IF(C50&gt;0.5,"D","R")</f>
        <v>1</v>
      </c>
      <c r="H50" s="18" t="b">
        <f aca="false">IF(E50&gt;0.5,"D","R")=IF(C50&gt;0.5,"D","R")</f>
        <v>1</v>
      </c>
      <c r="I50" s="9" t="n">
        <f aca="false">'House Vote Data'!G186</f>
        <v>0.351131994873986</v>
      </c>
      <c r="J50" s="9" t="n">
        <f aca="false">'House Vote Data'!G187</f>
        <v>0.332301021988232</v>
      </c>
      <c r="K50" s="9" t="n">
        <f aca="false">'House Vote Data'!G188</f>
        <v>0.364413075780089</v>
      </c>
      <c r="M50" s="8" t="n">
        <f aca="false">ABS(D50)</f>
        <v>1.50979472449211</v>
      </c>
      <c r="N50" s="8" t="n">
        <f aca="false">ABS(F50)</f>
        <v>1.69479112381383</v>
      </c>
      <c r="O50" s="16" t="n">
        <f aca="false">SLOPE(I50:K50,$W$4:$Y$4)</f>
        <v>-0.00423097998819912</v>
      </c>
      <c r="P50" s="9" t="n">
        <f aca="false">MIN(1,MAX(0,K50+O50*($Z$4-$Y$4)))</f>
        <v>0.35673721799228</v>
      </c>
      <c r="Q50" s="17" t="n">
        <f aca="false">(P50-C50)*100</f>
        <v>0.927205345032939</v>
      </c>
      <c r="R50" s="18" t="b">
        <f aca="false">IF(P50&gt;0.5,"D","R")=IF(C50&gt;0.5,"D","R")</f>
        <v>1</v>
      </c>
      <c r="S50" s="8" t="n">
        <f aca="false">ABS(Q50)</f>
        <v>0.927205345032939</v>
      </c>
      <c r="U50" s="9" t="n">
        <f aca="false">MIN(1,MAX(0,(9.05022494236107+0.113115349224159*'Registration &amp; ACS Data'!D189*100+11.7889818160387*'Registration &amp; ACS Data'!E189+(-6.22406681530858)*1+0.775169323879817*(K50*100))/100))</f>
        <v>0.325728023444513</v>
      </c>
      <c r="V50" s="17" t="n">
        <f aca="false">(U50-C50)*100</f>
        <v>-2.17371410974379</v>
      </c>
      <c r="W50" s="18" t="b">
        <f aca="false">IF(U50&gt;0.5,"D","R")=IF(C50&gt;0.5,"D","R")</f>
        <v>1</v>
      </c>
      <c r="X50" s="8" t="n">
        <f aca="false">ABS(V50)</f>
        <v>2.17371410974379</v>
      </c>
    </row>
    <row r="51" customFormat="false" ht="15" hidden="false" customHeight="true" outlineLevel="0" collapsed="false">
      <c r="A51" s="8" t="s">
        <v>105</v>
      </c>
      <c r="B51" s="9" t="n">
        <f aca="false">MIN(1,MAX(0, SLOPE(I51:K51,{2018,2020,2022})*2024 + INTERCEPT(I51:K51,{2018,2020,2022})))</f>
        <v>0.514961839865826</v>
      </c>
      <c r="C51" s="9" t="n">
        <f aca="false">'House Vote Data'!G193</f>
        <v>0.51203273458631</v>
      </c>
      <c r="D51" s="17" t="n">
        <f aca="false">(B51-C51)*100</f>
        <v>0.292910527951651</v>
      </c>
      <c r="E51" s="9" t="n">
        <f aca="false">K51</f>
        <v>0.535172949863972</v>
      </c>
      <c r="F51" s="17" t="n">
        <f aca="false">(E51-C51)*100</f>
        <v>2.31402152776623</v>
      </c>
      <c r="G51" s="18" t="b">
        <f aca="false">IF(B51&gt;0.5,"D","R")=IF(C51&gt;0.5,"D","R")</f>
        <v>1</v>
      </c>
      <c r="H51" s="18" t="b">
        <f aca="false">IF(E51&gt;0.5,"D","R")=IF(C51&gt;0.5,"D","R")</f>
        <v>1</v>
      </c>
      <c r="I51" s="9" t="n">
        <f aca="false">'House Vote Data'!G190</f>
        <v>0.560712358337831</v>
      </c>
      <c r="J51" s="9" t="n">
        <f aca="false">'House Vote Data'!G191</f>
        <v>0.525618436817253</v>
      </c>
      <c r="K51" s="9" t="n">
        <f aca="false">'House Vote Data'!G192</f>
        <v>0.535172949863972</v>
      </c>
      <c r="M51" s="8" t="n">
        <f aca="false">ABS(D51)</f>
        <v>0.292910527951651</v>
      </c>
      <c r="N51" s="8" t="n">
        <f aca="false">ABS(F51)</f>
        <v>2.31402152776623</v>
      </c>
      <c r="O51" s="16" t="n">
        <f aca="false">SLOPE(I51:K51,$W$4:$Y$4)</f>
        <v>-0.00335175249633329</v>
      </c>
      <c r="P51" s="9" t="n">
        <f aca="false">MIN(1,MAX(0,K51+O51*($Z$4-$Y$4)))</f>
        <v>0.529092189479015</v>
      </c>
      <c r="Q51" s="17" t="n">
        <f aca="false">(P51-C51)*100</f>
        <v>1.70594548927051</v>
      </c>
      <c r="R51" s="18" t="b">
        <f aca="false">IF(P51&gt;0.5,"D","R")=IF(C51&gt;0.5,"D","R")</f>
        <v>1</v>
      </c>
      <c r="S51" s="8" t="n">
        <f aca="false">ABS(Q51)</f>
        <v>1.70594548927051</v>
      </c>
      <c r="U51" s="9" t="n">
        <f aca="false">MIN(1,MAX(0,(9.05022494236107+0.113115349224159*'Registration &amp; ACS Data'!D193*100+11.7889818160387*'Registration &amp; ACS Data'!E193+(-6.22406681530858)*1+0.775169323879817*(K51*100))/100))</f>
        <v>0.488243850947413</v>
      </c>
      <c r="V51" s="17" t="n">
        <f aca="false">(U51-C51)*100</f>
        <v>-2.3788883638897</v>
      </c>
      <c r="W51" s="18" t="b">
        <f aca="false">IF(U51&gt;0.5,"D","R")=IF(C51&gt;0.5,"D","R")</f>
        <v>0</v>
      </c>
      <c r="X51" s="8" t="n">
        <f aca="false">ABS(V51)</f>
        <v>2.3788883638897</v>
      </c>
    </row>
    <row r="52" customFormat="false" ht="15" hidden="false" customHeight="true" outlineLevel="0" collapsed="false">
      <c r="A52" s="8" t="s">
        <v>106</v>
      </c>
      <c r="B52" s="9" t="n">
        <f aca="false">MIN(1,MAX(0, SLOPE(I52:K52,{2018,2020,2022})*2024 + INTERCEPT(I52:K52,{2018,2020,2022})))</f>
        <v>0.286869692761929</v>
      </c>
      <c r="C52" s="9" t="n">
        <f aca="false">'House Vote Data'!G197</f>
        <v>0.295297805642633</v>
      </c>
      <c r="D52" s="17" t="n">
        <f aca="false">(B52-C52)*100</f>
        <v>-0.842811288070428</v>
      </c>
      <c r="E52" s="9" t="n">
        <f aca="false">K52</f>
        <v>0.30464135021097</v>
      </c>
      <c r="F52" s="17" t="n">
        <f aca="false">(E52-C52)*100</f>
        <v>0.934354456833719</v>
      </c>
      <c r="G52" s="18" t="b">
        <f aca="false">IF(B52&gt;0.5,"D","R")=IF(C52&gt;0.5,"D","R")</f>
        <v>1</v>
      </c>
      <c r="H52" s="18" t="b">
        <f aca="false">IF(E52&gt;0.5,"D","R")=IF(C52&gt;0.5,"D","R")</f>
        <v>1</v>
      </c>
      <c r="I52" s="9" t="n">
        <f aca="false">'House Vote Data'!G194</f>
        <v>0.343035343035343</v>
      </c>
      <c r="J52" s="9" t="n">
        <f aca="false">'House Vote Data'!G195</f>
        <v>0.328114363512594</v>
      </c>
      <c r="K52" s="9" t="n">
        <f aca="false">'House Vote Data'!G196</f>
        <v>0.30464135021097</v>
      </c>
      <c r="M52" s="8" t="n">
        <f aca="false">ABS(D52)</f>
        <v>0.842811288070428</v>
      </c>
      <c r="N52" s="8" t="n">
        <f aca="false">ABS(F52)</f>
        <v>0.934354456833719</v>
      </c>
      <c r="O52" s="16" t="n">
        <f aca="false">SLOPE(I52:K52,$W$4:$Y$4)</f>
        <v>0.00105698410990317</v>
      </c>
      <c r="P52" s="9" t="n">
        <f aca="false">MIN(1,MAX(0,K52+O52*($Z$4-$Y$4)))</f>
        <v>0.306558934253963</v>
      </c>
      <c r="Q52" s="17" t="n">
        <f aca="false">(P52-C52)*100</f>
        <v>1.12611286113296</v>
      </c>
      <c r="R52" s="18" t="b">
        <f aca="false">IF(P52&gt;0.5,"D","R")=IF(C52&gt;0.5,"D","R")</f>
        <v>1</v>
      </c>
      <c r="S52" s="8" t="n">
        <f aca="false">ABS(Q52)</f>
        <v>1.12611286113296</v>
      </c>
      <c r="U52" s="9" t="n">
        <f aca="false">MIN(1,MAX(0,(9.05022494236107+0.113115349224159*'Registration &amp; ACS Data'!D197*100+11.7889818160387*'Registration &amp; ACS Data'!E197+(-6.22406681530858)*1+0.775169323879817*(K52*100))/100))</f>
        <v>0.259736957234625</v>
      </c>
      <c r="V52" s="17" t="n">
        <f aca="false">(U52-C52)*100</f>
        <v>-3.55608484080083</v>
      </c>
      <c r="W52" s="18" t="b">
        <f aca="false">IF(U52&gt;0.5,"D","R")=IF(C52&gt;0.5,"D","R")</f>
        <v>1</v>
      </c>
      <c r="X52" s="8" t="n">
        <f aca="false">ABS(V52)</f>
        <v>3.55608484080083</v>
      </c>
    </row>
    <row r="53" customFormat="false" ht="15" hidden="false" customHeight="true" outlineLevel="0" collapsed="false">
      <c r="A53" s="8" t="s">
        <v>108</v>
      </c>
      <c r="B53" s="9" t="n">
        <f aca="false">MIN(1,MAX(0, SLOPE(I53:K53,{2018,2020,2022})*2024 + INTERCEPT(I53:K53,{2018,2020,2022})))</f>
        <v>0.303083422821956</v>
      </c>
      <c r="C53" s="9" t="n">
        <f aca="false">'House Vote Data'!G201</f>
        <v>0.328226555246054</v>
      </c>
      <c r="D53" s="17" t="n">
        <f aca="false">(B53-C53)*100</f>
        <v>-2.51431324240978</v>
      </c>
      <c r="E53" s="9" t="n">
        <f aca="false">K53</f>
        <v>0.339767054908486</v>
      </c>
      <c r="F53" s="17" t="n">
        <f aca="false">(E53-C53)*100</f>
        <v>1.1540499662432</v>
      </c>
      <c r="G53" s="18" t="b">
        <f aca="false">IF(B53&gt;0.5,"D","R")=IF(C53&gt;0.5,"D","R")</f>
        <v>1</v>
      </c>
      <c r="H53" s="18" t="b">
        <f aca="false">IF(E53&gt;0.5,"D","R")=IF(C53&gt;0.5,"D","R")</f>
        <v>1</v>
      </c>
      <c r="I53" s="9" t="n">
        <f aca="false">'House Vote Data'!G198</f>
        <v>0.406854838709677</v>
      </c>
      <c r="J53" s="9" t="n">
        <f aca="false">'House Vote Data'!G199</f>
        <v>0.363891726251277</v>
      </c>
      <c r="K53" s="9" t="n">
        <f aca="false">'House Vote Data'!G200</f>
        <v>0.339767054908486</v>
      </c>
      <c r="M53" s="8" t="n">
        <f aca="false">ABS(D53)</f>
        <v>2.51431324240978</v>
      </c>
      <c r="N53" s="8" t="n">
        <f aca="false">ABS(F53)</f>
        <v>1.1540499662432</v>
      </c>
      <c r="O53" s="16" t="n">
        <f aca="false">SLOPE(I53:K53,$W$4:$Y$4)</f>
        <v>-0.00087433320721668</v>
      </c>
      <c r="P53" s="9" t="n">
        <f aca="false">MIN(1,MAX(0,K53+O53*($Z$4-$Y$4)))</f>
        <v>0.338180836732916</v>
      </c>
      <c r="Q53" s="17" t="n">
        <f aca="false">(P53-C53)*100</f>
        <v>0.995428148686206</v>
      </c>
      <c r="R53" s="18" t="b">
        <f aca="false">IF(P53&gt;0.5,"D","R")=IF(C53&gt;0.5,"D","R")</f>
        <v>1</v>
      </c>
      <c r="S53" s="8" t="n">
        <f aca="false">ABS(Q53)</f>
        <v>0.995428148686206</v>
      </c>
      <c r="U53" s="9" t="n">
        <f aca="false">MIN(1,MAX(0,(9.05022494236107+0.113115349224159*'Registration &amp; ACS Data'!D201*100+11.7889818160387*'Registration &amp; ACS Data'!E201+(-6.22406681530858)*1+0.775169323879817*(K53*100))/100))</f>
        <v>0.290984736779162</v>
      </c>
      <c r="V53" s="17" t="n">
        <f aca="false">(U53-C53)*100</f>
        <v>-3.72418184668916</v>
      </c>
      <c r="W53" s="18" t="b">
        <f aca="false">IF(U53&gt;0.5,"D","R")=IF(C53&gt;0.5,"D","R")</f>
        <v>1</v>
      </c>
      <c r="X53" s="8" t="n">
        <f aca="false">ABS(V53)</f>
        <v>3.72418184668916</v>
      </c>
    </row>
    <row r="54" customFormat="false" ht="15" hidden="false" customHeight="true" outlineLevel="0" collapsed="false">
      <c r="A54" s="8" t="s">
        <v>109</v>
      </c>
      <c r="B54" s="9" t="n">
        <f aca="false">MIN(1,MAX(0, SLOPE(I54:K54,{2018,2020,2022})*2024 + INTERCEPT(I54:K54,{2018,2020,2022})))</f>
        <v>0.307346782759481</v>
      </c>
      <c r="C54" s="9" t="n">
        <f aca="false">'House Vote Data'!G205</f>
        <v>0.343214756258235</v>
      </c>
      <c r="D54" s="17" t="n">
        <f aca="false">(B54-C54)*100</f>
        <v>-3.58679734987534</v>
      </c>
      <c r="E54" s="9" t="n">
        <f aca="false">K54</f>
        <v>0.341726618705036</v>
      </c>
      <c r="F54" s="17" t="n">
        <f aca="false">(E54-C54)*100</f>
        <v>-0.148813755319854</v>
      </c>
      <c r="G54" s="18" t="b">
        <f aca="false">IF(B54&gt;0.5,"D","R")=IF(C54&gt;0.5,"D","R")</f>
        <v>1</v>
      </c>
      <c r="H54" s="18" t="b">
        <f aca="false">IF(E54&gt;0.5,"D","R")=IF(C54&gt;0.5,"D","R")</f>
        <v>1</v>
      </c>
      <c r="I54" s="9" t="n">
        <f aca="false">'House Vote Data'!G202</f>
        <v>0.416004239533651</v>
      </c>
      <c r="J54" s="9" t="n">
        <f aca="false">'House Vote Data'!G203</f>
        <v>0.387142352525609</v>
      </c>
      <c r="K54" s="9" t="n">
        <f aca="false">'House Vote Data'!G204</f>
        <v>0.341726618705036</v>
      </c>
      <c r="M54" s="8" t="n">
        <f aca="false">ABS(D54)</f>
        <v>3.58679734987534</v>
      </c>
      <c r="N54" s="8" t="n">
        <f aca="false">ABS(F54)</f>
        <v>0.148813755319854</v>
      </c>
      <c r="O54" s="16" t="n">
        <f aca="false">SLOPE(I54:K54,$W$4:$Y$4)</f>
        <v>0.00204557884411835</v>
      </c>
      <c r="P54" s="9" t="n">
        <f aca="false">MIN(1,MAX(0,K54+O54*($Z$4-$Y$4)))</f>
        <v>0.345437714561078</v>
      </c>
      <c r="Q54" s="17" t="n">
        <f aca="false">(P54-C54)*100</f>
        <v>0.222295830284364</v>
      </c>
      <c r="R54" s="18" t="b">
        <f aca="false">IF(P54&gt;0.5,"D","R")=IF(C54&gt;0.5,"D","R")</f>
        <v>1</v>
      </c>
      <c r="S54" s="8" t="n">
        <f aca="false">ABS(Q54)</f>
        <v>0.222295830284364</v>
      </c>
      <c r="U54" s="9" t="n">
        <f aca="false">MIN(1,MAX(0,(9.05022494236107+0.113115349224159*'Registration &amp; ACS Data'!D205*100+11.7889818160387*'Registration &amp; ACS Data'!E205+(-6.22406681530858)*1+0.775169323879817*(K54*100))/100))</f>
        <v>0.302668848408989</v>
      </c>
      <c r="V54" s="17" t="n">
        <f aca="false">(U54-C54)*100</f>
        <v>-4.05459078492451</v>
      </c>
      <c r="W54" s="18" t="b">
        <f aca="false">IF(U54&gt;0.5,"D","R")=IF(C54&gt;0.5,"D","R")</f>
        <v>1</v>
      </c>
      <c r="X54" s="8" t="n">
        <f aca="false">ABS(V54)</f>
        <v>4.05459078492451</v>
      </c>
    </row>
    <row r="55" customFormat="false" ht="15" hidden="false" customHeight="true" outlineLevel="0" collapsed="false">
      <c r="A55" s="8" t="s">
        <v>110</v>
      </c>
      <c r="B55" s="9" t="n">
        <f aca="false">MIN(1,MAX(0, SLOPE(I55:K55,{2018,2020,2022})*2024 + INTERCEPT(I55:K55,{2018,2020,2022})))</f>
        <v>0.45838073049484</v>
      </c>
      <c r="C55" s="9" t="n">
        <f aca="false">'House Vote Data'!G209</f>
        <v>0.428166619438935</v>
      </c>
      <c r="D55" s="17" t="n">
        <f aca="false">(B55-C55)*100</f>
        <v>3.02141110559052</v>
      </c>
      <c r="E55" s="9" t="n">
        <f aca="false">K55</f>
        <v>0.451538461538462</v>
      </c>
      <c r="F55" s="17" t="n">
        <f aca="false">(E55-C55)*100</f>
        <v>2.3371842099527</v>
      </c>
      <c r="G55" s="18" t="b">
        <f aca="false">IF(B55&gt;0.5,"D","R")=IF(C55&gt;0.5,"D","R")</f>
        <v>1</v>
      </c>
      <c r="H55" s="18" t="b">
        <f aca="false">IF(E55&gt;0.5,"D","R")=IF(C55&gt;0.5,"D","R")</f>
        <v>1</v>
      </c>
      <c r="I55" s="9" t="n">
        <f aca="false">'House Vote Data'!G206</f>
        <v>0.431558935361217</v>
      </c>
      <c r="J55" s="9" t="n">
        <f aca="false">'House Vote Data'!G207</f>
        <v>0.432106216053108</v>
      </c>
      <c r="K55" s="9" t="n">
        <f aca="false">'House Vote Data'!G208</f>
        <v>0.451538461538462</v>
      </c>
      <c r="M55" s="8" t="n">
        <f aca="false">ABS(D55)</f>
        <v>3.02141110559052</v>
      </c>
      <c r="N55" s="8" t="n">
        <f aca="false">ABS(F55)</f>
        <v>2.3371842099527</v>
      </c>
      <c r="O55" s="16" t="n">
        <f aca="false">SLOPE(I55:K55,$W$4:$Y$4)</f>
        <v>-0.00171280022611605</v>
      </c>
      <c r="P55" s="9" t="n">
        <f aca="false">MIN(1,MAX(0,K55+O55*($Z$4-$Y$4)))</f>
        <v>0.44843109374394</v>
      </c>
      <c r="Q55" s="17" t="n">
        <f aca="false">(P55-C55)*100</f>
        <v>2.02644743050058</v>
      </c>
      <c r="R55" s="18" t="b">
        <f aca="false">IF(P55&gt;0.5,"D","R")=IF(C55&gt;0.5,"D","R")</f>
        <v>1</v>
      </c>
      <c r="S55" s="8" t="n">
        <f aca="false">ABS(Q55)</f>
        <v>2.02644743050058</v>
      </c>
      <c r="U55" s="9" t="n">
        <f aca="false">MIN(1,MAX(0,(9.05022494236107+0.113115349224159*'Registration &amp; ACS Data'!D209*100+11.7889818160387*'Registration &amp; ACS Data'!E209+(-6.22406681530858)*1+0.775169323879817*(K55*100))/100))</f>
        <v>0.405403680246374</v>
      </c>
      <c r="V55" s="17" t="n">
        <f aca="false">(U55-C55)*100</f>
        <v>-2.27629391925603</v>
      </c>
      <c r="W55" s="18" t="b">
        <f aca="false">IF(U55&gt;0.5,"D","R")=IF(C55&gt;0.5,"D","R")</f>
        <v>1</v>
      </c>
      <c r="X55" s="8" t="n">
        <f aca="false">ABS(V55)</f>
        <v>2.27629391925603</v>
      </c>
    </row>
    <row r="56" customFormat="false" ht="15" hidden="false" customHeight="true" outlineLevel="0" collapsed="false">
      <c r="A56" s="8" t="s">
        <v>112</v>
      </c>
      <c r="B56" s="9" t="n">
        <f aca="false">MIN(1,MAX(0, SLOPE(I56:K56,{2018,2020,2022})*2024 + INTERCEPT(I56:K56,{2018,2020,2022})))</f>
        <v>0.410480456825226</v>
      </c>
      <c r="C56" s="9" t="n">
        <f aca="false">'House Vote Data'!G213</f>
        <v>0.412828239345674</v>
      </c>
      <c r="D56" s="17" t="n">
        <f aca="false">(B56-C56)*100</f>
        <v>-0.234778252044743</v>
      </c>
      <c r="E56" s="9" t="n">
        <f aca="false">K56</f>
        <v>0.43995171997586</v>
      </c>
      <c r="F56" s="17" t="n">
        <f aca="false">(E56-C56)*100</f>
        <v>2.71234806301863</v>
      </c>
      <c r="G56" s="18" t="b">
        <f aca="false">IF(B56&gt;0.5,"D","R")=IF(C56&gt;0.5,"D","R")</f>
        <v>1</v>
      </c>
      <c r="H56" s="18" t="b">
        <f aca="false">IF(E56&gt;0.5,"D","R")=IF(C56&gt;0.5,"D","R")</f>
        <v>1</v>
      </c>
      <c r="I56" s="9" t="n">
        <f aca="false">'House Vote Data'!G210</f>
        <v>0.473328831870358</v>
      </c>
      <c r="J56" s="9" t="n">
        <f aca="false">'House Vote Data'!G211</f>
        <v>0.418292154312961</v>
      </c>
      <c r="K56" s="9" t="n">
        <f aca="false">'House Vote Data'!G212</f>
        <v>0.43995171997586</v>
      </c>
      <c r="M56" s="8" t="n">
        <f aca="false">ABS(D56)</f>
        <v>0.234778252044743</v>
      </c>
      <c r="N56" s="8" t="n">
        <f aca="false">ABS(F56)</f>
        <v>2.71234806301863</v>
      </c>
      <c r="O56" s="16" t="n">
        <f aca="false">SLOPE(I56:K56,$W$4:$Y$4)</f>
        <v>-0.00585818418777678</v>
      </c>
      <c r="P56" s="9" t="n">
        <f aca="false">MIN(1,MAX(0,K56+O56*($Z$4-$Y$4)))</f>
        <v>0.429323782985946</v>
      </c>
      <c r="Q56" s="17" t="n">
        <f aca="false">(P56-C56)*100</f>
        <v>1.64955436402727</v>
      </c>
      <c r="R56" s="18" t="b">
        <f aca="false">IF(P56&gt;0.5,"D","R")=IF(C56&gt;0.5,"D","R")</f>
        <v>1</v>
      </c>
      <c r="S56" s="8" t="n">
        <f aca="false">ABS(Q56)</f>
        <v>1.64955436402727</v>
      </c>
      <c r="U56" s="9" t="n">
        <f aca="false">MIN(1,MAX(0,(9.05022494236107+0.113115349224159*'Registration &amp; ACS Data'!D213*100+11.7889818160387*'Registration &amp; ACS Data'!E213+(-6.22406681530858)*1+0.775169323879817*(K56*100))/100))</f>
        <v>0.385011289559069</v>
      </c>
      <c r="V56" s="17" t="n">
        <f aca="false">(U56-C56)*100</f>
        <v>-2.78169497866052</v>
      </c>
      <c r="W56" s="18" t="b">
        <f aca="false">IF(U56&gt;0.5,"D","R")=IF(C56&gt;0.5,"D","R")</f>
        <v>1</v>
      </c>
      <c r="X56" s="8" t="n">
        <f aca="false">ABS(V56)</f>
        <v>2.78169497866052</v>
      </c>
    </row>
    <row r="57" customFormat="false" ht="15" hidden="false" customHeight="true" outlineLevel="0" collapsed="false">
      <c r="A57" s="8" t="s">
        <v>113</v>
      </c>
      <c r="B57" s="9" t="n">
        <f aca="false">MIN(1,MAX(0, SLOPE(I57:K57,{2018,2020,2022})*2024 + INTERCEPT(I57:K57,{2018,2020,2022})))</f>
        <v>0.4516923642858</v>
      </c>
      <c r="C57" s="9" t="n">
        <f aca="false">'House Vote Data'!G217</f>
        <v>0.46182357301705</v>
      </c>
      <c r="D57" s="17" t="n">
        <f aca="false">(B57-C57)*100</f>
        <v>-1.01312087312495</v>
      </c>
      <c r="E57" s="9" t="n">
        <f aca="false">K57</f>
        <v>0.462264150943396</v>
      </c>
      <c r="F57" s="17" t="n">
        <f aca="false">(E57-C57)*100</f>
        <v>0.0440577926346553</v>
      </c>
      <c r="G57" s="18" t="b">
        <f aca="false">IF(B57&gt;0.5,"D","R")=IF(C57&gt;0.5,"D","R")</f>
        <v>1</v>
      </c>
      <c r="H57" s="18" t="b">
        <f aca="false">IF(E57&gt;0.5,"D","R")=IF(C57&gt;0.5,"D","R")</f>
        <v>1</v>
      </c>
      <c r="I57" s="9" t="n">
        <f aca="false">'House Vote Data'!G214</f>
        <v>0.474226804123711</v>
      </c>
      <c r="J57" s="9" t="n">
        <f aca="false">'House Vote Data'!G215</f>
        <v>0.45447409733124</v>
      </c>
      <c r="K57" s="9" t="n">
        <f aca="false">'House Vote Data'!G216</f>
        <v>0.462264150943396</v>
      </c>
      <c r="M57" s="8" t="n">
        <f aca="false">ABS(D57)</f>
        <v>1.01312087312495</v>
      </c>
      <c r="N57" s="8" t="n">
        <f aca="false">ABS(F57)</f>
        <v>0.0440577926346553</v>
      </c>
      <c r="O57" s="16" t="n">
        <f aca="false">SLOPE(I57:K57,$W$4:$Y$4)</f>
        <v>-0.0021039868813736</v>
      </c>
      <c r="P57" s="9" t="n">
        <f aca="false">MIN(1,MAX(0,K57+O57*($Z$4-$Y$4)))</f>
        <v>0.458447091034372</v>
      </c>
      <c r="Q57" s="17" t="n">
        <f aca="false">(P57-C57)*100</f>
        <v>-0.337648198267787</v>
      </c>
      <c r="R57" s="18" t="b">
        <f aca="false">IF(P57&gt;0.5,"D","R")=IF(C57&gt;0.5,"D","R")</f>
        <v>1</v>
      </c>
      <c r="S57" s="8" t="n">
        <f aca="false">ABS(Q57)</f>
        <v>0.337648198267787</v>
      </c>
      <c r="U57" s="9" t="n">
        <f aca="false">MIN(1,MAX(0,(9.05022494236107+0.113115349224159*'Registration &amp; ACS Data'!D217*100+11.7889818160387*'Registration &amp; ACS Data'!E217+(-6.22406681530858)*1+0.775169323879817*(K57*100))/100))</f>
        <v>0.412141922533213</v>
      </c>
      <c r="V57" s="17" t="n">
        <f aca="false">(U57-C57)*100</f>
        <v>-4.96816504838364</v>
      </c>
      <c r="W57" s="18" t="b">
        <f aca="false">IF(U57&gt;0.5,"D","R")=IF(C57&gt;0.5,"D","R")</f>
        <v>1</v>
      </c>
      <c r="X57" s="8" t="n">
        <f aca="false">ABS(V57)</f>
        <v>4.96816504838364</v>
      </c>
    </row>
    <row r="58" customFormat="false" ht="15" hidden="false" customHeight="true" outlineLevel="0" collapsed="false">
      <c r="A58" s="8" t="s">
        <v>83</v>
      </c>
      <c r="B58" s="9" t="n">
        <f aca="false">MIN(1,MAX(0, SLOPE(I58:K58,{2018,2020,2022})*2024 + INTERCEPT(I58:K58,{2018,2020,2022})))</f>
        <v>0.66375165649912</v>
      </c>
      <c r="C58" s="9" t="n">
        <f aca="false">'House Vote Data'!G221</f>
        <v>0.668406509057415</v>
      </c>
      <c r="D58" s="17" t="n">
        <f aca="false">(B58-C58)*100</f>
        <v>-0.465485255829534</v>
      </c>
      <c r="E58" s="9" t="n">
        <f aca="false">K58</f>
        <v>0.685420581408202</v>
      </c>
      <c r="F58" s="17" t="n">
        <f aca="false">(E58-C58)*100</f>
        <v>1.70140723507868</v>
      </c>
      <c r="G58" s="18" t="b">
        <f aca="false">IF(B58&gt;0.5,"D","R")=IF(C58&gt;0.5,"D","R")</f>
        <v>1</v>
      </c>
      <c r="H58" s="18" t="b">
        <f aca="false">IF(E58&gt;0.5,"D","R")=IF(C58&gt;0.5,"D","R")</f>
        <v>1</v>
      </c>
      <c r="I58" s="9" t="n">
        <f aca="false">'House Vote Data'!G218</f>
        <v>0.710825709594183</v>
      </c>
      <c r="J58" s="9" t="n">
        <f aca="false">'House Vote Data'!G219</f>
        <v>0.671224063052919</v>
      </c>
      <c r="K58" s="9" t="n">
        <f aca="false">'House Vote Data'!G220</f>
        <v>0.685420581408202</v>
      </c>
      <c r="M58" s="8" t="n">
        <f aca="false">ABS(D58)</f>
        <v>0.465485255829534</v>
      </c>
      <c r="N58" s="8" t="n">
        <f aca="false">ABS(F58)</f>
        <v>1.70140723507868</v>
      </c>
      <c r="O58" s="16" t="n">
        <f aca="false">SLOPE(I58:K58,$W$4:$Y$4)</f>
        <v>-0.00409008523664357</v>
      </c>
      <c r="P58" s="9" t="n">
        <f aca="false">MIN(1,MAX(0,K58+O58*($Z$4-$Y$4)))</f>
        <v>0.678000335341319</v>
      </c>
      <c r="Q58" s="17" t="n">
        <f aca="false">(P58-C58)*100</f>
        <v>0.959382628390437</v>
      </c>
      <c r="R58" s="18" t="b">
        <f aca="false">IF(P58&gt;0.5,"D","R")=IF(C58&gt;0.5,"D","R")</f>
        <v>1</v>
      </c>
      <c r="S58" s="8" t="n">
        <f aca="false">ABS(Q58)</f>
        <v>0.959382628390437</v>
      </c>
      <c r="U58" s="9" t="n">
        <f aca="false">MIN(1,MAX(0,(9.05022494236107+0.113115349224159*'Registration &amp; ACS Data'!D221*100+11.7889818160387*'Registration &amp; ACS Data'!E221+(-6.22406681530858)*1+0.775169323879817*(K58*100))/100))</f>
        <v>0.642213669027668</v>
      </c>
      <c r="V58" s="17" t="n">
        <f aca="false">(U58-C58)*100</f>
        <v>-2.61928400297465</v>
      </c>
      <c r="W58" s="18" t="b">
        <f aca="false">IF(U58&gt;0.5,"D","R")=IF(C58&gt;0.5,"D","R")</f>
        <v>1</v>
      </c>
      <c r="X58" s="8" t="n">
        <f aca="false">ABS(V58)</f>
        <v>2.61928400297465</v>
      </c>
    </row>
    <row r="59" customFormat="false" ht="15" hidden="false" customHeight="true" outlineLevel="0" collapsed="false">
      <c r="A59" s="8" t="s">
        <v>114</v>
      </c>
      <c r="B59" s="9" t="n">
        <f aca="false">MIN(1,MAX(0, SLOPE(I59:K59,{2018,2020,2022})*2024 + INTERCEPT(I59:K59,{2018,2020,2022})))</f>
        <v>0.541138136686504</v>
      </c>
      <c r="C59" s="9" t="n">
        <f aca="false">'House Vote Data'!G225</f>
        <v>0.536014967259121</v>
      </c>
      <c r="D59" s="17" t="n">
        <f aca="false">(B59-C59)*100</f>
        <v>0.512316942738322</v>
      </c>
      <c r="E59" s="9" t="n">
        <f aca="false">K59</f>
        <v>0.545699583435433</v>
      </c>
      <c r="F59" s="17" t="n">
        <f aca="false">(E59-C59)*100</f>
        <v>0.968461617631178</v>
      </c>
      <c r="G59" s="18" t="b">
        <f aca="false">IF(B59&gt;0.5,"D","R")=IF(C59&gt;0.5,"D","R")</f>
        <v>1</v>
      </c>
      <c r="H59" s="18" t="b">
        <f aca="false">IF(E59&gt;0.5,"D","R")=IF(C59&gt;0.5,"D","R")</f>
        <v>1</v>
      </c>
      <c r="I59" s="9" t="n">
        <f aca="false">'House Vote Data'!G222</f>
        <v>0.544053078349107</v>
      </c>
      <c r="J59" s="9" t="n">
        <f aca="false">'House Vote Data'!G223</f>
        <v>0.528722233015996</v>
      </c>
      <c r="K59" s="9" t="n">
        <f aca="false">'House Vote Data'!G224</f>
        <v>0.545699583435433</v>
      </c>
      <c r="M59" s="8" t="n">
        <f aca="false">ABS(D59)</f>
        <v>0.512316942738322</v>
      </c>
      <c r="N59" s="8" t="n">
        <f aca="false">ABS(F59)</f>
        <v>0.968461617631178</v>
      </c>
      <c r="O59" s="16" t="n">
        <f aca="false">SLOPE(I59:K59,$W$4:$Y$4)</f>
        <v>-0.00261833251537069</v>
      </c>
      <c r="P59" s="9" t="n">
        <f aca="false">MIN(1,MAX(0,K59+O59*($Z$4-$Y$4)))</f>
        <v>0.54094939598826</v>
      </c>
      <c r="Q59" s="17" t="n">
        <f aca="false">(P59-C59)*100</f>
        <v>0.49344287291393</v>
      </c>
      <c r="R59" s="18" t="b">
        <f aca="false">IF(P59&gt;0.5,"D","R")=IF(C59&gt;0.5,"D","R")</f>
        <v>1</v>
      </c>
      <c r="S59" s="8" t="n">
        <f aca="false">ABS(Q59)</f>
        <v>0.49344287291393</v>
      </c>
      <c r="U59" s="9" t="n">
        <f aca="false">MIN(1,MAX(0,(9.05022494236107+0.113115349224159*'Registration &amp; ACS Data'!D225*100+11.7889818160387*'Registration &amp; ACS Data'!E225+(-6.22406681530858)*1+0.775169323879817*(K59*100))/100))</f>
        <v>0.533906237497304</v>
      </c>
      <c r="V59" s="17" t="n">
        <f aca="false">(U59-C59)*100</f>
        <v>-0.210872976181697</v>
      </c>
      <c r="W59" s="18" t="b">
        <f aca="false">IF(U59&gt;0.5,"D","R")=IF(C59&gt;0.5,"D","R")</f>
        <v>1</v>
      </c>
      <c r="X59" s="8" t="n">
        <f aca="false">ABS(V59)</f>
        <v>0.210872976181697</v>
      </c>
    </row>
    <row r="60" customFormat="false" ht="15" hidden="false" customHeight="true" outlineLevel="0" collapsed="false">
      <c r="A60" s="8" t="s">
        <v>115</v>
      </c>
      <c r="B60" s="9" t="n">
        <f aca="false">MIN(1,MAX(0, SLOPE(I60:K60,{2018,2020,2022})*2024 + INTERCEPT(I60:K60,{2018,2020,2022})))</f>
        <v>0.389829288597436</v>
      </c>
      <c r="C60" s="9" t="n">
        <f aca="false">'House Vote Data'!G229</f>
        <v>0.385394456289979</v>
      </c>
      <c r="D60" s="17" t="n">
        <f aca="false">(B60-C60)*100</f>
        <v>0.443483230745767</v>
      </c>
      <c r="E60" s="9" t="n">
        <f aca="false">K60</f>
        <v>0.394862468742896</v>
      </c>
      <c r="F60" s="17" t="n">
        <f aca="false">(E60-C60)*100</f>
        <v>0.94680124529174</v>
      </c>
      <c r="G60" s="18" t="b">
        <f aca="false">IF(B60&gt;0.5,"D","R")=IF(C60&gt;0.5,"D","R")</f>
        <v>1</v>
      </c>
      <c r="H60" s="18" t="b">
        <f aca="false">IF(E60&gt;0.5,"D","R")=IF(C60&gt;0.5,"D","R")</f>
        <v>1</v>
      </c>
      <c r="I60" s="9" t="n">
        <f aca="false">'House Vote Data'!G226</f>
        <v>0.389980074010817</v>
      </c>
      <c r="J60" s="9" t="n">
        <f aca="false">'House Vote Data'!G227</f>
        <v>0.36999813884236</v>
      </c>
      <c r="K60" s="9" t="n">
        <f aca="false">'House Vote Data'!G228</f>
        <v>0.394862468742896</v>
      </c>
      <c r="M60" s="8" t="n">
        <f aca="false">ABS(D60)</f>
        <v>0.443483230745767</v>
      </c>
      <c r="N60" s="8" t="n">
        <f aca="false">ABS(F60)</f>
        <v>0.94680124529174</v>
      </c>
      <c r="O60" s="16" t="n">
        <f aca="false">SLOPE(I60:K60,$W$4:$Y$4)</f>
        <v>-0.00365934408684475</v>
      </c>
      <c r="P60" s="9" t="n">
        <f aca="false">MIN(1,MAX(0,K60+O60*($Z$4-$Y$4)))</f>
        <v>0.388223674684398</v>
      </c>
      <c r="Q60" s="17" t="n">
        <f aca="false">(P60-C60)*100</f>
        <v>0.282921839441946</v>
      </c>
      <c r="R60" s="18" t="b">
        <f aca="false">IF(P60&gt;0.5,"D","R")=IF(C60&gt;0.5,"D","R")</f>
        <v>1</v>
      </c>
      <c r="S60" s="8" t="n">
        <f aca="false">ABS(Q60)</f>
        <v>0.282921839441946</v>
      </c>
      <c r="U60" s="9" t="n">
        <f aca="false">MIN(1,MAX(0,(9.05022494236107+0.113115349224159*'Registration &amp; ACS Data'!D229*100+11.7889818160387*'Registration &amp; ACS Data'!E229+(-6.22406681530858)*1+0.775169323879817*(K60*100))/100))</f>
        <v>0.363374070738106</v>
      </c>
      <c r="V60" s="17" t="n">
        <f aca="false">(U60-C60)*100</f>
        <v>-2.20203855518724</v>
      </c>
      <c r="W60" s="18" t="b">
        <f aca="false">IF(U60&gt;0.5,"D","R")=IF(C60&gt;0.5,"D","R")</f>
        <v>1</v>
      </c>
      <c r="X60" s="8" t="n">
        <f aca="false">ABS(V60)</f>
        <v>2.20203855518724</v>
      </c>
    </row>
    <row r="61" customFormat="false" ht="15" hidden="false" customHeight="true" outlineLevel="0" collapsed="false">
      <c r="A61" s="8" t="s">
        <v>116</v>
      </c>
      <c r="B61" s="9" t="n">
        <f aca="false">MIN(1,MAX(0, SLOPE(I61:K61,{2018,2020,2022})*2024 + INTERCEPT(I61:K61,{2018,2020,2022})))</f>
        <v>0.287759343533878</v>
      </c>
      <c r="C61" s="9" t="n">
        <f aca="false">'House Vote Data'!G233</f>
        <v>0.32520325203252</v>
      </c>
      <c r="D61" s="17" t="n">
        <f aca="false">(B61-C61)*100</f>
        <v>-3.74439084986422</v>
      </c>
      <c r="E61" s="9" t="n">
        <f aca="false">K61</f>
        <v>0.36046511627907</v>
      </c>
      <c r="F61" s="17" t="n">
        <f aca="false">(E61-C61)*100</f>
        <v>3.52618642465494</v>
      </c>
      <c r="G61" s="18" t="b">
        <f aca="false">IF(B61&gt;0.5,"D","R")=IF(C61&gt;0.5,"D","R")</f>
        <v>1</v>
      </c>
      <c r="H61" s="18" t="b">
        <f aca="false">IF(E61&gt;0.5,"D","R")=IF(C61&gt;0.5,"D","R")</f>
        <v>1</v>
      </c>
      <c r="I61" s="9" t="n">
        <f aca="false">'House Vote Data'!G230</f>
        <v>0.454545454545455</v>
      </c>
      <c r="J61" s="9" t="n">
        <f aca="false">'House Vote Data'!G231</f>
        <v>0.330508474576271</v>
      </c>
      <c r="K61" s="9" t="n">
        <f aca="false">'House Vote Data'!G232</f>
        <v>0.36046511627907</v>
      </c>
      <c r="M61" s="8" t="n">
        <f aca="false">ABS(D61)</f>
        <v>3.74439084986422</v>
      </c>
      <c r="N61" s="8" t="n">
        <f aca="false">ABS(F61)</f>
        <v>3.52618642465494</v>
      </c>
      <c r="O61" s="16" t="n">
        <f aca="false">SLOPE(I61:K61,$W$4:$Y$4)</f>
        <v>-0.0115028150447208</v>
      </c>
      <c r="P61" s="9" t="n">
        <f aca="false">MIN(1,MAX(0,K61+O61*($Z$4-$Y$4)))</f>
        <v>0.339596671453282</v>
      </c>
      <c r="Q61" s="17" t="n">
        <f aca="false">(P61-C61)*100</f>
        <v>1.43934194207616</v>
      </c>
      <c r="R61" s="18" t="b">
        <f aca="false">IF(P61&gt;0.5,"D","R")=IF(C61&gt;0.5,"D","R")</f>
        <v>1</v>
      </c>
      <c r="S61" s="8" t="n">
        <f aca="false">ABS(Q61)</f>
        <v>1.43934194207616</v>
      </c>
      <c r="U61" s="9" t="n">
        <f aca="false">MIN(1,MAX(0,(9.05022494236107+0.113115349224159*'Registration &amp; ACS Data'!D233*100+11.7889818160387*'Registration &amp; ACS Data'!E233+(-6.22406681530858)*1+0.775169323879817*(K61*100))/100))</f>
        <v>0.306109188802801</v>
      </c>
      <c r="V61" s="17" t="n">
        <f aca="false">(U61-C61)*100</f>
        <v>-1.90940632297198</v>
      </c>
      <c r="W61" s="18" t="b">
        <f aca="false">IF(U61&gt;0.5,"D","R")=IF(C61&gt;0.5,"D","R")</f>
        <v>1</v>
      </c>
      <c r="X61" s="8" t="n">
        <f aca="false">ABS(V61)</f>
        <v>1.90940632297198</v>
      </c>
    </row>
    <row r="62" customFormat="false" ht="15" hidden="false" customHeight="true" outlineLevel="0" collapsed="false">
      <c r="A62" s="8" t="s">
        <v>117</v>
      </c>
      <c r="B62" s="9" t="n">
        <f aca="false">MIN(1,MAX(0, SLOPE(I62:K62,{2018,2020,2022})*2024 + INTERCEPT(I62:K62,{2018,2020,2022})))</f>
        <v>0.441251177406715</v>
      </c>
      <c r="C62" s="9" t="n">
        <f aca="false">'House Vote Data'!G237</f>
        <v>0.431019459773453</v>
      </c>
      <c r="D62" s="17" t="n">
        <f aca="false">(B62-C62)*100</f>
        <v>1.02317176332611</v>
      </c>
      <c r="E62" s="9" t="n">
        <f aca="false">K62</f>
        <v>0.440603893524037</v>
      </c>
      <c r="F62" s="17" t="n">
        <f aca="false">(E62-C62)*100</f>
        <v>0.958443375058315</v>
      </c>
      <c r="G62" s="18" t="b">
        <f aca="false">IF(B62&gt;0.5,"D","R")=IF(C62&gt;0.5,"D","R")</f>
        <v>1</v>
      </c>
      <c r="H62" s="18" t="b">
        <f aca="false">IF(E62&gt;0.5,"D","R")=IF(C62&gt;0.5,"D","R")</f>
        <v>1</v>
      </c>
      <c r="I62" s="9" t="n">
        <f aca="false">'House Vote Data'!G234</f>
        <v>0.421898543445505</v>
      </c>
      <c r="J62" s="9" t="n">
        <f aca="false">'House Vote Data'!G235</f>
        <v>0.405135045015005</v>
      </c>
      <c r="K62" s="9" t="n">
        <f aca="false">'House Vote Data'!G236</f>
        <v>0.440603893524037</v>
      </c>
      <c r="M62" s="8" t="n">
        <f aca="false">ABS(D62)</f>
        <v>1.02317176332611</v>
      </c>
      <c r="N62" s="8" t="n">
        <f aca="false">ABS(F62)</f>
        <v>0.958443375058315</v>
      </c>
      <c r="O62" s="16" t="n">
        <f aca="false">SLOPE(I62:K62,$W$4:$Y$4)</f>
        <v>-0.00438684239600948</v>
      </c>
      <c r="P62" s="9" t="n">
        <f aca="false">MIN(1,MAX(0,K62+O62*($Z$4-$Y$4)))</f>
        <v>0.432645269644175</v>
      </c>
      <c r="Q62" s="17" t="n">
        <f aca="false">(P62-C62)*100</f>
        <v>0.162580987072114</v>
      </c>
      <c r="R62" s="18" t="b">
        <f aca="false">IF(P62&gt;0.5,"D","R")=IF(C62&gt;0.5,"D","R")</f>
        <v>1</v>
      </c>
      <c r="S62" s="8" t="n">
        <f aca="false">ABS(Q62)</f>
        <v>0.162580987072114</v>
      </c>
      <c r="U62" s="9" t="n">
        <f aca="false">MIN(1,MAX(0,(9.05022494236107+0.113115349224159*'Registration &amp; ACS Data'!D237*100+11.7889818160387*'Registration &amp; ACS Data'!E237+(-6.22406681530858)*1+0.775169323879817*(K62*100))/100))</f>
        <v>0.392911943654257</v>
      </c>
      <c r="V62" s="17" t="n">
        <f aca="false">(U62-C62)*100</f>
        <v>-3.81075161191964</v>
      </c>
      <c r="W62" s="18" t="b">
        <f aca="false">IF(U62&gt;0.5,"D","R")=IF(C62&gt;0.5,"D","R")</f>
        <v>1</v>
      </c>
      <c r="X62" s="8" t="n">
        <f aca="false">ABS(V62)</f>
        <v>3.81075161191964</v>
      </c>
    </row>
    <row r="63" customFormat="false" ht="15" hidden="false" customHeight="true" outlineLevel="0" collapsed="false">
      <c r="A63" s="8" t="s">
        <v>118</v>
      </c>
      <c r="B63" s="9" t="n">
        <f aca="false">MIN(1,MAX(0, SLOPE(I63:K63,{2018,2020,2022})*2024 + INTERCEPT(I63:K63,{2018,2020,2022})))</f>
        <v>0.371268704602038</v>
      </c>
      <c r="C63" s="9" t="n">
        <f aca="false">'House Vote Data'!G241</f>
        <v>0.41254752851711</v>
      </c>
      <c r="D63" s="17" t="n">
        <f aca="false">(B63-C63)*100</f>
        <v>-4.12788239150723</v>
      </c>
      <c r="E63" s="9" t="n">
        <f aca="false">K63</f>
        <v>0.39031339031339</v>
      </c>
      <c r="F63" s="17" t="n">
        <f aca="false">(E63-C63)*100</f>
        <v>-2.22341382037199</v>
      </c>
      <c r="G63" s="18" t="b">
        <f aca="false">IF(B63&gt;0.5,"D","R")=IF(C63&gt;0.5,"D","R")</f>
        <v>1</v>
      </c>
      <c r="H63" s="18" t="b">
        <f aca="false">IF(E63&gt;0.5,"D","R")=IF(C63&gt;0.5,"D","R")</f>
        <v>1</v>
      </c>
      <c r="I63" s="9" t="n">
        <f aca="false">'House Vote Data'!G238</f>
        <v>0.39039039039039</v>
      </c>
      <c r="J63" s="9" t="n">
        <f aca="false">'House Vote Data'!G239</f>
        <v>0.333333333333333</v>
      </c>
      <c r="K63" s="9" t="n">
        <f aca="false">'House Vote Data'!G240</f>
        <v>0.39031339031339</v>
      </c>
      <c r="M63" s="8" t="n">
        <f aca="false">ABS(D63)</f>
        <v>4.12788239150723</v>
      </c>
      <c r="N63" s="8" t="n">
        <f aca="false">ABS(F63)</f>
        <v>2.22341382037199</v>
      </c>
      <c r="O63" s="16" t="n">
        <f aca="false">SLOPE(I63:K63,$W$4:$Y$4)</f>
        <v>-0.00918538268322629</v>
      </c>
      <c r="P63" s="9" t="n">
        <f aca="false">MIN(1,MAX(0,K63+O63*($Z$4-$Y$4)))</f>
        <v>0.373649238887551</v>
      </c>
      <c r="Q63" s="17" t="n">
        <f aca="false">(P63-C63)*100</f>
        <v>-3.88982896295597</v>
      </c>
      <c r="R63" s="18" t="b">
        <f aca="false">IF(P63&gt;0.5,"D","R")=IF(C63&gt;0.5,"D","R")</f>
        <v>1</v>
      </c>
      <c r="S63" s="8" t="n">
        <f aca="false">ABS(Q63)</f>
        <v>3.88982896295597</v>
      </c>
      <c r="U63" s="9" t="n">
        <f aca="false">MIN(1,MAX(0,(9.05022494236107+0.113115349224159*'Registration &amp; ACS Data'!D241*100+11.7889818160387*'Registration &amp; ACS Data'!E241+(-6.22406681530858)*1+0.775169323879817*(K63*100))/100))</f>
        <v>0.33169258142067</v>
      </c>
      <c r="V63" s="17" t="n">
        <f aca="false">(U63-C63)*100</f>
        <v>-8.08549470964403</v>
      </c>
      <c r="W63" s="18" t="b">
        <f aca="false">IF(U63&gt;0.5,"D","R")=IF(C63&gt;0.5,"D","R")</f>
        <v>1</v>
      </c>
      <c r="X63" s="8" t="n">
        <f aca="false">ABS(V63)</f>
        <v>8.08549470964403</v>
      </c>
    </row>
    <row r="64" customFormat="false" ht="15" hidden="false" customHeight="true" outlineLevel="0" collapsed="false">
      <c r="A64" s="8" t="s">
        <v>119</v>
      </c>
      <c r="B64" s="9" t="n">
        <f aca="false">MIN(1,MAX(0, SLOPE(I64:K64,{2018,2020,2022})*2024 + INTERCEPT(I64:K64,{2018,2020,2022})))</f>
        <v>0.706960772703985</v>
      </c>
      <c r="C64" s="9" t="n">
        <f aca="false">'House Vote Data'!G245</f>
        <v>0.697166957000092</v>
      </c>
      <c r="D64" s="17" t="n">
        <f aca="false">(B64-C64)*100</f>
        <v>0.979381570389315</v>
      </c>
      <c r="E64" s="9" t="n">
        <f aca="false">K64</f>
        <v>0.734526998449175</v>
      </c>
      <c r="F64" s="17" t="n">
        <f aca="false">(E64-C64)*100</f>
        <v>3.73600414490836</v>
      </c>
      <c r="G64" s="18" t="b">
        <f aca="false">IF(B64&gt;0.5,"D","R")=IF(C64&gt;0.5,"D","R")</f>
        <v>1</v>
      </c>
      <c r="H64" s="18" t="b">
        <f aca="false">IF(E64&gt;0.5,"D","R")=IF(C64&gt;0.5,"D","R")</f>
        <v>1</v>
      </c>
      <c r="I64" s="9" t="n">
        <f aca="false">'House Vote Data'!G242</f>
        <v>0.761668172237278</v>
      </c>
      <c r="J64" s="9" t="n">
        <f aca="false">'House Vote Data'!G243</f>
        <v>0.706110668789809</v>
      </c>
      <c r="K64" s="9" t="n">
        <f aca="false">'House Vote Data'!G244</f>
        <v>0.734526998449175</v>
      </c>
      <c r="M64" s="8" t="n">
        <f aca="false">ABS(D64)</f>
        <v>0.979381570389315</v>
      </c>
      <c r="N64" s="8" t="n">
        <f aca="false">ABS(F64)</f>
        <v>3.73600414490836</v>
      </c>
      <c r="O64" s="16" t="n">
        <f aca="false">SLOPE(I64:K64,$W$4:$Y$4)</f>
        <v>-0.00650420588205432</v>
      </c>
      <c r="P64" s="9" t="n">
        <f aca="false">MIN(1,MAX(0,K64+O64*($Z$4-$Y$4)))</f>
        <v>0.72272704678017</v>
      </c>
      <c r="Q64" s="17" t="n">
        <f aca="false">(P64-C64)*100</f>
        <v>2.5560089780078</v>
      </c>
      <c r="R64" s="18" t="b">
        <f aca="false">IF(P64&gt;0.5,"D","R")=IF(C64&gt;0.5,"D","R")</f>
        <v>1</v>
      </c>
      <c r="S64" s="8" t="n">
        <f aca="false">ABS(Q64)</f>
        <v>2.5560089780078</v>
      </c>
      <c r="U64" s="9" t="n">
        <f aca="false">MIN(1,MAX(0,(9.05022494236107+0.113115349224159*'Registration &amp; ACS Data'!D245*100+11.7889818160387*'Registration &amp; ACS Data'!E245+(-6.22406681530858)*1+0.775169323879817*(K64*100))/100))</f>
        <v>0.674169001961286</v>
      </c>
      <c r="V64" s="17" t="n">
        <f aca="false">(U64-C64)*100</f>
        <v>-2.29979550388062</v>
      </c>
      <c r="W64" s="18" t="b">
        <f aca="false">IF(U64&gt;0.5,"D","R")=IF(C64&gt;0.5,"D","R")</f>
        <v>1</v>
      </c>
      <c r="X64" s="8" t="n">
        <f aca="false">ABS(V64)</f>
        <v>2.29979550388062</v>
      </c>
    </row>
    <row r="65" customFormat="false" ht="15" hidden="false" customHeight="true" outlineLevel="0" collapsed="false">
      <c r="A65" s="8" t="s">
        <v>120</v>
      </c>
      <c r="B65" s="9" t="n">
        <f aca="false">MIN(1,MAX(0, SLOPE(I65:K65,{2018,2020,2022})*2024 + INTERCEPT(I65:K65,{2018,2020,2022})))</f>
        <v>0.507589769741697</v>
      </c>
      <c r="C65" s="9" t="n">
        <f aca="false">'House Vote Data'!G249</f>
        <v>0.515936446798267</v>
      </c>
      <c r="D65" s="17" t="n">
        <f aca="false">(B65-C65)*100</f>
        <v>-0.834667705656944</v>
      </c>
      <c r="E65" s="9" t="n">
        <f aca="false">K65</f>
        <v>0.52367758186398</v>
      </c>
      <c r="F65" s="17" t="n">
        <f aca="false">(E65-C65)*100</f>
        <v>0.774113506571306</v>
      </c>
      <c r="G65" s="18" t="b">
        <f aca="false">IF(B65&gt;0.5,"D","R")=IF(C65&gt;0.5,"D","R")</f>
        <v>1</v>
      </c>
      <c r="H65" s="18" t="b">
        <f aca="false">IF(E65&gt;0.5,"D","R")=IF(C65&gt;0.5,"D","R")</f>
        <v>1</v>
      </c>
      <c r="I65" s="9" t="n">
        <f aca="false">'House Vote Data'!G246</f>
        <v>0.541628684290489</v>
      </c>
      <c r="J65" s="9" t="n">
        <f aca="false">'House Vote Data'!G247</f>
        <v>0.511316350350147</v>
      </c>
      <c r="K65" s="9" t="n">
        <f aca="false">'House Vote Data'!G248</f>
        <v>0.52367758186398</v>
      </c>
      <c r="M65" s="8" t="n">
        <f aca="false">ABS(D65)</f>
        <v>0.834667705656944</v>
      </c>
      <c r="N65" s="8" t="n">
        <f aca="false">ABS(F65)</f>
        <v>0.774113506571306</v>
      </c>
      <c r="O65" s="16" t="n">
        <f aca="false">SLOPE(I65:K65,$W$4:$Y$4)</f>
        <v>-0.00326541885028811</v>
      </c>
      <c r="P65" s="9" t="n">
        <f aca="false">MIN(1,MAX(0,K65+O65*($Z$4-$Y$4)))</f>
        <v>0.517753448263171</v>
      </c>
      <c r="Q65" s="17" t="n">
        <f aca="false">(P65-C65)*100</f>
        <v>0.181700146490371</v>
      </c>
      <c r="R65" s="18" t="b">
        <f aca="false">IF(P65&gt;0.5,"D","R")=IF(C65&gt;0.5,"D","R")</f>
        <v>1</v>
      </c>
      <c r="S65" s="8" t="n">
        <f aca="false">ABS(Q65)</f>
        <v>0.181700146490371</v>
      </c>
      <c r="U65" s="9" t="n">
        <f aca="false">MIN(1,MAX(0,(9.05022494236107+0.113115349224159*'Registration &amp; ACS Data'!D249*100+11.7889818160387*'Registration &amp; ACS Data'!E249+(-6.22406681530858)*1+0.775169323879817*(K65*100))/100))</f>
        <v>0.488849538817183</v>
      </c>
      <c r="V65" s="17" t="n">
        <f aca="false">(U65-C65)*100</f>
        <v>-2.70869079810839</v>
      </c>
      <c r="W65" s="18" t="b">
        <f aca="false">IF(U65&gt;0.5,"D","R")=IF(C65&gt;0.5,"D","R")</f>
        <v>0</v>
      </c>
      <c r="X65" s="8" t="n">
        <f aca="false">ABS(V65)</f>
        <v>2.70869079810839</v>
      </c>
    </row>
    <row r="66" customFormat="false" ht="15" hidden="false" customHeight="true" outlineLevel="0" collapsed="false">
      <c r="A66" s="8" t="s">
        <v>121</v>
      </c>
      <c r="B66" s="9" t="n">
        <f aca="false">MIN(1,MAX(0, SLOPE(I66:K66,{2018,2020,2022})*2024 + INTERCEPT(I66:K66,{2018,2020,2022})))</f>
        <v>0.556814734386933</v>
      </c>
      <c r="C66" s="9" t="n">
        <f aca="false">'House Vote Data'!G253</f>
        <v>0.595993322203673</v>
      </c>
      <c r="D66" s="17" t="n">
        <f aca="false">(B66-C66)*100</f>
        <v>-3.917858781674</v>
      </c>
      <c r="E66" s="9" t="n">
        <f aca="false">K66</f>
        <v>0.592592592592593</v>
      </c>
      <c r="F66" s="17" t="n">
        <f aca="false">(E66-C66)*100</f>
        <v>-0.340072961108018</v>
      </c>
      <c r="G66" s="18" t="b">
        <f aca="false">IF(B66&gt;0.5,"D","R")=IF(C66&gt;0.5,"D","R")</f>
        <v>1</v>
      </c>
      <c r="H66" s="18" t="b">
        <f aca="false">IF(E66&gt;0.5,"D","R")=IF(C66&gt;0.5,"D","R")</f>
        <v>1</v>
      </c>
      <c r="I66" s="9" t="n">
        <f aca="false">'House Vote Data'!G250</f>
        <v>0.662666666666667</v>
      </c>
      <c r="J66" s="9" t="n">
        <f aca="false">'House Vote Data'!G251</f>
        <v>0.625407166123778</v>
      </c>
      <c r="K66" s="9" t="n">
        <f aca="false">'House Vote Data'!G252</f>
        <v>0.592592592592593</v>
      </c>
      <c r="M66" s="8" t="n">
        <f aca="false">ABS(D66)</f>
        <v>3.917858781674</v>
      </c>
      <c r="N66" s="8" t="n">
        <f aca="false">ABS(F66)</f>
        <v>0.340072961108018</v>
      </c>
      <c r="O66" s="16" t="n">
        <f aca="false">SLOPE(I66:K66,$W$4:$Y$4)</f>
        <v>0.000313748536517694</v>
      </c>
      <c r="P66" s="9" t="n">
        <f aca="false">MIN(1,MAX(0,K66+O66*($Z$4-$Y$4)))</f>
        <v>0.593161796217795</v>
      </c>
      <c r="Q66" s="17" t="n">
        <f aca="false">(P66-C66)*100</f>
        <v>-0.283152598587744</v>
      </c>
      <c r="R66" s="18" t="b">
        <f aca="false">IF(P66&gt;0.5,"D","R")=IF(C66&gt;0.5,"D","R")</f>
        <v>1</v>
      </c>
      <c r="S66" s="8" t="n">
        <f aca="false">ABS(Q66)</f>
        <v>0.283152598587744</v>
      </c>
      <c r="U66" s="9" t="n">
        <f aca="false">MIN(1,MAX(0,(9.05022494236107+0.113115349224159*'Registration &amp; ACS Data'!D253*100+11.7889818160387*'Registration &amp; ACS Data'!E253+(-6.22406681530858)*1+0.775169323879817*(K66*100))/100))</f>
        <v>0.543174354914787</v>
      </c>
      <c r="V66" s="17" t="n">
        <f aca="false">(U66-C66)*100</f>
        <v>-5.28189672888856</v>
      </c>
      <c r="W66" s="18" t="b">
        <f aca="false">IF(U66&gt;0.5,"D","R")=IF(C66&gt;0.5,"D","R")</f>
        <v>1</v>
      </c>
      <c r="X66" s="8" t="n">
        <f aca="false">ABS(V66)</f>
        <v>5.28189672888856</v>
      </c>
    </row>
    <row r="67" customFormat="false" ht="15" hidden="false" customHeight="true" outlineLevel="0" collapsed="false">
      <c r="A67" s="8" t="s">
        <v>122</v>
      </c>
      <c r="B67" s="9" t="n">
        <f aca="false">MIN(1,MAX(0, SLOPE(I67:K67,{2018,2020,2022})*2024 + INTERCEPT(I67:K67,{2018,2020,2022})))</f>
        <v>0.415914485460362</v>
      </c>
      <c r="C67" s="9" t="n">
        <f aca="false">'House Vote Data'!G257</f>
        <v>0.529126213592233</v>
      </c>
      <c r="D67" s="17" t="n">
        <f aca="false">(B67-C67)*100</f>
        <v>-11.3211728131871</v>
      </c>
      <c r="E67" s="9" t="n">
        <f aca="false">K67</f>
        <v>0.51063829787234</v>
      </c>
      <c r="F67" s="17" t="n">
        <f aca="false">(E67-C67)*100</f>
        <v>-1.84879157198926</v>
      </c>
      <c r="G67" s="18" t="b">
        <f aca="false">IF(B67&gt;0.5,"D","R")=IF(C67&gt;0.5,"D","R")</f>
        <v>0</v>
      </c>
      <c r="H67" s="18" t="b">
        <f aca="false">IF(E67&gt;0.5,"D","R")=IF(C67&gt;0.5,"D","R")</f>
        <v>1</v>
      </c>
      <c r="I67" s="9" t="n">
        <f aca="false">'House Vote Data'!G254</f>
        <v>0.648648648648649</v>
      </c>
      <c r="J67" s="9" t="n">
        <f aca="false">'House Vote Data'!G255</f>
        <v>0.502487562189055</v>
      </c>
      <c r="K67" s="9" t="n">
        <f aca="false">'House Vote Data'!G256</f>
        <v>0.51063829787234</v>
      </c>
      <c r="M67" s="8" t="n">
        <f aca="false">ABS(D67)</f>
        <v>11.3211728131871</v>
      </c>
      <c r="N67" s="8" t="n">
        <f aca="false">ABS(F67)</f>
        <v>1.84879157198926</v>
      </c>
      <c r="O67" s="16" t="n">
        <f aca="false">SLOPE(I67:K67,$W$4:$Y$4)</f>
        <v>-0.0111072877133424</v>
      </c>
      <c r="P67" s="9" t="n">
        <f aca="false">MIN(1,MAX(0,K67+O67*($Z$4-$Y$4)))</f>
        <v>0.490487420029928</v>
      </c>
      <c r="Q67" s="17" t="n">
        <f aca="false">(P67-C67)*100</f>
        <v>-3.86387935623054</v>
      </c>
      <c r="R67" s="18" t="b">
        <f aca="false">IF(P67&gt;0.5,"D","R")=IF(C67&gt;0.5,"D","R")</f>
        <v>0</v>
      </c>
      <c r="S67" s="8" t="n">
        <f aca="false">ABS(Q67)</f>
        <v>3.86387935623054</v>
      </c>
      <c r="U67" s="9" t="n">
        <f aca="false">MIN(1,MAX(0,(9.05022494236107+0.113115349224159*'Registration &amp; ACS Data'!D257*100+11.7889818160387*'Registration &amp; ACS Data'!E257+(-6.22406681530858)*1+0.775169323879817*(K67*100))/100))</f>
        <v>0.453029858014997</v>
      </c>
      <c r="V67" s="17" t="n">
        <f aca="false">(U67-C67)*100</f>
        <v>-7.60963555772356</v>
      </c>
      <c r="W67" s="18" t="b">
        <f aca="false">IF(U67&gt;0.5,"D","R")=IF(C67&gt;0.5,"D","R")</f>
        <v>0</v>
      </c>
      <c r="X67" s="8" t="n">
        <f aca="false">ABS(V67)</f>
        <v>7.60963555772356</v>
      </c>
    </row>
    <row r="68" customFormat="false" ht="15" hidden="false" customHeight="true" outlineLevel="0" collapsed="false">
      <c r="A68" s="8" t="s">
        <v>89</v>
      </c>
      <c r="B68" s="9" t="n">
        <f aca="false">MIN(1,MAX(0, SLOPE(I68:K68,{2018,2020,2022})*2024 + INTERCEPT(I68:K68,{2018,2020,2022})))</f>
        <v>0.554949976746472</v>
      </c>
      <c r="C68" s="9" t="n">
        <f aca="false">'House Vote Data'!G261</f>
        <v>0.545283255872378</v>
      </c>
      <c r="D68" s="17" t="n">
        <f aca="false">(B68-C68)*100</f>
        <v>0.966672087409404</v>
      </c>
      <c r="E68" s="9" t="n">
        <f aca="false">K68</f>
        <v>0.553231055323106</v>
      </c>
      <c r="F68" s="17" t="n">
        <f aca="false">(E68-C68)*100</f>
        <v>0.794779945072777</v>
      </c>
      <c r="G68" s="18" t="b">
        <f aca="false">IF(B68&gt;0.5,"D","R")=IF(C68&gt;0.5,"D","R")</f>
        <v>1</v>
      </c>
      <c r="H68" s="18" t="b">
        <f aca="false">IF(E68&gt;0.5,"D","R")=IF(C68&gt;0.5,"D","R")</f>
        <v>1</v>
      </c>
      <c r="I68" s="9" t="n">
        <f aca="false">'House Vote Data'!G258</f>
        <v>0.54089709762533</v>
      </c>
      <c r="J68" s="9" t="n">
        <f aca="false">'House Vote Data'!G259</f>
        <v>0.533719904197655</v>
      </c>
      <c r="K68" s="9" t="n">
        <f aca="false">'House Vote Data'!G260</f>
        <v>0.553231055323106</v>
      </c>
      <c r="M68" s="8" t="n">
        <f aca="false">ABS(D68)</f>
        <v>0.966672087409404</v>
      </c>
      <c r="N68" s="8" t="n">
        <f aca="false">ABS(F68)</f>
        <v>0.794779945072777</v>
      </c>
      <c r="O68" s="16" t="n">
        <f aca="false">SLOPE(I68:K68,$W$4:$Y$4)</f>
        <v>-0.0022680934731424</v>
      </c>
      <c r="P68" s="9" t="n">
        <f aca="false">MIN(1,MAX(0,K68+O68*($Z$4-$Y$4)))</f>
        <v>0.549116272696419</v>
      </c>
      <c r="Q68" s="17" t="n">
        <f aca="false">(P68-C68)*100</f>
        <v>0.383301682404158</v>
      </c>
      <c r="R68" s="18" t="b">
        <f aca="false">IF(P68&gt;0.5,"D","R")=IF(C68&gt;0.5,"D","R")</f>
        <v>1</v>
      </c>
      <c r="S68" s="8" t="n">
        <f aca="false">ABS(Q68)</f>
        <v>0.383301682404158</v>
      </c>
      <c r="U68" s="9" t="n">
        <f aca="false">MIN(1,MAX(0,(9.05022494236107+0.113115349224159*'Registration &amp; ACS Data'!D261*100+11.7889818160387*'Registration &amp; ACS Data'!E261+(-6.22406681530858)*1+0.775169323879817*(K68*100))/100))</f>
        <v>0.528009208531609</v>
      </c>
      <c r="V68" s="17" t="n">
        <f aca="false">(U68-C68)*100</f>
        <v>-1.72740473407685</v>
      </c>
      <c r="W68" s="18" t="b">
        <f aca="false">IF(U68&gt;0.5,"D","R")=IF(C68&gt;0.5,"D","R")</f>
        <v>1</v>
      </c>
      <c r="X68" s="8" t="n">
        <f aca="false">ABS(V68)</f>
        <v>1.72740473407685</v>
      </c>
    </row>
    <row r="69" customFormat="false" ht="15" hidden="false" customHeight="true" outlineLevel="0" collapsed="false">
      <c r="A69" s="8" t="s">
        <v>123</v>
      </c>
      <c r="B69" s="9" t="n">
        <f aca="false">MIN(1,MAX(0, SLOPE(I69:K69,{2018,2020,2022})*2024 + INTERCEPT(I69:K69,{2018,2020,2022})))</f>
        <v>0.504058486935112</v>
      </c>
      <c r="C69" s="9" t="n">
        <f aca="false">'House Vote Data'!G265</f>
        <v>0.506009967751393</v>
      </c>
      <c r="D69" s="17" t="n">
        <f aca="false">(B69-C69)*100</f>
        <v>-0.195148081628105</v>
      </c>
      <c r="E69" s="9" t="n">
        <f aca="false">K69</f>
        <v>0.53322969296541</v>
      </c>
      <c r="F69" s="17" t="n">
        <f aca="false">(E69-C69)*100</f>
        <v>2.72197252140175</v>
      </c>
      <c r="G69" s="18" t="b">
        <f aca="false">IF(B69&gt;0.5,"D","R")=IF(C69&gt;0.5,"D","R")</f>
        <v>1</v>
      </c>
      <c r="H69" s="18" t="b">
        <f aca="false">IF(E69&gt;0.5,"D","R")=IF(C69&gt;0.5,"D","R")</f>
        <v>1</v>
      </c>
      <c r="I69" s="9" t="n">
        <f aca="false">'House Vote Data'!G262</f>
        <v>0.563291139240506</v>
      </c>
      <c r="J69" s="9" t="n">
        <f aca="false">'House Vote Data'!G263</f>
        <v>0.505838967424708</v>
      </c>
      <c r="K69" s="9" t="n">
        <f aca="false">'House Vote Data'!G264</f>
        <v>0.53322969296541</v>
      </c>
      <c r="M69" s="8" t="n">
        <f aca="false">ABS(D69)</f>
        <v>0.195148081628105</v>
      </c>
      <c r="N69" s="8" t="n">
        <f aca="false">ABS(F69)</f>
        <v>2.72197252140175</v>
      </c>
      <c r="O69" s="16" t="n">
        <f aca="false">SLOPE(I69:K69,$W$4:$Y$4)</f>
        <v>-0.00654621547260476</v>
      </c>
      <c r="P69" s="9" t="n">
        <f aca="false">MIN(1,MAX(0,K69+O69*($Z$4-$Y$4)))</f>
        <v>0.521353527359281</v>
      </c>
      <c r="Q69" s="17" t="n">
        <f aca="false">(P69-C69)*100</f>
        <v>1.53435596078889</v>
      </c>
      <c r="R69" s="18" t="b">
        <f aca="false">IF(P69&gt;0.5,"D","R")=IF(C69&gt;0.5,"D","R")</f>
        <v>1</v>
      </c>
      <c r="S69" s="8" t="n">
        <f aca="false">ABS(Q69)</f>
        <v>1.53435596078889</v>
      </c>
      <c r="U69" s="9" t="n">
        <f aca="false">MIN(1,MAX(0,(9.05022494236107+0.113115349224159*'Registration &amp; ACS Data'!D265*100+11.7889818160387*'Registration &amp; ACS Data'!E265+(-6.22406681530858)*1+0.775169323879817*(K69*100))/100))</f>
        <v>0.484326823536523</v>
      </c>
      <c r="V69" s="17" t="n">
        <f aca="false">(U69-C69)*100</f>
        <v>-2.16831442148694</v>
      </c>
      <c r="W69" s="18" t="b">
        <f aca="false">IF(U69&gt;0.5,"D","R")=IF(C69&gt;0.5,"D","R")</f>
        <v>0</v>
      </c>
      <c r="X69" s="8" t="n">
        <f aca="false">ABS(V69)</f>
        <v>2.16831442148694</v>
      </c>
    </row>
    <row r="70" customFormat="false" ht="15" hidden="false" customHeight="true" outlineLevel="0" collapsed="false">
      <c r="A70" s="8" t="s">
        <v>81</v>
      </c>
      <c r="B70" s="9" t="n">
        <f aca="false">MIN(1,MAX(0, SLOPE(I70:K70,{2018,2020,2022})*2024 + INTERCEPT(I70:K70,{2018,2020,2022})))</f>
        <v>0.340225472124614</v>
      </c>
      <c r="C70" s="9" t="n">
        <f aca="false">'House Vote Data'!G269</f>
        <v>0.335777345503516</v>
      </c>
      <c r="D70" s="17" t="n">
        <f aca="false">(B70-C70)*100</f>
        <v>0.444812662109789</v>
      </c>
      <c r="E70" s="9" t="n">
        <f aca="false">K70</f>
        <v>0.353113983548766</v>
      </c>
      <c r="F70" s="17" t="n">
        <f aca="false">(E70-C70)*100</f>
        <v>1.73366380452498</v>
      </c>
      <c r="G70" s="18" t="b">
        <f aca="false">IF(B70&gt;0.5,"D","R")=IF(C70&gt;0.5,"D","R")</f>
        <v>1</v>
      </c>
      <c r="H70" s="18" t="b">
        <f aca="false">IF(E70&gt;0.5,"D","R")=IF(C70&gt;0.5,"D","R")</f>
        <v>1</v>
      </c>
      <c r="I70" s="9" t="n">
        <f aca="false">'House Vote Data'!G266</f>
        <v>0.36297341801929</v>
      </c>
      <c r="J70" s="9" t="n">
        <f aca="false">'House Vote Data'!G267</f>
        <v>0.334167318217357</v>
      </c>
      <c r="K70" s="9" t="n">
        <f aca="false">'House Vote Data'!G268</f>
        <v>0.353113983548766</v>
      </c>
      <c r="M70" s="8" t="n">
        <f aca="false">ABS(D70)</f>
        <v>0.444812662109789</v>
      </c>
      <c r="N70" s="8" t="n">
        <f aca="false">ABS(F70)</f>
        <v>1.73366380452498</v>
      </c>
      <c r="O70" s="16" t="n">
        <f aca="false">SLOPE(I70:K70,$W$4:$Y$4)</f>
        <v>-0.00375214288774167</v>
      </c>
      <c r="P70" s="9" t="n">
        <f aca="false">MIN(1,MAX(0,K70+O70*($Z$4-$Y$4)))</f>
        <v>0.346306833600959</v>
      </c>
      <c r="Q70" s="17" t="n">
        <f aca="false">(P70-C70)*100</f>
        <v>1.05294880974424</v>
      </c>
      <c r="R70" s="18" t="b">
        <f aca="false">IF(P70&gt;0.5,"D","R")=IF(C70&gt;0.5,"D","R")</f>
        <v>1</v>
      </c>
      <c r="S70" s="8" t="n">
        <f aca="false">ABS(Q70)</f>
        <v>1.05294880974424</v>
      </c>
      <c r="U70" s="9" t="n">
        <f aca="false">MIN(1,MAX(0,(9.05022494236107+0.113115349224159*'Registration &amp; ACS Data'!D269*100+11.7889818160387*'Registration &amp; ACS Data'!E269+(-6.22406681530858)*1+0.775169323879817*(K70*100))/100))</f>
        <v>0.301924063344431</v>
      </c>
      <c r="V70" s="17" t="n">
        <f aca="false">(U70-C70)*100</f>
        <v>-3.3853282159085</v>
      </c>
      <c r="W70" s="18" t="b">
        <f aca="false">IF(U70&gt;0.5,"D","R")=IF(C70&gt;0.5,"D","R")</f>
        <v>1</v>
      </c>
      <c r="X70" s="8" t="n">
        <f aca="false">ABS(V70)</f>
        <v>3.3853282159085</v>
      </c>
    </row>
    <row r="71" customFormat="false" ht="15" hidden="false" customHeight="true" outlineLevel="0" collapsed="false">
      <c r="A71" s="8" t="s">
        <v>124</v>
      </c>
      <c r="B71" s="9" t="n">
        <f aca="false">MIN(1,MAX(0, SLOPE(I71:K71,{2018,2020,2022})*2024 + INTERCEPT(I71:K71,{2018,2020,2022})))</f>
        <v>0.323536115903138</v>
      </c>
      <c r="C71" s="9" t="n">
        <f aca="false">'House Vote Data'!G273</f>
        <v>0.339858618814573</v>
      </c>
      <c r="D71" s="17" t="n">
        <f aca="false">(B71-C71)*100</f>
        <v>-1.63225029114347</v>
      </c>
      <c r="E71" s="9" t="n">
        <f aca="false">K71</f>
        <v>0.365</v>
      </c>
      <c r="F71" s="17" t="n">
        <f aca="false">(E71-C71)*100</f>
        <v>2.51413811854269</v>
      </c>
      <c r="G71" s="18" t="b">
        <f aca="false">IF(B71&gt;0.5,"D","R")=IF(C71&gt;0.5,"D","R")</f>
        <v>1</v>
      </c>
      <c r="H71" s="18" t="b">
        <f aca="false">IF(E71&gt;0.5,"D","R")=IF(C71&gt;0.5,"D","R")</f>
        <v>1</v>
      </c>
      <c r="I71" s="9" t="n">
        <f aca="false">'House Vote Data'!G270</f>
        <v>0.411458333333333</v>
      </c>
      <c r="J71" s="9" t="n">
        <f aca="false">'House Vote Data'!G271</f>
        <v>0.333525014376078</v>
      </c>
      <c r="K71" s="9" t="n">
        <f aca="false">'House Vote Data'!G272</f>
        <v>0.365</v>
      </c>
      <c r="M71" s="8" t="n">
        <f aca="false">ABS(D71)</f>
        <v>1.63225029114347</v>
      </c>
      <c r="N71" s="8" t="n">
        <f aca="false">ABS(F71)</f>
        <v>2.51413811854269</v>
      </c>
      <c r="O71" s="16" t="n">
        <f aca="false">SLOPE(I71:K71,$W$4:$Y$4)</f>
        <v>-0.0083678540354461</v>
      </c>
      <c r="P71" s="9" t="n">
        <f aca="false">MIN(1,MAX(0,K71+O71*($Z$4-$Y$4)))</f>
        <v>0.349819011731472</v>
      </c>
      <c r="Q71" s="17" t="n">
        <f aca="false">(P71-C71)*100</f>
        <v>0.996039291689893</v>
      </c>
      <c r="R71" s="18" t="b">
        <f aca="false">IF(P71&gt;0.5,"D","R")=IF(C71&gt;0.5,"D","R")</f>
        <v>1</v>
      </c>
      <c r="S71" s="8" t="n">
        <f aca="false">ABS(Q71)</f>
        <v>0.996039291689893</v>
      </c>
      <c r="U71" s="9" t="n">
        <f aca="false">MIN(1,MAX(0,(9.05022494236107+0.113115349224159*'Registration &amp; ACS Data'!D273*100+11.7889818160387*'Registration &amp; ACS Data'!E273+(-6.22406681530858)*1+0.775169323879817*(K71*100))/100))</f>
        <v>0.311965979279568</v>
      </c>
      <c r="V71" s="17" t="n">
        <f aca="false">(U71-C71)*100</f>
        <v>-2.78926395350054</v>
      </c>
      <c r="W71" s="18" t="b">
        <f aca="false">IF(U71&gt;0.5,"D","R")=IF(C71&gt;0.5,"D","R")</f>
        <v>1</v>
      </c>
      <c r="X71" s="8" t="n">
        <f aca="false">ABS(V71)</f>
        <v>2.78926395350054</v>
      </c>
    </row>
    <row r="72" customFormat="false" ht="15" hidden="false" customHeight="true" outlineLevel="0" collapsed="false">
      <c r="A72" s="8" t="s">
        <v>125</v>
      </c>
      <c r="B72" s="9" t="n">
        <f aca="false">MIN(1,MAX(0, SLOPE(I72:K72,{2018,2020,2022})*2024 + INTERCEPT(I72:K72,{2018,2020,2022})))</f>
        <v>0.432909896829099</v>
      </c>
      <c r="C72" s="9" t="n">
        <f aca="false">'House Vote Data'!G277</f>
        <v>0.450285965684118</v>
      </c>
      <c r="D72" s="17" t="n">
        <f aca="false">(B72-C72)*100</f>
        <v>-1.73760688550189</v>
      </c>
      <c r="E72" s="9" t="n">
        <f aca="false">K72</f>
        <v>0.441200324412003</v>
      </c>
      <c r="F72" s="17" t="n">
        <f aca="false">(E72-C72)*100</f>
        <v>-0.908564127211464</v>
      </c>
      <c r="G72" s="18" t="b">
        <f aca="false">IF(B72&gt;0.5,"D","R")=IF(C72&gt;0.5,"D","R")</f>
        <v>1</v>
      </c>
      <c r="H72" s="18" t="b">
        <f aca="false">IF(E72&gt;0.5,"D","R")=IF(C72&gt;0.5,"D","R")</f>
        <v>1</v>
      </c>
      <c r="I72" s="9" t="n">
        <f aca="false">'House Vote Data'!G274</f>
        <v>0.444444444444444</v>
      </c>
      <c r="J72" s="9" t="n">
        <f aca="false">'House Vote Data'!G275</f>
        <v>0.422817281728173</v>
      </c>
      <c r="K72" s="9" t="n">
        <f aca="false">'House Vote Data'!G276</f>
        <v>0.441200324412003</v>
      </c>
      <c r="M72" s="8" t="n">
        <f aca="false">ABS(D72)</f>
        <v>1.73760688550189</v>
      </c>
      <c r="N72" s="8" t="n">
        <f aca="false">ABS(F72)</f>
        <v>0.908564127211464</v>
      </c>
      <c r="O72" s="16" t="n">
        <f aca="false">SLOPE(I72:K72,$W$4:$Y$4)</f>
        <v>-0.00319187181853098</v>
      </c>
      <c r="P72" s="9" t="n">
        <f aca="false">MIN(1,MAX(0,K72+O72*($Z$4-$Y$4)))</f>
        <v>0.435409620077713</v>
      </c>
      <c r="Q72" s="17" t="n">
        <f aca="false">(P72-C72)*100</f>
        <v>-1.48763456064047</v>
      </c>
      <c r="R72" s="18" t="b">
        <f aca="false">IF(P72&gt;0.5,"D","R")=IF(C72&gt;0.5,"D","R")</f>
        <v>1</v>
      </c>
      <c r="S72" s="8" t="n">
        <f aca="false">ABS(Q72)</f>
        <v>1.48763456064047</v>
      </c>
      <c r="U72" s="9" t="n">
        <f aca="false">MIN(1,MAX(0,(9.05022494236107+0.113115349224159*'Registration &amp; ACS Data'!D277*100+11.7889818160387*'Registration &amp; ACS Data'!E277+(-6.22406681530858)*1+0.775169323879817*(K72*100))/100))</f>
        <v>0.41259612005593</v>
      </c>
      <c r="V72" s="17" t="n">
        <f aca="false">(U72-C72)*100</f>
        <v>-3.76898456281882</v>
      </c>
      <c r="W72" s="18" t="b">
        <f aca="false">IF(U72&gt;0.5,"D","R")=IF(C72&gt;0.5,"D","R")</f>
        <v>1</v>
      </c>
      <c r="X72" s="8" t="n">
        <f aca="false">ABS(V72)</f>
        <v>3.76898456281882</v>
      </c>
    </row>
    <row r="73" customFormat="false" ht="15" hidden="false" customHeight="true" outlineLevel="0" collapsed="false">
      <c r="A73" s="8" t="s">
        <v>126</v>
      </c>
      <c r="B73" s="9" t="n">
        <f aca="false">MIN(1,MAX(0, SLOPE(I73:K73,{2018,2020,2022})*2024 + INTERCEPT(I73:K73,{2018,2020,2022})))</f>
        <v>0.484741653428607</v>
      </c>
      <c r="C73" s="9" t="n">
        <f aca="false">'House Vote Data'!G281</f>
        <v>0.476039658496282</v>
      </c>
      <c r="D73" s="17" t="n">
        <f aca="false">(B73-C73)*100</f>
        <v>0.87019949323246</v>
      </c>
      <c r="E73" s="9" t="n">
        <f aca="false">K73</f>
        <v>0.492491985827569</v>
      </c>
      <c r="F73" s="17" t="n">
        <f aca="false">(E73-C73)*100</f>
        <v>1.64523273312868</v>
      </c>
      <c r="G73" s="18" t="b">
        <f aca="false">IF(B73&gt;0.5,"D","R")=IF(C73&gt;0.5,"D","R")</f>
        <v>1</v>
      </c>
      <c r="H73" s="18" t="b">
        <f aca="false">IF(E73&gt;0.5,"D","R")=IF(C73&gt;0.5,"D","R")</f>
        <v>1</v>
      </c>
      <c r="I73" s="9" t="n">
        <f aca="false">'House Vote Data'!G278</f>
        <v>0.491866769945779</v>
      </c>
      <c r="J73" s="9" t="n">
        <f aca="false">'House Vote Data'!G279</f>
        <v>0.467990556867102</v>
      </c>
      <c r="K73" s="9" t="n">
        <f aca="false">'House Vote Data'!G280</f>
        <v>0.492491985827569</v>
      </c>
      <c r="M73" s="8" t="n">
        <f aca="false">ABS(D73)</f>
        <v>0.87019949323246</v>
      </c>
      <c r="N73" s="8" t="n">
        <f aca="false">ABS(F73)</f>
        <v>1.64523273312868</v>
      </c>
      <c r="O73" s="16" t="n">
        <f aca="false">SLOPE(I73:K73,$W$4:$Y$4)</f>
        <v>-0.00390299603837772</v>
      </c>
      <c r="P73" s="9" t="n">
        <f aca="false">MIN(1,MAX(0,K73+O73*($Z$4-$Y$4)))</f>
        <v>0.485411157598523</v>
      </c>
      <c r="Q73" s="17" t="n">
        <f aca="false">(P73-C73)*100</f>
        <v>0.937149910224078</v>
      </c>
      <c r="R73" s="18" t="b">
        <f aca="false">IF(P73&gt;0.5,"D","R")=IF(C73&gt;0.5,"D","R")</f>
        <v>1</v>
      </c>
      <c r="S73" s="8" t="n">
        <f aca="false">ABS(Q73)</f>
        <v>0.937149910224078</v>
      </c>
      <c r="U73" s="9" t="n">
        <f aca="false">MIN(1,MAX(0,(9.05022494236107+0.113115349224159*'Registration &amp; ACS Data'!D281*100+11.7889818160387*'Registration &amp; ACS Data'!E281+(-6.22406681530858)*1+0.775169323879817*(K73*100))/100))</f>
        <v>0.45965677968041</v>
      </c>
      <c r="V73" s="17" t="n">
        <f aca="false">(U73-C73)*100</f>
        <v>-1.63828788158724</v>
      </c>
      <c r="W73" s="18" t="b">
        <f aca="false">IF(U73&gt;0.5,"D","R")=IF(C73&gt;0.5,"D","R")</f>
        <v>1</v>
      </c>
      <c r="X73" s="8" t="n">
        <f aca="false">ABS(V73)</f>
        <v>1.63828788158724</v>
      </c>
    </row>
    <row r="74" customFormat="false" ht="15" hidden="false" customHeight="true" outlineLevel="0" collapsed="false">
      <c r="A74" s="8" t="s">
        <v>127</v>
      </c>
      <c r="B74" s="9" t="n">
        <f aca="false">MIN(1,MAX(0, SLOPE(I74:K74,{2018,2020,2022})*2024 + INTERCEPT(I74:K74,{2018,2020,2022})))</f>
        <v>0.337660917248932</v>
      </c>
      <c r="C74" s="9" t="n">
        <f aca="false">'House Vote Data'!G285</f>
        <v>0.330859310572324</v>
      </c>
      <c r="D74" s="17" t="n">
        <f aca="false">(B74-C74)*100</f>
        <v>0.680160667660851</v>
      </c>
      <c r="E74" s="9" t="n">
        <f aca="false">K74</f>
        <v>0.349537037037037</v>
      </c>
      <c r="F74" s="17" t="n">
        <f aca="false">(E74-C74)*100</f>
        <v>1.86777264647131</v>
      </c>
      <c r="G74" s="18" t="b">
        <f aca="false">IF(B74&gt;0.5,"D","R")=IF(C74&gt;0.5,"D","R")</f>
        <v>1</v>
      </c>
      <c r="H74" s="18" t="b">
        <f aca="false">IF(E74&gt;0.5,"D","R")=IF(C74&gt;0.5,"D","R")</f>
        <v>1</v>
      </c>
      <c r="I74" s="9" t="n">
        <f aca="false">'House Vote Data'!G282</f>
        <v>0.3585291113381</v>
      </c>
      <c r="J74" s="9" t="n">
        <f aca="false">'House Vote Data'!G283</f>
        <v>0.331892826274849</v>
      </c>
      <c r="K74" s="9" t="n">
        <f aca="false">'House Vote Data'!G284</f>
        <v>0.349537037037037</v>
      </c>
      <c r="M74" s="8" t="n">
        <f aca="false">ABS(D74)</f>
        <v>0.680160667660851</v>
      </c>
      <c r="N74" s="8" t="n">
        <f aca="false">ABS(F74)</f>
        <v>1.86777264647131</v>
      </c>
      <c r="O74" s="16" t="n">
        <f aca="false">SLOPE(I74:K74,$W$4:$Y$4)</f>
        <v>-0.00348075389328887</v>
      </c>
      <c r="P74" s="9" t="n">
        <f aca="false">MIN(1,MAX(0,K74+O74*($Z$4-$Y$4)))</f>
        <v>0.343222241894123</v>
      </c>
      <c r="Q74" s="17" t="n">
        <f aca="false">(P74-C74)*100</f>
        <v>1.23629313217987</v>
      </c>
      <c r="R74" s="18" t="b">
        <f aca="false">IF(P74&gt;0.5,"D","R")=IF(C74&gt;0.5,"D","R")</f>
        <v>1</v>
      </c>
      <c r="S74" s="8" t="n">
        <f aca="false">ABS(Q74)</f>
        <v>1.23629313217987</v>
      </c>
      <c r="U74" s="9" t="n">
        <f aca="false">MIN(1,MAX(0,(9.05022494236107+0.113115349224159*'Registration &amp; ACS Data'!D285*100+11.7889818160387*'Registration &amp; ACS Data'!E285+(-6.22406681530858)*1+0.775169323879817*(K74*100))/100))</f>
        <v>0.298765414611786</v>
      </c>
      <c r="V74" s="17" t="n">
        <f aca="false">(U74-C74)*100</f>
        <v>-3.2093895960538</v>
      </c>
      <c r="W74" s="18" t="b">
        <f aca="false">IF(U74&gt;0.5,"D","R")=IF(C74&gt;0.5,"D","R")</f>
        <v>1</v>
      </c>
      <c r="X74" s="8" t="n">
        <f aca="false">ABS(V74)</f>
        <v>3.2093895960538</v>
      </c>
    </row>
    <row r="75" customFormat="false" ht="15" hidden="false" customHeight="true" outlineLevel="0" collapsed="false">
      <c r="A75" s="8" t="s">
        <v>128</v>
      </c>
      <c r="B75" s="9" t="n">
        <f aca="false">MIN(1,MAX(0, SLOPE(I75:K75,{2018,2020,2022})*2024 + INTERCEPT(I75:K75,{2018,2020,2022})))</f>
        <v>0.495056242833653</v>
      </c>
      <c r="C75" s="9" t="n">
        <f aca="false">'House Vote Data'!G289</f>
        <v>0.489570552147239</v>
      </c>
      <c r="D75" s="17" t="n">
        <f aca="false">(B75-C75)*100</f>
        <v>0.548569068641341</v>
      </c>
      <c r="E75" s="9" t="n">
        <f aca="false">K75</f>
        <v>0.517073170731707</v>
      </c>
      <c r="F75" s="17" t="n">
        <f aca="false">(E75-C75)*100</f>
        <v>2.75026185844681</v>
      </c>
      <c r="G75" s="18" t="b">
        <f aca="false">IF(B75&gt;0.5,"D","R")=IF(C75&gt;0.5,"D","R")</f>
        <v>1</v>
      </c>
      <c r="H75" s="18" t="b">
        <f aca="false">IF(E75&gt;0.5,"D","R")=IF(C75&gt;0.5,"D","R")</f>
        <v>0</v>
      </c>
      <c r="I75" s="9" t="n">
        <f aca="false">'House Vote Data'!G286</f>
        <v>0.530573847601129</v>
      </c>
      <c r="J75" s="9" t="n">
        <f aca="false">'House Vote Data'!G287</f>
        <v>0.478023740776388</v>
      </c>
      <c r="K75" s="9" t="n">
        <f aca="false">'House Vote Data'!G288</f>
        <v>0.517073170731707</v>
      </c>
      <c r="M75" s="8" t="n">
        <f aca="false">ABS(D75)</f>
        <v>0.548569068641341</v>
      </c>
      <c r="N75" s="8" t="n">
        <f aca="false">ABS(F75)</f>
        <v>2.75026185844681</v>
      </c>
      <c r="O75" s="16" t="n">
        <f aca="false">SLOPE(I75:K75,$W$4:$Y$4)</f>
        <v>-0.00724925739425779</v>
      </c>
      <c r="P75" s="9" t="n">
        <f aca="false">MIN(1,MAX(0,K75+O75*($Z$4-$Y$4)))</f>
        <v>0.503921544162746</v>
      </c>
      <c r="Q75" s="17" t="n">
        <f aca="false">(P75-C75)*100</f>
        <v>1.43509920155063</v>
      </c>
      <c r="R75" s="18" t="b">
        <f aca="false">IF(P75&gt;0.5,"D","R")=IF(C75&gt;0.5,"D","R")</f>
        <v>0</v>
      </c>
      <c r="S75" s="8" t="n">
        <f aca="false">ABS(Q75)</f>
        <v>1.43509920155063</v>
      </c>
      <c r="U75" s="9" t="n">
        <f aca="false">MIN(1,MAX(0,(9.05022494236107+0.113115349224159*'Registration &amp; ACS Data'!D289*100+11.7889818160387*'Registration &amp; ACS Data'!E289+(-6.22406681530858)*1+0.775169323879817*(K75*100))/100))</f>
        <v>0.459802561903923</v>
      </c>
      <c r="V75" s="17" t="n">
        <f aca="false">(U75-C75)*100</f>
        <v>-2.9767990243316</v>
      </c>
      <c r="W75" s="18" t="b">
        <f aca="false">IF(U75&gt;0.5,"D","R")=IF(C75&gt;0.5,"D","R")</f>
        <v>1</v>
      </c>
      <c r="X75" s="8" t="n">
        <f aca="false">ABS(V75)</f>
        <v>2.9767990243316</v>
      </c>
    </row>
    <row r="76" customFormat="false" ht="15" hidden="false" customHeight="true" outlineLevel="0" collapsed="false">
      <c r="A76" s="8" t="s">
        <v>129</v>
      </c>
      <c r="B76" s="9" t="n">
        <f aca="false">MIN(1,MAX(0, SLOPE(I76:K76,{2018,2020,2022})*2024 + INTERCEPT(I76:K76,{2018,2020,2022})))</f>
        <v>0.488626733502985</v>
      </c>
      <c r="C76" s="9" t="n">
        <f aca="false">'House Vote Data'!G293</f>
        <v>0.487903225806452</v>
      </c>
      <c r="D76" s="17" t="n">
        <f aca="false">(B76-C76)*100</f>
        <v>0.0723507696533843</v>
      </c>
      <c r="E76" s="9" t="n">
        <f aca="false">K76</f>
        <v>0.503912363067293</v>
      </c>
      <c r="F76" s="17" t="n">
        <f aca="false">(E76-C76)*100</f>
        <v>1.6009137260841</v>
      </c>
      <c r="G76" s="18" t="b">
        <f aca="false">IF(B76&gt;0.5,"D","R")=IF(C76&gt;0.5,"D","R")</f>
        <v>1</v>
      </c>
      <c r="H76" s="18" t="b">
        <f aca="false">IF(E76&gt;0.5,"D","R")=IF(C76&gt;0.5,"D","R")</f>
        <v>0</v>
      </c>
      <c r="I76" s="9" t="n">
        <f aca="false">'House Vote Data'!G290</f>
        <v>0.507095553453169</v>
      </c>
      <c r="J76" s="9" t="n">
        <f aca="false">'House Vote Data'!G291</f>
        <v>0.464421855146125</v>
      </c>
      <c r="K76" s="9" t="n">
        <f aca="false">'House Vote Data'!G292</f>
        <v>0.503912363067293</v>
      </c>
      <c r="M76" s="8" t="n">
        <f aca="false">ABS(D76)</f>
        <v>0.0723507696533843</v>
      </c>
      <c r="N76" s="8" t="n">
        <f aca="false">ABS(F76)</f>
        <v>1.6009137260841</v>
      </c>
      <c r="O76" s="16" t="n">
        <f aca="false">SLOPE(I76:K76,$W$4:$Y$4)</f>
        <v>-0.00658812017115917</v>
      </c>
      <c r="P76" s="9" t="n">
        <f aca="false">MIN(1,MAX(0,K76+O76*($Z$4-$Y$4)))</f>
        <v>0.491960173819445</v>
      </c>
      <c r="Q76" s="17" t="n">
        <f aca="false">(P76-C76)*100</f>
        <v>0.405694801299306</v>
      </c>
      <c r="R76" s="18" t="b">
        <f aca="false">IF(P76&gt;0.5,"D","R")=IF(C76&gt;0.5,"D","R")</f>
        <v>1</v>
      </c>
      <c r="S76" s="8" t="n">
        <f aca="false">ABS(Q76)</f>
        <v>0.405694801299306</v>
      </c>
      <c r="U76" s="9" t="n">
        <f aca="false">MIN(1,MAX(0,(9.05022494236107+0.113115349224159*'Registration &amp; ACS Data'!D293*100+11.7889818160387*'Registration &amp; ACS Data'!E293+(-6.22406681530858)*1+0.775169323879817*(K76*100))/100))</f>
        <v>0.453486878438952</v>
      </c>
      <c r="V76" s="17" t="n">
        <f aca="false">(U76-C76)*100</f>
        <v>-3.44163473674993</v>
      </c>
      <c r="W76" s="18" t="b">
        <f aca="false">IF(U76&gt;0.5,"D","R")=IF(C76&gt;0.5,"D","R")</f>
        <v>1</v>
      </c>
      <c r="X76" s="8" t="n">
        <f aca="false">ABS(V76)</f>
        <v>3.44163473674993</v>
      </c>
    </row>
    <row r="77" customFormat="false" ht="15" hidden="false" customHeight="true" outlineLevel="0" collapsed="false">
      <c r="A77" s="8" t="s">
        <v>111</v>
      </c>
      <c r="B77" s="9" t="n">
        <f aca="false">MIN(1,MAX(0, SLOPE(I77:K77,{2018,2020,2022})*2024 + INTERCEPT(I77:K77,{2018,2020,2022})))</f>
        <v>0.47792360587551</v>
      </c>
      <c r="C77" s="9" t="n">
        <f aca="false">'House Vote Data'!G297</f>
        <v>0.459792709077913</v>
      </c>
      <c r="D77" s="17" t="n">
        <f aca="false">(B77-C77)*100</f>
        <v>1.81308967975975</v>
      </c>
      <c r="E77" s="9" t="n">
        <f aca="false">K77</f>
        <v>0.49834479246244</v>
      </c>
      <c r="F77" s="17" t="n">
        <f aca="false">(E77-C77)*100</f>
        <v>3.85520833845267</v>
      </c>
      <c r="G77" s="18" t="b">
        <f aca="false">IF(B77&gt;0.5,"D","R")=IF(C77&gt;0.5,"D","R")</f>
        <v>1</v>
      </c>
      <c r="H77" s="18" t="b">
        <f aca="false">IF(E77&gt;0.5,"D","R")=IF(C77&gt;0.5,"D","R")</f>
        <v>1</v>
      </c>
      <c r="I77" s="9" t="n">
        <f aca="false">'House Vote Data'!G294</f>
        <v>0.502436053593179</v>
      </c>
      <c r="J77" s="9" t="n">
        <f aca="false">'House Vote Data'!G295</f>
        <v>0.445263754963131</v>
      </c>
      <c r="K77" s="9" t="n">
        <f aca="false">'House Vote Data'!G296</f>
        <v>0.49834479246244</v>
      </c>
      <c r="M77" s="8" t="n">
        <f aca="false">ABS(D77)</f>
        <v>1.81308967975975</v>
      </c>
      <c r="N77" s="8" t="n">
        <f aca="false">ABS(F77)</f>
        <v>3.85520833845267</v>
      </c>
      <c r="O77" s="16" t="n">
        <f aca="false">SLOPE(I77:K77,$W$4:$Y$4)</f>
        <v>-0.00884210010639474</v>
      </c>
      <c r="P77" s="9" t="n">
        <f aca="false">MIN(1,MAX(0,K77+O77*($Z$4-$Y$4)))</f>
        <v>0.48230342541472</v>
      </c>
      <c r="Q77" s="17" t="n">
        <f aca="false">(P77-C77)*100</f>
        <v>2.25107163368076</v>
      </c>
      <c r="R77" s="18" t="b">
        <f aca="false">IF(P77&gt;0.5,"D","R")=IF(C77&gt;0.5,"D","R")</f>
        <v>1</v>
      </c>
      <c r="S77" s="8" t="n">
        <f aca="false">ABS(Q77)</f>
        <v>2.25107163368076</v>
      </c>
      <c r="U77" s="9" t="n">
        <f aca="false">MIN(1,MAX(0,(9.05022494236107+0.113115349224159*'Registration &amp; ACS Data'!D297*100+11.7889818160387*'Registration &amp; ACS Data'!E297+(-6.22406681530858)*1+0.775169323879817*(K77*100))/100))</f>
        <v>0.446809456248423</v>
      </c>
      <c r="V77" s="17" t="n">
        <f aca="false">(U77-C77)*100</f>
        <v>-1.29832528294899</v>
      </c>
      <c r="W77" s="18" t="b">
        <f aca="false">IF(U77&gt;0.5,"D","R")=IF(C77&gt;0.5,"D","R")</f>
        <v>1</v>
      </c>
      <c r="X77" s="8" t="n">
        <f aca="false">ABS(V77)</f>
        <v>1.29832528294899</v>
      </c>
    </row>
    <row r="78" customFormat="false" ht="15" hidden="false" customHeight="true" outlineLevel="0" collapsed="false">
      <c r="A78" s="8" t="s">
        <v>130</v>
      </c>
      <c r="B78" s="9" t="n">
        <f aca="false">MIN(1,MAX(0, SLOPE(I78:K78,{2018,2020,2022})*2024 + INTERCEPT(I78:K78,{2018,2020,2022})))</f>
        <v>0.506162210953882</v>
      </c>
      <c r="C78" s="9" t="n">
        <f aca="false">'House Vote Data'!G301</f>
        <v>0.508679795769511</v>
      </c>
      <c r="D78" s="17" t="n">
        <f aca="false">(B78-C78)*100</f>
        <v>-0.251758481562958</v>
      </c>
      <c r="E78" s="9" t="n">
        <f aca="false">K78</f>
        <v>0.523901871424416</v>
      </c>
      <c r="F78" s="17" t="n">
        <f aca="false">(E78-C78)*100</f>
        <v>1.52220756549045</v>
      </c>
      <c r="G78" s="18" t="b">
        <f aca="false">IF(B78&gt;0.5,"D","R")=IF(C78&gt;0.5,"D","R")</f>
        <v>1</v>
      </c>
      <c r="H78" s="18" t="b">
        <f aca="false">IF(E78&gt;0.5,"D","R")=IF(C78&gt;0.5,"D","R")</f>
        <v>1</v>
      </c>
      <c r="I78" s="9" t="n">
        <f aca="false">'House Vote Data'!G298</f>
        <v>0.539835936622092</v>
      </c>
      <c r="J78" s="9" t="n">
        <f aca="false">'House Vote Data'!G299</f>
        <v>0.502551020408163</v>
      </c>
      <c r="K78" s="9" t="n">
        <f aca="false">'House Vote Data'!G300</f>
        <v>0.523901871424416</v>
      </c>
      <c r="M78" s="8" t="n">
        <f aca="false">ABS(D78)</f>
        <v>0.251758481562958</v>
      </c>
      <c r="N78" s="8" t="n">
        <f aca="false">ABS(F78)</f>
        <v>1.52220756549045</v>
      </c>
      <c r="O78" s="16" t="n">
        <f aca="false">SLOPE(I78:K78,$W$4:$Y$4)</f>
        <v>-0.00457057203439746</v>
      </c>
      <c r="P78" s="9" t="n">
        <f aca="false">MIN(1,MAX(0,K78+O78*($Z$4-$Y$4)))</f>
        <v>0.51560992463128</v>
      </c>
      <c r="Q78" s="17" t="n">
        <f aca="false">(P78-C78)*100</f>
        <v>0.693012886176825</v>
      </c>
      <c r="R78" s="18" t="b">
        <f aca="false">IF(P78&gt;0.5,"D","R")=IF(C78&gt;0.5,"D","R")</f>
        <v>1</v>
      </c>
      <c r="S78" s="8" t="n">
        <f aca="false">ABS(Q78)</f>
        <v>0.693012886176825</v>
      </c>
      <c r="U78" s="9" t="n">
        <f aca="false">MIN(1,MAX(0,(9.05022494236107+0.113115349224159*'Registration &amp; ACS Data'!D301*100+11.7889818160387*'Registration &amp; ACS Data'!E301+(-6.22406681530858)*1+0.775169323879817*(K78*100))/100))</f>
        <v>0.489340124181927</v>
      </c>
      <c r="V78" s="17" t="n">
        <f aca="false">(U78-C78)*100</f>
        <v>-1.93396715875843</v>
      </c>
      <c r="W78" s="18" t="b">
        <f aca="false">IF(U78&gt;0.5,"D","R")=IF(C78&gt;0.5,"D","R")</f>
        <v>0</v>
      </c>
      <c r="X78" s="8" t="n">
        <f aca="false">ABS(V78)</f>
        <v>1.93396715875843</v>
      </c>
    </row>
    <row r="79" customFormat="false" ht="15" hidden="false" customHeight="true" outlineLevel="0" collapsed="false">
      <c r="A79" s="8" t="s">
        <v>131</v>
      </c>
      <c r="B79" s="9" t="n">
        <f aca="false">MIN(1,MAX(0, SLOPE(I79:K79,{2018,2020,2022})*2024 + INTERCEPT(I79:K79,{2018,2020,2022})))</f>
        <v>0.380456129194062</v>
      </c>
      <c r="C79" s="9" t="n">
        <f aca="false">'House Vote Data'!G305</f>
        <v>0.373340414232608</v>
      </c>
      <c r="D79" s="17" t="n">
        <f aca="false">(B79-C79)*100</f>
        <v>0.711571496145469</v>
      </c>
      <c r="E79" s="9" t="n">
        <f aca="false">K79</f>
        <v>0.396431342125679</v>
      </c>
      <c r="F79" s="17" t="n">
        <f aca="false">(E79-C79)*100</f>
        <v>2.30909278930713</v>
      </c>
      <c r="G79" s="18" t="b">
        <f aca="false">IF(B79&gt;0.5,"D","R")=IF(C79&gt;0.5,"D","R")</f>
        <v>1</v>
      </c>
      <c r="H79" s="18" t="b">
        <f aca="false">IF(E79&gt;0.5,"D","R")=IF(C79&gt;0.5,"D","R")</f>
        <v>1</v>
      </c>
      <c r="I79" s="9" t="n">
        <f aca="false">'House Vote Data'!G302</f>
        <v>0.414029084687767</v>
      </c>
      <c r="J79" s="9" t="n">
        <f aca="false">'House Vote Data'!G303</f>
        <v>0.383701188455009</v>
      </c>
      <c r="K79" s="9" t="n">
        <f aca="false">'House Vote Data'!G304</f>
        <v>0.396431342125679</v>
      </c>
      <c r="M79" s="8" t="n">
        <f aca="false">ABS(D79)</f>
        <v>0.711571496145469</v>
      </c>
      <c r="N79" s="8" t="n">
        <f aca="false">ABS(F79)</f>
        <v>2.30909278930713</v>
      </c>
      <c r="O79" s="16" t="n">
        <f aca="false">SLOPE(I79:K79,$W$4:$Y$4)</f>
        <v>-0.00329977820856512</v>
      </c>
      <c r="P79" s="9" t="n">
        <f aca="false">MIN(1,MAX(0,K79+O79*($Z$4-$Y$4)))</f>
        <v>0.390444873664258</v>
      </c>
      <c r="Q79" s="17" t="n">
        <f aca="false">(P79-C79)*100</f>
        <v>1.71044594316504</v>
      </c>
      <c r="R79" s="18" t="b">
        <f aca="false">IF(P79&gt;0.5,"D","R")=IF(C79&gt;0.5,"D","R")</f>
        <v>1</v>
      </c>
      <c r="S79" s="8" t="n">
        <f aca="false">ABS(Q79)</f>
        <v>1.71044594316504</v>
      </c>
      <c r="U79" s="9" t="n">
        <f aca="false">MIN(1,MAX(0,(9.05022494236107+0.113115349224159*'Registration &amp; ACS Data'!D305*100+11.7889818160387*'Registration &amp; ACS Data'!E305+(-6.22406681530858)*1+0.775169323879817*(K79*100))/100))</f>
        <v>0.344319033708664</v>
      </c>
      <c r="V79" s="17" t="n">
        <f aca="false">(U79-C79)*100</f>
        <v>-2.9021380523944</v>
      </c>
      <c r="W79" s="18" t="b">
        <f aca="false">IF(U79&gt;0.5,"D","R")=IF(C79&gt;0.5,"D","R")</f>
        <v>1</v>
      </c>
      <c r="X79" s="8" t="n">
        <f aca="false">ABS(V79)</f>
        <v>2.9021380523944</v>
      </c>
    </row>
    <row r="80" customFormat="false" ht="15" hidden="false" customHeight="true" outlineLevel="0" collapsed="false">
      <c r="A80" s="8" t="s">
        <v>132</v>
      </c>
      <c r="B80" s="9" t="n">
        <f aca="false">MIN(1,MAX(0, SLOPE(I80:K80,{2018,2020,2022})*2024 + INTERCEPT(I80:K80,{2018,2020,2022})))</f>
        <v>0.318060213521825</v>
      </c>
      <c r="C80" s="9" t="n">
        <f aca="false">'House Vote Data'!G309</f>
        <v>0.347016828148904</v>
      </c>
      <c r="D80" s="17" t="n">
        <f aca="false">(B80-C80)*100</f>
        <v>-2.89566146270785</v>
      </c>
      <c r="E80" s="9" t="n">
        <f aca="false">K80</f>
        <v>0.350032530904359</v>
      </c>
      <c r="F80" s="17" t="n">
        <f aca="false">(E80-C80)*100</f>
        <v>0.301570275545554</v>
      </c>
      <c r="G80" s="18" t="b">
        <f aca="false">IF(B80&gt;0.5,"D","R")=IF(C80&gt;0.5,"D","R")</f>
        <v>1</v>
      </c>
      <c r="H80" s="18" t="b">
        <f aca="false">IF(E80&gt;0.5,"D","R")=IF(C80&gt;0.5,"D","R")</f>
        <v>1</v>
      </c>
      <c r="I80" s="9" t="n">
        <f aca="false">'House Vote Data'!G306</f>
        <v>0.398900667451904</v>
      </c>
      <c r="J80" s="9" t="n">
        <f aca="false">'House Vote Data'!G307</f>
        <v>0.351851851851852</v>
      </c>
      <c r="K80" s="9" t="n">
        <f aca="false">'House Vote Data'!G308</f>
        <v>0.350032530904359</v>
      </c>
      <c r="M80" s="8" t="n">
        <f aca="false">ABS(D80)</f>
        <v>2.89566146270785</v>
      </c>
      <c r="N80" s="8" t="n">
        <f aca="false">ABS(F80)</f>
        <v>0.301570275545554</v>
      </c>
      <c r="O80" s="16" t="n">
        <f aca="false">SLOPE(I80:K80,$W$4:$Y$4)</f>
        <v>-0.00317490521230465</v>
      </c>
      <c r="P80" s="9" t="n">
        <f aca="false">MIN(1,MAX(0,K80+O80*($Z$4-$Y$4)))</f>
        <v>0.344272607442798</v>
      </c>
      <c r="Q80" s="17" t="n">
        <f aca="false">(P80-C80)*100</f>
        <v>-0.274422070610564</v>
      </c>
      <c r="R80" s="18" t="b">
        <f aca="false">IF(P80&gt;0.5,"D","R")=IF(C80&gt;0.5,"D","R")</f>
        <v>1</v>
      </c>
      <c r="S80" s="8" t="n">
        <f aca="false">ABS(Q80)</f>
        <v>0.274422070610564</v>
      </c>
      <c r="U80" s="9" t="n">
        <f aca="false">MIN(1,MAX(0,(9.05022494236107+0.113115349224159*'Registration &amp; ACS Data'!D309*100+11.7889818160387*'Registration &amp; ACS Data'!E309+(-6.22406681530858)*1+0.775169323879817*(K80*100))/100))</f>
        <v>0.298544997807671</v>
      </c>
      <c r="V80" s="17" t="n">
        <f aca="false">(U80-C80)*100</f>
        <v>-4.84718303412323</v>
      </c>
      <c r="W80" s="18" t="b">
        <f aca="false">IF(U80&gt;0.5,"D","R")=IF(C80&gt;0.5,"D","R")</f>
        <v>1</v>
      </c>
      <c r="X80" s="8" t="n">
        <f aca="false">ABS(V80)</f>
        <v>4.84718303412323</v>
      </c>
    </row>
    <row r="81" customFormat="false" ht="15" hidden="false" customHeight="true" outlineLevel="0" collapsed="false">
      <c r="A81" s="8" t="s">
        <v>133</v>
      </c>
      <c r="B81" s="9" t="n">
        <f aca="false">MIN(1,MAX(0, SLOPE(I81:K81,{2018,2020,2022})*2024 + INTERCEPT(I81:K81,{2018,2020,2022})))</f>
        <v>0.305776301898845</v>
      </c>
      <c r="C81" s="9" t="n">
        <f aca="false">'House Vote Data'!G313</f>
        <v>0.355212355212355</v>
      </c>
      <c r="D81" s="17" t="n">
        <f aca="false">(B81-C81)*100</f>
        <v>-4.94360533135099</v>
      </c>
      <c r="E81" s="9" t="n">
        <f aca="false">K81</f>
        <v>0.335051546391753</v>
      </c>
      <c r="F81" s="17" t="n">
        <f aca="false">(E81-C81)*100</f>
        <v>-2.01608088206027</v>
      </c>
      <c r="G81" s="18" t="b">
        <f aca="false">IF(B81&gt;0.5,"D","R")=IF(C81&gt;0.5,"D","R")</f>
        <v>1</v>
      </c>
      <c r="H81" s="18" t="b">
        <f aca="false">IF(E81&gt;0.5,"D","R")=IF(C81&gt;0.5,"D","R")</f>
        <v>1</v>
      </c>
      <c r="I81" s="9" t="n">
        <f aca="false">'House Vote Data'!G310</f>
        <v>0.373493975903614</v>
      </c>
      <c r="J81" s="9" t="n">
        <f aca="false">'House Vote Data'!G311</f>
        <v>0.324110671936759</v>
      </c>
      <c r="K81" s="9" t="n">
        <f aca="false">'House Vote Data'!G312</f>
        <v>0.335051546391753</v>
      </c>
      <c r="M81" s="8" t="n">
        <f aca="false">ABS(D81)</f>
        <v>4.94360533135099</v>
      </c>
      <c r="N81" s="8" t="n">
        <f aca="false">ABS(F81)</f>
        <v>2.01608088206027</v>
      </c>
      <c r="O81" s="16" t="n">
        <f aca="false">SLOPE(I81:K81,$W$4:$Y$4)</f>
        <v>-0.00449079094564477</v>
      </c>
      <c r="P81" s="9" t="n">
        <f aca="false">MIN(1,MAX(0,K81+O81*($Z$4-$Y$4)))</f>
        <v>0.326904338711808</v>
      </c>
      <c r="Q81" s="17" t="n">
        <f aca="false">(P81-C81)*100</f>
        <v>-2.83080165005477</v>
      </c>
      <c r="R81" s="18" t="b">
        <f aca="false">IF(P81&gt;0.5,"D","R")=IF(C81&gt;0.5,"D","R")</f>
        <v>1</v>
      </c>
      <c r="S81" s="8" t="n">
        <f aca="false">ABS(Q81)</f>
        <v>2.83080165005477</v>
      </c>
      <c r="U81" s="9" t="n">
        <f aca="false">MIN(1,MAX(0,(9.05022494236107+0.113115349224159*'Registration &amp; ACS Data'!D313*100+11.7889818160387*'Registration &amp; ACS Data'!E313+(-6.22406681530858)*1+0.775169323879817*(K81*100))/100))</f>
        <v>0.28449022396497</v>
      </c>
      <c r="V81" s="17" t="n">
        <f aca="false">(U81-C81)*100</f>
        <v>-7.0722131247385</v>
      </c>
      <c r="W81" s="18" t="b">
        <f aca="false">IF(U81&gt;0.5,"D","R")=IF(C81&gt;0.5,"D","R")</f>
        <v>1</v>
      </c>
      <c r="X81" s="8" t="n">
        <f aca="false">ABS(V81)</f>
        <v>7.0722131247385</v>
      </c>
    </row>
    <row r="82" customFormat="false" ht="15" hidden="false" customHeight="true" outlineLevel="0" collapsed="false">
      <c r="A82" s="8" t="s">
        <v>134</v>
      </c>
      <c r="B82" s="9" t="n">
        <f aca="false">MIN(1,MAX(0, SLOPE(I82:K82,{2018,2020,2022})*2024 + INTERCEPT(I82:K82,{2018,2020,2022})))</f>
        <v>0.350919691698206</v>
      </c>
      <c r="C82" s="9" t="n">
        <f aca="false">'House Vote Data'!G317</f>
        <v>0.365720524017467</v>
      </c>
      <c r="D82" s="17" t="n">
        <f aca="false">(B82-C82)*100</f>
        <v>-1.48008323192617</v>
      </c>
      <c r="E82" s="9" t="n">
        <f aca="false">K82</f>
        <v>0.381656804733728</v>
      </c>
      <c r="F82" s="17" t="n">
        <f aca="false">(E82-C82)*100</f>
        <v>1.59362807162606</v>
      </c>
      <c r="G82" s="18" t="b">
        <f aca="false">IF(B82&gt;0.5,"D","R")=IF(C82&gt;0.5,"D","R")</f>
        <v>1</v>
      </c>
      <c r="H82" s="18" t="b">
        <f aca="false">IF(E82&gt;0.5,"D","R")=IF(C82&gt;0.5,"D","R")</f>
        <v>1</v>
      </c>
      <c r="I82" s="9" t="n">
        <f aca="false">'House Vote Data'!G314</f>
        <v>0.420415224913495</v>
      </c>
      <c r="J82" s="9" t="n">
        <f aca="false">'House Vote Data'!G315</f>
        <v>0.366962305986696</v>
      </c>
      <c r="K82" s="9" t="n">
        <f aca="false">'House Vote Data'!G316</f>
        <v>0.381656804733728</v>
      </c>
      <c r="M82" s="8" t="n">
        <f aca="false">ABS(D82)</f>
        <v>1.48008323192617</v>
      </c>
      <c r="N82" s="8" t="n">
        <f aca="false">ABS(F82)</f>
        <v>1.59362807162606</v>
      </c>
      <c r="O82" s="16" t="n">
        <f aca="false">SLOPE(I82:K82,$W$4:$Y$4)</f>
        <v>-0.00511795303833407</v>
      </c>
      <c r="P82" s="9" t="n">
        <f aca="false">MIN(1,MAX(0,K82+O82*($Z$4-$Y$4)))</f>
        <v>0.372371797525821</v>
      </c>
      <c r="Q82" s="17" t="n">
        <f aca="false">(P82-C82)*100</f>
        <v>0.665127350835409</v>
      </c>
      <c r="R82" s="18" t="b">
        <f aca="false">IF(P82&gt;0.5,"D","R")=IF(C82&gt;0.5,"D","R")</f>
        <v>1</v>
      </c>
      <c r="S82" s="8" t="n">
        <f aca="false">ABS(Q82)</f>
        <v>0.665127350835409</v>
      </c>
      <c r="U82" s="9" t="n">
        <f aca="false">MIN(1,MAX(0,(9.05022494236107+0.113115349224159*'Registration &amp; ACS Data'!D317*100+11.7889818160387*'Registration &amp; ACS Data'!E317+(-6.22406681530858)*1+0.775169323879817*(K82*100))/100))</f>
        <v>0.341665322381316</v>
      </c>
      <c r="V82" s="17" t="n">
        <f aca="false">(U82-C82)*100</f>
        <v>-2.40552016361517</v>
      </c>
      <c r="W82" s="18" t="b">
        <f aca="false">IF(U82&gt;0.5,"D","R")=IF(C82&gt;0.5,"D","R")</f>
        <v>1</v>
      </c>
      <c r="X82" s="8" t="n">
        <f aca="false">ABS(V82)</f>
        <v>2.40552016361517</v>
      </c>
    </row>
    <row r="83" customFormat="false" ht="15" hidden="false" customHeight="true" outlineLevel="0" collapsed="false">
      <c r="A83" s="8" t="s">
        <v>135</v>
      </c>
      <c r="B83" s="9" t="n">
        <f aca="false">MIN(1,MAX(0, SLOPE(I83:K83,{2018,2020,2022})*2024 + INTERCEPT(I83:K83,{2018,2020,2022})))</f>
        <v>0.38566015966401</v>
      </c>
      <c r="C83" s="9" t="n">
        <f aca="false">'House Vote Data'!G321</f>
        <v>0.404624277456647</v>
      </c>
      <c r="D83" s="17" t="n">
        <f aca="false">(B83-C83)*100</f>
        <v>-1.89641177926377</v>
      </c>
      <c r="E83" s="9" t="n">
        <f aca="false">K83</f>
        <v>0.41343669250646</v>
      </c>
      <c r="F83" s="17" t="n">
        <f aca="false">(E83-C83)*100</f>
        <v>0.881241504981251</v>
      </c>
      <c r="G83" s="18" t="b">
        <f aca="false">IF(B83&gt;0.5,"D","R")=IF(C83&gt;0.5,"D","R")</f>
        <v>1</v>
      </c>
      <c r="H83" s="18" t="b">
        <f aca="false">IF(E83&gt;0.5,"D","R")=IF(C83&gt;0.5,"D","R")</f>
        <v>1</v>
      </c>
      <c r="I83" s="9" t="n">
        <f aca="false">'House Vote Data'!G318</f>
        <v>0.452229299363057</v>
      </c>
      <c r="J83" s="9" t="n">
        <f aca="false">'House Vote Data'!G319</f>
        <v>0.407692307692308</v>
      </c>
      <c r="K83" s="9" t="n">
        <f aca="false">'House Vote Data'!G320</f>
        <v>0.41343669250646</v>
      </c>
      <c r="M83" s="8" t="n">
        <f aca="false">ABS(D83)</f>
        <v>1.89641177926377</v>
      </c>
      <c r="N83" s="8" t="n">
        <f aca="false">ABS(F83)</f>
        <v>0.881241504981251</v>
      </c>
      <c r="O83" s="16" t="n">
        <f aca="false">SLOPE(I83:K83,$W$4:$Y$4)</f>
        <v>-0.00367844809161022</v>
      </c>
      <c r="P83" s="9" t="n">
        <f aca="false">MIN(1,MAX(0,K83+O83*($Z$4-$Y$4)))</f>
        <v>0.406763239899785</v>
      </c>
      <c r="Q83" s="17" t="n">
        <f aca="false">(P83-C83)*100</f>
        <v>0.213896244313749</v>
      </c>
      <c r="R83" s="18" t="b">
        <f aca="false">IF(P83&gt;0.5,"D","R")=IF(C83&gt;0.5,"D","R")</f>
        <v>1</v>
      </c>
      <c r="S83" s="8" t="n">
        <f aca="false">ABS(Q83)</f>
        <v>0.213896244313749</v>
      </c>
      <c r="U83" s="9" t="n">
        <f aca="false">MIN(1,MAX(0,(9.05022494236107+0.113115349224159*'Registration &amp; ACS Data'!D321*100+11.7889818160387*'Registration &amp; ACS Data'!E321+(-6.22406681530858)*1+0.775169323879817*(K83*100))/100))</f>
        <v>0.376187579234713</v>
      </c>
      <c r="V83" s="17" t="n">
        <f aca="false">(U83-C83)*100</f>
        <v>-2.84366982219345</v>
      </c>
      <c r="W83" s="18" t="b">
        <f aca="false">IF(U83&gt;0.5,"D","R")=IF(C83&gt;0.5,"D","R")</f>
        <v>1</v>
      </c>
      <c r="X83" s="8" t="n">
        <f aca="false">ABS(V83)</f>
        <v>2.84366982219345</v>
      </c>
    </row>
    <row r="84" customFormat="false" ht="15" hidden="false" customHeight="true" outlineLevel="0" collapsed="false">
      <c r="A84" s="8" t="s">
        <v>136</v>
      </c>
      <c r="B84" s="9" t="n">
        <f aca="false">MIN(1,MAX(0, SLOPE(I84:K84,{2018,2020,2022})*2024 + INTERCEPT(I84:K84,{2018,2020,2022})))</f>
        <v>0.424820292434304</v>
      </c>
      <c r="C84" s="9" t="n">
        <f aca="false">'House Vote Data'!G325</f>
        <v>0.419518377693283</v>
      </c>
      <c r="D84" s="17" t="n">
        <f aca="false">(B84-C84)*100</f>
        <v>0.53019147410216</v>
      </c>
      <c r="E84" s="9" t="n">
        <f aca="false">K84</f>
        <v>0.433155080213904</v>
      </c>
      <c r="F84" s="17" t="n">
        <f aca="false">(E84-C84)*100</f>
        <v>1.36367025206211</v>
      </c>
      <c r="G84" s="18" t="b">
        <f aca="false">IF(B84&gt;0.5,"D","R")=IF(C84&gt;0.5,"D","R")</f>
        <v>1</v>
      </c>
      <c r="H84" s="18" t="b">
        <f aca="false">IF(E84&gt;0.5,"D","R")=IF(C84&gt;0.5,"D","R")</f>
        <v>1</v>
      </c>
      <c r="I84" s="9" t="n">
        <f aca="false">'House Vote Data'!G322</f>
        <v>0.431460674157303</v>
      </c>
      <c r="J84" s="9" t="n">
        <f aca="false">'House Vote Data'!G323</f>
        <v>0.404761904761905</v>
      </c>
      <c r="K84" s="9" t="n">
        <f aca="false">'House Vote Data'!G324</f>
        <v>0.433155080213904</v>
      </c>
      <c r="M84" s="8" t="n">
        <f aca="false">ABS(D84)</f>
        <v>0.53019147410216</v>
      </c>
      <c r="N84" s="8" t="n">
        <f aca="false">ABS(F84)</f>
        <v>1.36367025206211</v>
      </c>
      <c r="O84" s="16" t="n">
        <f aca="false">SLOPE(I84:K84,$W$4:$Y$4)</f>
        <v>-0.00445410891514953</v>
      </c>
      <c r="P84" s="9" t="n">
        <f aca="false">MIN(1,MAX(0,K84+O84*($Z$4-$Y$4)))</f>
        <v>0.425074421194136</v>
      </c>
      <c r="Q84" s="17" t="n">
        <f aca="false">(P84-C84)*100</f>
        <v>0.555604350085298</v>
      </c>
      <c r="R84" s="18" t="b">
        <f aca="false">IF(P84&gt;0.5,"D","R")=IF(C84&gt;0.5,"D","R")</f>
        <v>1</v>
      </c>
      <c r="S84" s="8" t="n">
        <f aca="false">ABS(Q84)</f>
        <v>0.555604350085298</v>
      </c>
      <c r="U84" s="9" t="n">
        <f aca="false">MIN(1,MAX(0,(9.05022494236107+0.113115349224159*'Registration &amp; ACS Data'!D325*100+11.7889818160387*'Registration &amp; ACS Data'!E325+(-6.22406681530858)*1+0.775169323879817*(K84*100))/100))</f>
        <v>0.397627324713127</v>
      </c>
      <c r="V84" s="17" t="n">
        <f aca="false">(U84-C84)*100</f>
        <v>-2.18910529801555</v>
      </c>
      <c r="W84" s="18" t="b">
        <f aca="false">IF(U84&gt;0.5,"D","R")=IF(C84&gt;0.5,"D","R")</f>
        <v>1</v>
      </c>
      <c r="X84" s="8" t="n">
        <f aca="false">ABS(V84)</f>
        <v>2.18910529801555</v>
      </c>
    </row>
    <row r="85" customFormat="false" ht="15" hidden="false" customHeight="true" outlineLevel="0" collapsed="false">
      <c r="A85" s="8" t="s">
        <v>137</v>
      </c>
      <c r="B85" s="9" t="n">
        <f aca="false">MIN(1,MAX(0, SLOPE(I85:K85,{2018,2020,2022})*2024 + INTERCEPT(I85:K85,{2018,2020,2022})))</f>
        <v>0.304214602462807</v>
      </c>
      <c r="C85" s="9" t="n">
        <f aca="false">'House Vote Data'!G329</f>
        <v>0.313794845881759</v>
      </c>
      <c r="D85" s="17" t="n">
        <f aca="false">(B85-C85)*100</f>
        <v>-0.958024341895175</v>
      </c>
      <c r="E85" s="9" t="n">
        <f aca="false">K85</f>
        <v>0.3296</v>
      </c>
      <c r="F85" s="17" t="n">
        <f aca="false">(E85-C85)*100</f>
        <v>1.58051541182415</v>
      </c>
      <c r="G85" s="18" t="b">
        <f aca="false">IF(B85&gt;0.5,"D","R")=IF(C85&gt;0.5,"D","R")</f>
        <v>1</v>
      </c>
      <c r="H85" s="18" t="b">
        <f aca="false">IF(E85&gt;0.5,"D","R")=IF(C85&gt;0.5,"D","R")</f>
        <v>1</v>
      </c>
      <c r="I85" s="9" t="n">
        <f aca="false">'House Vote Data'!G326</f>
        <v>0.36136023916293</v>
      </c>
      <c r="J85" s="9" t="n">
        <f aca="false">'House Vote Data'!G327</f>
        <v>0.316964285714286</v>
      </c>
      <c r="K85" s="9" t="n">
        <f aca="false">'House Vote Data'!G328</f>
        <v>0.3296</v>
      </c>
      <c r="M85" s="8" t="n">
        <f aca="false">ABS(D85)</f>
        <v>0.958024341895175</v>
      </c>
      <c r="N85" s="8" t="n">
        <f aca="false">ABS(F85)</f>
        <v>1.58051541182415</v>
      </c>
      <c r="O85" s="16" t="n">
        <f aca="false">SLOPE(I85:K85,$W$4:$Y$4)</f>
        <v>-0.00428962930287185</v>
      </c>
      <c r="P85" s="9" t="n">
        <f aca="false">MIN(1,MAX(0,K85+O85*($Z$4-$Y$4)))</f>
        <v>0.321817740432926</v>
      </c>
      <c r="Q85" s="17" t="n">
        <f aca="false">(P85-C85)*100</f>
        <v>0.802289455116728</v>
      </c>
      <c r="R85" s="18" t="b">
        <f aca="false">IF(P85&gt;0.5,"D","R")=IF(C85&gt;0.5,"D","R")</f>
        <v>1</v>
      </c>
      <c r="S85" s="8" t="n">
        <f aca="false">ABS(Q85)</f>
        <v>0.802289455116728</v>
      </c>
      <c r="U85" s="9" t="n">
        <f aca="false">MIN(1,MAX(0,(9.05022494236107+0.113115349224159*'Registration &amp; ACS Data'!D329*100+11.7889818160387*'Registration &amp; ACS Data'!E329+(-6.22406681530858)*1+0.775169323879817*(K85*100))/100))</f>
        <v>0.281573855812912</v>
      </c>
      <c r="V85" s="17" t="n">
        <f aca="false">(U85-C85)*100</f>
        <v>-3.22209900688462</v>
      </c>
      <c r="W85" s="18" t="b">
        <f aca="false">IF(U85&gt;0.5,"D","R")=IF(C85&gt;0.5,"D","R")</f>
        <v>1</v>
      </c>
      <c r="X85" s="8" t="n">
        <f aca="false">ABS(V85)</f>
        <v>3.22209900688462</v>
      </c>
    </row>
    <row r="86" customFormat="false" ht="15" hidden="false" customHeight="true" outlineLevel="0" collapsed="false">
      <c r="A86" s="8" t="s">
        <v>138</v>
      </c>
      <c r="B86" s="9" t="n">
        <f aca="false">MIN(1,MAX(0, SLOPE(I86:K86,{2018,2020,2022})*2024 + INTERCEPT(I86:K86,{2018,2020,2022})))</f>
        <v>0.485830921660597</v>
      </c>
      <c r="C86" s="9" t="n">
        <f aca="false">'House Vote Data'!G333</f>
        <v>0.477742641693019</v>
      </c>
      <c r="D86" s="17" t="n">
        <f aca="false">(B86-C86)*100</f>
        <v>0.808827996757799</v>
      </c>
      <c r="E86" s="9" t="n">
        <f aca="false">K86</f>
        <v>0.497944988934556</v>
      </c>
      <c r="F86" s="17" t="n">
        <f aca="false">(E86-C86)*100</f>
        <v>2.02023472415371</v>
      </c>
      <c r="G86" s="18" t="b">
        <f aca="false">IF(B86&gt;0.5,"D","R")=IF(C86&gt;0.5,"D","R")</f>
        <v>1</v>
      </c>
      <c r="H86" s="18" t="b">
        <f aca="false">IF(E86&gt;0.5,"D","R")=IF(C86&gt;0.5,"D","R")</f>
        <v>1</v>
      </c>
      <c r="I86" s="9" t="n">
        <f aca="false">'House Vote Data'!G330</f>
        <v>0.499801823226318</v>
      </c>
      <c r="J86" s="9" t="n">
        <f aca="false">'House Vote Data'!G331</f>
        <v>0.465316455696203</v>
      </c>
      <c r="K86" s="9" t="n">
        <f aca="false">'House Vote Data'!G332</f>
        <v>0.497944988934556</v>
      </c>
      <c r="M86" s="8" t="n">
        <f aca="false">ABS(D86)</f>
        <v>0.808827996757799</v>
      </c>
      <c r="N86" s="8" t="n">
        <f aca="false">ABS(F86)</f>
        <v>2.02023472415371</v>
      </c>
      <c r="O86" s="16" t="n">
        <f aca="false">SLOPE(I86:K86,$W$4:$Y$4)</f>
        <v>-0.00538847699071151</v>
      </c>
      <c r="P86" s="9" t="n">
        <f aca="false">MIN(1,MAX(0,K86+O86*($Z$4-$Y$4)))</f>
        <v>0.48816919628393</v>
      </c>
      <c r="Q86" s="17" t="n">
        <f aca="false">(P86-C86)*100</f>
        <v>1.04265545909112</v>
      </c>
      <c r="R86" s="18" t="b">
        <f aca="false">IF(P86&gt;0.5,"D","R")=IF(C86&gt;0.5,"D","R")</f>
        <v>1</v>
      </c>
      <c r="S86" s="8" t="n">
        <f aca="false">ABS(Q86)</f>
        <v>1.04265545909112</v>
      </c>
      <c r="U86" s="9" t="n">
        <f aca="false">MIN(1,MAX(0,(9.05022494236107+0.113115349224159*'Registration &amp; ACS Data'!D333*100+11.7889818160387*'Registration &amp; ACS Data'!E333+(-6.22406681530858)*1+0.775169323879817*(K86*100))/100))</f>
        <v>0.456208381421783</v>
      </c>
      <c r="V86" s="17" t="n">
        <f aca="false">(U86-C86)*100</f>
        <v>-2.15342602712353</v>
      </c>
      <c r="W86" s="18" t="b">
        <f aca="false">IF(U86&gt;0.5,"D","R")=IF(C86&gt;0.5,"D","R")</f>
        <v>1</v>
      </c>
      <c r="X86" s="8" t="n">
        <f aca="false">ABS(V86)</f>
        <v>2.15342602712353</v>
      </c>
    </row>
    <row r="87" customFormat="false" ht="15" hidden="false" customHeight="true" outlineLevel="0" collapsed="false">
      <c r="A87" s="8" t="s">
        <v>139</v>
      </c>
      <c r="B87" s="9" t="n">
        <f aca="false">MIN(1,MAX(0, SLOPE(I87:K87,{2018,2020,2022})*2024 + INTERCEPT(I87:K87,{2018,2020,2022})))</f>
        <v>0.409498210934451</v>
      </c>
      <c r="C87" s="9" t="n">
        <f aca="false">'House Vote Data'!G337</f>
        <v>0.387337057728119</v>
      </c>
      <c r="D87" s="17" t="n">
        <f aca="false">(B87-C87)*100</f>
        <v>2.21611532063313</v>
      </c>
      <c r="E87" s="9" t="n">
        <f aca="false">K87</f>
        <v>0.421270718232044</v>
      </c>
      <c r="F87" s="17" t="n">
        <f aca="false">(E87-C87)*100</f>
        <v>3.3933660503925</v>
      </c>
      <c r="G87" s="18" t="b">
        <f aca="false">IF(B87&gt;0.5,"D","R")=IF(C87&gt;0.5,"D","R")</f>
        <v>1</v>
      </c>
      <c r="H87" s="18" t="b">
        <f aca="false">IF(E87&gt;0.5,"D","R")=IF(C87&gt;0.5,"D","R")</f>
        <v>1</v>
      </c>
      <c r="I87" s="9" t="n">
        <f aca="false">'House Vote Data'!G334</f>
        <v>0.420875420875421</v>
      </c>
      <c r="J87" s="9" t="n">
        <f aca="false">'House Vote Data'!G335</f>
        <v>0.385162601626016</v>
      </c>
      <c r="K87" s="9" t="n">
        <f aca="false">'House Vote Data'!G336</f>
        <v>0.421270718232044</v>
      </c>
      <c r="M87" s="8" t="n">
        <f aca="false">ABS(D87)</f>
        <v>2.21611532063313</v>
      </c>
      <c r="N87" s="8" t="n">
        <f aca="false">ABS(F87)</f>
        <v>3.3933660503925</v>
      </c>
      <c r="O87" s="16" t="n">
        <f aca="false">SLOPE(I87:K87,$W$4:$Y$4)</f>
        <v>-0.00578923778858487</v>
      </c>
      <c r="P87" s="9" t="n">
        <f aca="false">MIN(1,MAX(0,K87+O87*($Z$4-$Y$4)))</f>
        <v>0.410767864025943</v>
      </c>
      <c r="Q87" s="17" t="n">
        <f aca="false">(P87-C87)*100</f>
        <v>2.34308062978239</v>
      </c>
      <c r="R87" s="18" t="b">
        <f aca="false">IF(P87&gt;0.5,"D","R")=IF(C87&gt;0.5,"D","R")</f>
        <v>1</v>
      </c>
      <c r="S87" s="8" t="n">
        <f aca="false">ABS(Q87)</f>
        <v>2.34308062978239</v>
      </c>
      <c r="U87" s="9" t="n">
        <f aca="false">MIN(1,MAX(0,(9.05022494236107+0.113115349224159*'Registration &amp; ACS Data'!D337*100+11.7889818160387*'Registration &amp; ACS Data'!E337+(-6.22406681530858)*1+0.775169323879817*(K87*100))/100))</f>
        <v>0.362842322206579</v>
      </c>
      <c r="V87" s="17" t="n">
        <f aca="false">(U87-C87)*100</f>
        <v>-2.44947355215403</v>
      </c>
      <c r="W87" s="18" t="b">
        <f aca="false">IF(U87&gt;0.5,"D","R")=IF(C87&gt;0.5,"D","R")</f>
        <v>1</v>
      </c>
      <c r="X87" s="8" t="n">
        <f aca="false">ABS(V87)</f>
        <v>2.44947355215403</v>
      </c>
    </row>
    <row r="88" customFormat="false" ht="15" hidden="false" customHeight="true" outlineLevel="0" collapsed="false">
      <c r="A88" s="8" t="s">
        <v>103</v>
      </c>
      <c r="B88" s="9" t="n">
        <f aca="false">MIN(1,MAX(0, SLOPE(I88:K88,{2018,2020,2022})*2024 + INTERCEPT(I88:K88,{2018,2020,2022})))</f>
        <v>0.327309038467465</v>
      </c>
      <c r="C88" s="9" t="n">
        <f aca="false">'House Vote Data'!G341</f>
        <v>0.332694151486098</v>
      </c>
      <c r="D88" s="17" t="n">
        <f aca="false">(B88-C88)*100</f>
        <v>-0.538511301863254</v>
      </c>
      <c r="E88" s="9" t="n">
        <f aca="false">K88</f>
        <v>0.353982300884956</v>
      </c>
      <c r="F88" s="17" t="n">
        <f aca="false">(E88-C88)*100</f>
        <v>2.12881493988579</v>
      </c>
      <c r="G88" s="18" t="b">
        <f aca="false">IF(B88&gt;0.5,"D","R")=IF(C88&gt;0.5,"D","R")</f>
        <v>1</v>
      </c>
      <c r="H88" s="18" t="b">
        <f aca="false">IF(E88&gt;0.5,"D","R")=IF(C88&gt;0.5,"D","R")</f>
        <v>1</v>
      </c>
      <c r="I88" s="9" t="n">
        <f aca="false">'House Vote Data'!G338</f>
        <v>0.388829215896885</v>
      </c>
      <c r="J88" s="9" t="n">
        <f aca="false">'House Vote Data'!G339</f>
        <v>0.343656343656344</v>
      </c>
      <c r="K88" s="9" t="n">
        <f aca="false">'House Vote Data'!G340</f>
        <v>0.353982300884956</v>
      </c>
      <c r="M88" s="8" t="n">
        <f aca="false">ABS(D88)</f>
        <v>0.538511301863254</v>
      </c>
      <c r="N88" s="8" t="n">
        <f aca="false">ABS(F88)</f>
        <v>2.12881493988579</v>
      </c>
      <c r="O88" s="16" t="n">
        <f aca="false">SLOPE(I88:K88,$W$4:$Y$4)</f>
        <v>-0.00413656124181712</v>
      </c>
      <c r="P88" s="9" t="n">
        <f aca="false">MIN(1,MAX(0,K88+O88*($Z$4-$Y$4)))</f>
        <v>0.346477737896875</v>
      </c>
      <c r="Q88" s="17" t="n">
        <f aca="false">(P88-C88)*100</f>
        <v>1.37835864107769</v>
      </c>
      <c r="R88" s="18" t="b">
        <f aca="false">IF(P88&gt;0.5,"D","R")=IF(C88&gt;0.5,"D","R")</f>
        <v>1</v>
      </c>
      <c r="S88" s="8" t="n">
        <f aca="false">ABS(Q88)</f>
        <v>1.37835864107769</v>
      </c>
      <c r="U88" s="9" t="n">
        <f aca="false">MIN(1,MAX(0,(9.05022494236107+0.113115349224159*'Registration &amp; ACS Data'!D341*100+11.7889818160387*'Registration &amp; ACS Data'!E341+(-6.22406681530858)*1+0.775169323879817*(K88*100))/100))</f>
        <v>0.311182475190161</v>
      </c>
      <c r="V88" s="17" t="n">
        <f aca="false">(U88-C88)*100</f>
        <v>-2.15116762959368</v>
      </c>
      <c r="W88" s="18" t="b">
        <f aca="false">IF(U88&gt;0.5,"D","R")=IF(C88&gt;0.5,"D","R")</f>
        <v>1</v>
      </c>
      <c r="X88" s="8" t="n">
        <f aca="false">ABS(V88)</f>
        <v>2.15116762959368</v>
      </c>
    </row>
    <row r="89" customFormat="false" ht="15" hidden="false" customHeight="true" outlineLevel="0" collapsed="false">
      <c r="A89" s="8" t="s">
        <v>140</v>
      </c>
      <c r="B89" s="9" t="n">
        <f aca="false">MIN(1,MAX(0, SLOPE(I89:K89,{2018,2020,2022})*2024 + INTERCEPT(I89:K89,{2018,2020,2022})))</f>
        <v>0.42844208568642</v>
      </c>
      <c r="C89" s="9" t="n">
        <f aca="false">'House Vote Data'!G345</f>
        <v>0.475465313028765</v>
      </c>
      <c r="D89" s="17" t="n">
        <f aca="false">(B89-C89)*100</f>
        <v>-4.70232273423447</v>
      </c>
      <c r="E89" s="9" t="n">
        <f aca="false">K89</f>
        <v>0.480676328502416</v>
      </c>
      <c r="F89" s="17" t="n">
        <f aca="false">(E89-C89)*100</f>
        <v>0.521101547365066</v>
      </c>
      <c r="G89" s="18" t="b">
        <f aca="false">IF(B89&gt;0.5,"D","R")=IF(C89&gt;0.5,"D","R")</f>
        <v>1</v>
      </c>
      <c r="H89" s="18" t="b">
        <f aca="false">IF(E89&gt;0.5,"D","R")=IF(C89&gt;0.5,"D","R")</f>
        <v>1</v>
      </c>
      <c r="I89" s="9" t="n">
        <f aca="false">'House Vote Data'!G342</f>
        <v>0.535211267605634</v>
      </c>
      <c r="J89" s="9" t="n">
        <f aca="false">'House Vote Data'!G343</f>
        <v>0.43304347826087</v>
      </c>
      <c r="K89" s="9" t="n">
        <f aca="false">'House Vote Data'!G344</f>
        <v>0.480676328502416</v>
      </c>
      <c r="M89" s="8" t="n">
        <f aca="false">ABS(D89)</f>
        <v>4.70232273423447</v>
      </c>
      <c r="N89" s="8" t="n">
        <f aca="false">ABS(F89)</f>
        <v>0.521101547365066</v>
      </c>
      <c r="O89" s="16" t="n">
        <f aca="false">SLOPE(I89:K89,$W$4:$Y$4)</f>
        <v>-0.0115441785174847</v>
      </c>
      <c r="P89" s="9" t="n">
        <f aca="false">MIN(1,MAX(0,K89+O89*($Z$4-$Y$4)))</f>
        <v>0.459732841928515</v>
      </c>
      <c r="Q89" s="17" t="n">
        <f aca="false">(P89-C89)*100</f>
        <v>-1.57324711002502</v>
      </c>
      <c r="R89" s="18" t="b">
        <f aca="false">IF(P89&gt;0.5,"D","R")=IF(C89&gt;0.5,"D","R")</f>
        <v>1</v>
      </c>
      <c r="S89" s="8" t="n">
        <f aca="false">ABS(Q89)</f>
        <v>1.57324711002502</v>
      </c>
      <c r="U89" s="9" t="n">
        <f aca="false">MIN(1,MAX(0,(9.05022494236107+0.113115349224159*'Registration &amp; ACS Data'!D345*100+11.7889818160387*'Registration &amp; ACS Data'!E345+(-6.22406681530858)*1+0.775169323879817*(K89*100))/100))</f>
        <v>0.418135887658608</v>
      </c>
      <c r="V89" s="17" t="n">
        <f aca="false">(U89-C89)*100</f>
        <v>-5.73294253701566</v>
      </c>
      <c r="W89" s="18" t="b">
        <f aca="false">IF(U89&gt;0.5,"D","R")=IF(C89&gt;0.5,"D","R")</f>
        <v>1</v>
      </c>
      <c r="X89" s="8" t="n">
        <f aca="false">ABS(V89)</f>
        <v>5.73294253701566</v>
      </c>
    </row>
    <row r="90" customFormat="false" ht="15" hidden="false" customHeight="true" outlineLevel="0" collapsed="false">
      <c r="A90" s="8" t="s">
        <v>141</v>
      </c>
      <c r="B90" s="9" t="n">
        <f aca="false">MIN(1,MAX(0, SLOPE(I90:K90,{2018,2020,2022})*2024 + INTERCEPT(I90:K90,{2018,2020,2022})))</f>
        <v>0.422208597674727</v>
      </c>
      <c r="C90" s="9" t="n">
        <f aca="false">'House Vote Data'!G349</f>
        <v>0.434792843691149</v>
      </c>
      <c r="D90" s="17" t="n">
        <f aca="false">(B90-C90)*100</f>
        <v>-1.25842460164218</v>
      </c>
      <c r="E90" s="9" t="n">
        <f aca="false">K90</f>
        <v>0.439083232810615</v>
      </c>
      <c r="F90" s="17" t="n">
        <f aca="false">(E90-C90)*100</f>
        <v>0.429038911946639</v>
      </c>
      <c r="G90" s="18" t="b">
        <f aca="false">IF(B90&gt;0.5,"D","R")=IF(C90&gt;0.5,"D","R")</f>
        <v>1</v>
      </c>
      <c r="H90" s="18" t="b">
        <f aca="false">IF(E90&gt;0.5,"D","R")=IF(C90&gt;0.5,"D","R")</f>
        <v>1</v>
      </c>
      <c r="I90" s="9" t="n">
        <f aca="false">'House Vote Data'!G346</f>
        <v>0.457950530035336</v>
      </c>
      <c r="J90" s="9" t="n">
        <f aca="false">'House Vote Data'!G347</f>
        <v>0.426193921852388</v>
      </c>
      <c r="K90" s="9" t="n">
        <f aca="false">'House Vote Data'!G348</f>
        <v>0.439083232810615</v>
      </c>
      <c r="M90" s="8" t="n">
        <f aca="false">ABS(D90)</f>
        <v>1.25842460164218</v>
      </c>
      <c r="N90" s="8" t="n">
        <f aca="false">ABS(F90)</f>
        <v>0.429038911946639</v>
      </c>
      <c r="O90" s="16" t="n">
        <f aca="false">SLOPE(I90:K90,$W$4:$Y$4)</f>
        <v>-0.00341551578753891</v>
      </c>
      <c r="P90" s="9" t="n">
        <f aca="false">MIN(1,MAX(0,K90+O90*($Z$4-$Y$4)))</f>
        <v>0.432886792853374</v>
      </c>
      <c r="Q90" s="17" t="n">
        <f aca="false">(P90-C90)*100</f>
        <v>-0.190605083777484</v>
      </c>
      <c r="R90" s="18" t="b">
        <f aca="false">IF(P90&gt;0.5,"D","R")=IF(C90&gt;0.5,"D","R")</f>
        <v>1</v>
      </c>
      <c r="S90" s="8" t="n">
        <f aca="false">ABS(Q90)</f>
        <v>0.190605083777484</v>
      </c>
      <c r="U90" s="9" t="n">
        <f aca="false">MIN(1,MAX(0,(9.05022494236107+0.113115349224159*'Registration &amp; ACS Data'!D349*100+11.7889818160387*'Registration &amp; ACS Data'!E349+(-6.22406681530858)*1+0.775169323879817*(K90*100))/100))</f>
        <v>0.401696001711368</v>
      </c>
      <c r="V90" s="17" t="n">
        <f aca="false">(U90-C90)*100</f>
        <v>-3.30968419797808</v>
      </c>
      <c r="W90" s="18" t="b">
        <f aca="false">IF(U90&gt;0.5,"D","R")=IF(C90&gt;0.5,"D","R")</f>
        <v>1</v>
      </c>
      <c r="X90" s="8" t="n">
        <f aca="false">ABS(V90)</f>
        <v>3.30968419797808</v>
      </c>
    </row>
    <row r="91" customFormat="false" ht="15" hidden="false" customHeight="true" outlineLevel="0" collapsed="false">
      <c r="A91" s="8" t="s">
        <v>142</v>
      </c>
      <c r="B91" s="9" t="n">
        <f aca="false">MIN(1,MAX(0, SLOPE(I91:K91,{2018,2020,2022})*2024 + INTERCEPT(I91:K91,{2018,2020,2022})))</f>
        <v>0.560673813975972</v>
      </c>
      <c r="C91" s="9" t="n">
        <f aca="false">'House Vote Data'!G353</f>
        <v>0.552256186317322</v>
      </c>
      <c r="D91" s="17" t="n">
        <f aca="false">(B91-C91)*100</f>
        <v>0.841762765865073</v>
      </c>
      <c r="E91" s="9" t="n">
        <f aca="false">K91</f>
        <v>0.584387265590929</v>
      </c>
      <c r="F91" s="17" t="n">
        <f aca="false">(E91-C91)*100</f>
        <v>3.21310792736073</v>
      </c>
      <c r="G91" s="18" t="b">
        <f aca="false">IF(B91&gt;0.5,"D","R")=IF(C91&gt;0.5,"D","R")</f>
        <v>1</v>
      </c>
      <c r="H91" s="18" t="b">
        <f aca="false">IF(E91&gt;0.5,"D","R")=IF(C91&gt;0.5,"D","R")</f>
        <v>1</v>
      </c>
      <c r="I91" s="9" t="n">
        <f aca="false">'House Vote Data'!G350</f>
        <v>0.606222654350997</v>
      </c>
      <c r="J91" s="9" t="n">
        <f aca="false">'House Vote Data'!G351</f>
        <v>0.5569176882662</v>
      </c>
      <c r="K91" s="9" t="n">
        <f aca="false">'House Vote Data'!G352</f>
        <v>0.584387265590929</v>
      </c>
      <c r="M91" s="8" t="n">
        <f aca="false">ABS(D91)</f>
        <v>0.841762765865073</v>
      </c>
      <c r="N91" s="8" t="n">
        <f aca="false">ABS(F91)</f>
        <v>3.21310792736073</v>
      </c>
      <c r="O91" s="16" t="n">
        <f aca="false">SLOPE(I91:K91,$W$4:$Y$4)</f>
        <v>-0.00597514273462975</v>
      </c>
      <c r="P91" s="9" t="n">
        <f aca="false">MIN(1,MAX(0,K91+O91*($Z$4-$Y$4)))</f>
        <v>0.573547142021259</v>
      </c>
      <c r="Q91" s="17" t="n">
        <f aca="false">(P91-C91)*100</f>
        <v>2.12909557039377</v>
      </c>
      <c r="R91" s="18" t="b">
        <f aca="false">IF(P91&gt;0.5,"D","R")=IF(C91&gt;0.5,"D","R")</f>
        <v>1</v>
      </c>
      <c r="S91" s="8" t="n">
        <f aca="false">ABS(Q91)</f>
        <v>2.12909557039377</v>
      </c>
      <c r="U91" s="9" t="n">
        <f aca="false">MIN(1,MAX(0,(9.05022494236107+0.113115349224159*'Registration &amp; ACS Data'!D353*100+11.7889818160387*'Registration &amp; ACS Data'!E353+(-6.22406681530858)*1+0.775169323879817*(K91*100))/100))</f>
        <v>0.529573137444117</v>
      </c>
      <c r="V91" s="17" t="n">
        <f aca="false">(U91-C91)*100</f>
        <v>-2.2683048873205</v>
      </c>
      <c r="W91" s="18" t="b">
        <f aca="false">IF(U91&gt;0.5,"D","R")=IF(C91&gt;0.5,"D","R")</f>
        <v>1</v>
      </c>
      <c r="X91" s="8" t="n">
        <f aca="false">ABS(V91)</f>
        <v>2.2683048873205</v>
      </c>
    </row>
    <row r="92" customFormat="false" ht="15" hidden="false" customHeight="true" outlineLevel="0" collapsed="false">
      <c r="A92" s="8" t="s">
        <v>143</v>
      </c>
      <c r="B92" s="9" t="n">
        <f aca="false">MIN(1,MAX(0, SLOPE(I92:K92,{2018,2020,2022})*2024 + INTERCEPT(I92:K92,{2018,2020,2022})))</f>
        <v>0.429834532700326</v>
      </c>
      <c r="C92" s="9" t="n">
        <f aca="false">'House Vote Data'!G357</f>
        <v>0.425503355704698</v>
      </c>
      <c r="D92" s="17" t="n">
        <f aca="false">(B92-C92)*100</f>
        <v>0.433117699562791</v>
      </c>
      <c r="E92" s="9" t="n">
        <f aca="false">K92</f>
        <v>0.451141552511416</v>
      </c>
      <c r="F92" s="17" t="n">
        <f aca="false">(E92-C92)*100</f>
        <v>2.56381968067175</v>
      </c>
      <c r="G92" s="18" t="b">
        <f aca="false">IF(B92&gt;0.5,"D","R")=IF(C92&gt;0.5,"D","R")</f>
        <v>1</v>
      </c>
      <c r="H92" s="18" t="b">
        <f aca="false">IF(E92&gt;0.5,"D","R")=IF(C92&gt;0.5,"D","R")</f>
        <v>1</v>
      </c>
      <c r="I92" s="9" t="n">
        <f aca="false">'House Vote Data'!G354</f>
        <v>0.453066332916145</v>
      </c>
      <c r="J92" s="9" t="n">
        <f aca="false">'House Vote Data'!G355</f>
        <v>0.391070053887606</v>
      </c>
      <c r="K92" s="9" t="n">
        <f aca="false">'House Vote Data'!G356</f>
        <v>0.451141552511416</v>
      </c>
      <c r="M92" s="8" t="n">
        <f aca="false">ABS(D92)</f>
        <v>0.433117699562791</v>
      </c>
      <c r="N92" s="8" t="n">
        <f aca="false">ABS(F92)</f>
        <v>2.56381968067175</v>
      </c>
      <c r="O92" s="16" t="n">
        <f aca="false">SLOPE(I92:K92,$W$4:$Y$4)</f>
        <v>-0.00981456823648141</v>
      </c>
      <c r="P92" s="9" t="n">
        <f aca="false">MIN(1,MAX(0,K92+O92*($Z$4-$Y$4)))</f>
        <v>0.433335930588811</v>
      </c>
      <c r="Q92" s="17" t="n">
        <f aca="false">(P92-C92)*100</f>
        <v>0.783257488411326</v>
      </c>
      <c r="R92" s="18" t="b">
        <f aca="false">IF(P92&gt;0.5,"D","R")=IF(C92&gt;0.5,"D","R")</f>
        <v>1</v>
      </c>
      <c r="S92" s="8" t="n">
        <f aca="false">ABS(Q92)</f>
        <v>0.783257488411326</v>
      </c>
      <c r="U92" s="9" t="n">
        <f aca="false">MIN(1,MAX(0,(9.05022494236107+0.113115349224159*'Registration &amp; ACS Data'!D357*100+11.7889818160387*'Registration &amp; ACS Data'!E357+(-6.22406681530858)*1+0.775169323879817*(K92*100))/100))</f>
        <v>0.398633442340424</v>
      </c>
      <c r="V92" s="17" t="n">
        <f aca="false">(U92-C92)*100</f>
        <v>-2.68699133642736</v>
      </c>
      <c r="W92" s="18" t="b">
        <f aca="false">IF(U92&gt;0.5,"D","R")=IF(C92&gt;0.5,"D","R")</f>
        <v>1</v>
      </c>
      <c r="X92" s="8" t="n">
        <f aca="false">ABS(V92)</f>
        <v>2.68699133642736</v>
      </c>
    </row>
    <row r="94" customFormat="false" ht="15" hidden="false" customHeight="true" outlineLevel="0" collapsed="false">
      <c r="A94" s="7" t="s">
        <v>208</v>
      </c>
      <c r="B94" s="19" t="n">
        <f aca="false">AVERAGE(M4:M92)</f>
        <v>1.98937801733021</v>
      </c>
    </row>
    <row r="95" customFormat="false" ht="15" hidden="false" customHeight="true" outlineLevel="0" collapsed="false">
      <c r="A95" s="7" t="s">
        <v>209</v>
      </c>
      <c r="B95" s="19" t="n">
        <f aca="false">AVERAGE(N4:N92)</f>
        <v>2.25639939144246</v>
      </c>
    </row>
    <row r="96" customFormat="false" ht="15" hidden="false" customHeight="true" outlineLevel="0" collapsed="false">
      <c r="A96" s="7" t="s">
        <v>210</v>
      </c>
      <c r="B96" s="7" t="str">
        <f aca="false">COUNTIF(G4:G92,TRUE())&amp;" / "&amp;89</f>
        <v>86 / 89</v>
      </c>
    </row>
    <row r="97" customFormat="false" ht="15" hidden="false" customHeight="true" outlineLevel="0" collapsed="false">
      <c r="A97" s="7" t="s">
        <v>211</v>
      </c>
      <c r="B97" s="7" t="str">
        <f aca="false">COUNTIF(H4:H92,TRUE())&amp;" / "&amp;89</f>
        <v>83 / 89</v>
      </c>
    </row>
    <row r="98" customFormat="false" ht="15" hidden="false" customHeight="true" outlineLevel="0" collapsed="false">
      <c r="A98" s="7" t="s">
        <v>212</v>
      </c>
      <c r="B98" s="19" t="n">
        <f aca="false">AVERAGE(S4:S92)</f>
        <v>1.61921773419499</v>
      </c>
    </row>
    <row r="99" customFormat="false" ht="15" hidden="false" customHeight="true" outlineLevel="0" collapsed="false">
      <c r="A99" s="7" t="s">
        <v>213</v>
      </c>
      <c r="B99" s="7" t="str">
        <f aca="false">COUNTIF(R4:R92,TRUE())&amp;" / 89"</f>
        <v>85 / 89</v>
      </c>
    </row>
    <row r="100" customFormat="false" ht="15" hidden="false" customHeight="true" outlineLevel="0" collapsed="false">
      <c r="A100" s="7" t="s">
        <v>214</v>
      </c>
      <c r="B100" s="19" t="n">
        <f aca="false">AVERAGE(X4:X92)</f>
        <v>3.09360680678303</v>
      </c>
    </row>
    <row r="101" customFormat="false" ht="15" hidden="false" customHeight="true" outlineLevel="0" collapsed="false">
      <c r="A101" s="7" t="s">
        <v>215</v>
      </c>
      <c r="B101" s="7" t="str">
        <f aca="false">COUNTIF(W4:W92,TRUE())&amp;" / 89"</f>
        <v>82 / 89</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9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4"/>
    <col collapsed="false" customWidth="true" hidden="false" outlineLevel="0" max="3" min="3" style="1" width="18"/>
    <col collapsed="false" customWidth="true" hidden="false" outlineLevel="0" max="6" min="4" style="1" width="16"/>
    <col collapsed="false" customWidth="true" hidden="false" outlineLevel="0" max="7" min="7" style="1" width="14"/>
    <col collapsed="false" customWidth="true" hidden="true" outlineLevel="0" max="11" min="8" style="1" width="13"/>
  </cols>
  <sheetData>
    <row r="1" customFormat="false" ht="15.75" hidden="false" customHeight="true" outlineLevel="0" collapsed="false">
      <c r="A1" s="10" t="s">
        <v>216</v>
      </c>
      <c r="B1" s="10"/>
      <c r="C1" s="10"/>
      <c r="D1" s="10"/>
      <c r="E1" s="10"/>
      <c r="F1" s="10"/>
      <c r="G1" s="10"/>
    </row>
    <row r="3" customFormat="false" ht="15" hidden="false" customHeight="true" outlineLevel="0" collapsed="false">
      <c r="A3" s="7" t="s">
        <v>45</v>
      </c>
      <c r="B3" s="7" t="s">
        <v>46</v>
      </c>
      <c r="C3" s="7" t="s">
        <v>217</v>
      </c>
      <c r="D3" s="7" t="s">
        <v>218</v>
      </c>
      <c r="E3" s="7" t="s">
        <v>219</v>
      </c>
      <c r="F3" s="7" t="s">
        <v>220</v>
      </c>
      <c r="G3" s="7" t="s">
        <v>221</v>
      </c>
    </row>
    <row r="4" customFormat="false" ht="15" hidden="false" customHeight="true" outlineLevel="0" collapsed="false">
      <c r="A4" s="8" t="s">
        <v>56</v>
      </c>
      <c r="B4" s="8" t="s">
        <v>57</v>
      </c>
      <c r="C4" s="12" t="n">
        <f aca="false">MAX(0, 2*'House Vote Data'!F4 - 'House Vote Data'!F2)</f>
        <v>391</v>
      </c>
      <c r="D4" s="9" t="n">
        <f aca="false">MIN(1,MAX(0, SLOPE(H4:K4,{2018,2020,2022,2024})*2026 + INTERCEPT(H4:K4,{2018,2020,2022,2024})))</f>
        <v>0.355899403782916</v>
      </c>
      <c r="E4" s="12" t="n">
        <f aca="false">ROUND(C4*D4,0)</f>
        <v>139</v>
      </c>
      <c r="F4" s="12" t="n">
        <f aca="false">ROUND(C4*(1-D4),0)</f>
        <v>252</v>
      </c>
      <c r="G4" s="8" t="str">
        <f aca="false">IF(D4&gt;0.5,"Democrat","Republican")</f>
        <v>Republican</v>
      </c>
      <c r="H4" s="9" t="n">
        <f aca="false">'House Vote Data'!G2</f>
        <v>0.41994750656168</v>
      </c>
      <c r="I4" s="9" t="n">
        <f aca="false">'House Vote Data'!G3</f>
        <v>0.339960238568589</v>
      </c>
      <c r="J4" s="9" t="n">
        <f aca="false">'House Vote Data'!G4</f>
        <v>0.354922279792746</v>
      </c>
      <c r="K4" s="9" t="n">
        <f aca="false">'House Vote Data'!G5</f>
        <v>0.388412017167382</v>
      </c>
    </row>
    <row r="5" customFormat="false" ht="15" hidden="false" customHeight="true" outlineLevel="0" collapsed="false">
      <c r="A5" s="8" t="s">
        <v>58</v>
      </c>
      <c r="B5" s="8" t="s">
        <v>57</v>
      </c>
      <c r="C5" s="12" t="n">
        <f aca="false">MAX(0, 2*'House Vote Data'!F8 - 'House Vote Data'!F6)</f>
        <v>341</v>
      </c>
      <c r="D5" s="9" t="n">
        <f aca="false">MIN(1,MAX(0, SLOPE(H5:K5,{2018,2020,2022,2024})*2026 + INTERCEPT(H5:K5,{2018,2020,2022,2024})))</f>
        <v>0.250549386020307</v>
      </c>
      <c r="E5" s="12" t="n">
        <f aca="false">ROUND(C5*D5,0)</f>
        <v>85</v>
      </c>
      <c r="F5" s="12" t="n">
        <f aca="false">ROUND(C5*(1-D5),0)</f>
        <v>256</v>
      </c>
      <c r="G5" s="8" t="str">
        <f aca="false">IF(D5&gt;0.5,"Democrat","Republican")</f>
        <v>Republican</v>
      </c>
      <c r="H5" s="9" t="n">
        <f aca="false">'House Vote Data'!G6</f>
        <v>0.331010452961673</v>
      </c>
      <c r="I5" s="9" t="n">
        <f aca="false">'House Vote Data'!G7</f>
        <v>0.248138957816377</v>
      </c>
      <c r="J5" s="9" t="n">
        <f aca="false">'House Vote Data'!G8</f>
        <v>0.267515923566879</v>
      </c>
      <c r="K5" s="9" t="n">
        <f aca="false">'House Vote Data'!G9</f>
        <v>0.282296650717703</v>
      </c>
    </row>
    <row r="6" customFormat="false" ht="15" hidden="false" customHeight="true" outlineLevel="0" collapsed="false">
      <c r="A6" s="8" t="s">
        <v>59</v>
      </c>
      <c r="B6" s="8" t="s">
        <v>57</v>
      </c>
      <c r="C6" s="12" t="n">
        <f aca="false">MAX(0, 2*'House Vote Data'!F12 - 'House Vote Data'!F10)</f>
        <v>411</v>
      </c>
      <c r="D6" s="9" t="n">
        <f aca="false">MIN(1,MAX(0, SLOPE(H6:K6,{2018,2020,2022,2024})*2026 + INTERCEPT(H6:K6,{2018,2020,2022,2024})))</f>
        <v>0.303795861749162</v>
      </c>
      <c r="E6" s="12" t="n">
        <f aca="false">ROUND(C6*D6,0)</f>
        <v>125</v>
      </c>
      <c r="F6" s="12" t="n">
        <f aca="false">ROUND(C6*(1-D6),0)</f>
        <v>286</v>
      </c>
      <c r="G6" s="8" t="str">
        <f aca="false">IF(D6&gt;0.5,"Democrat","Republican")</f>
        <v>Republican</v>
      </c>
      <c r="H6" s="9" t="n">
        <f aca="false">'House Vote Data'!G10</f>
        <v>0.385964912280702</v>
      </c>
      <c r="I6" s="9" t="n">
        <f aca="false">'House Vote Data'!G11</f>
        <v>0.259345794392523</v>
      </c>
      <c r="J6" s="9" t="n">
        <f aca="false">'House Vote Data'!G12</f>
        <v>0.359195402298851</v>
      </c>
      <c r="K6" s="9" t="n">
        <f aca="false">'House Vote Data'!G13</f>
        <v>0.317180616740088</v>
      </c>
    </row>
    <row r="7" customFormat="false" ht="15" hidden="false" customHeight="true" outlineLevel="0" collapsed="false">
      <c r="A7" s="8" t="s">
        <v>60</v>
      </c>
      <c r="B7" s="8" t="s">
        <v>57</v>
      </c>
      <c r="C7" s="12" t="n">
        <f aca="false">MAX(0, 2*'House Vote Data'!F16 - 'House Vote Data'!F14)</f>
        <v>1483</v>
      </c>
      <c r="D7" s="9" t="n">
        <f aca="false">MIN(1,MAX(0, SLOPE(H7:K7,{2018,2020,2022,2024})*2026 + INTERCEPT(H7:K7,{2018,2020,2022,2024})))</f>
        <v>0.236359589989291</v>
      </c>
      <c r="E7" s="12" t="n">
        <f aca="false">ROUND(C7*D7,0)</f>
        <v>351</v>
      </c>
      <c r="F7" s="12" t="n">
        <f aca="false">ROUND(C7*(1-D7),0)</f>
        <v>1132</v>
      </c>
      <c r="G7" s="8" t="str">
        <f aca="false">IF(D7&gt;0.5,"Democrat","Republican")</f>
        <v>Republican</v>
      </c>
      <c r="H7" s="9" t="n">
        <f aca="false">'House Vote Data'!G14</f>
        <v>0.332133213321332</v>
      </c>
      <c r="I7" s="9" t="n">
        <f aca="false">'House Vote Data'!G15</f>
        <v>0.248407643312102</v>
      </c>
      <c r="J7" s="9" t="n">
        <f aca="false">'House Vote Data'!G16</f>
        <v>0.286815728604472</v>
      </c>
      <c r="K7" s="9" t="n">
        <f aca="false">'House Vote Data'!G17</f>
        <v>0.259018332347723</v>
      </c>
    </row>
    <row r="8" customFormat="false" ht="15" hidden="false" customHeight="true" outlineLevel="0" collapsed="false">
      <c r="A8" s="8" t="s">
        <v>61</v>
      </c>
      <c r="B8" s="8" t="s">
        <v>57</v>
      </c>
      <c r="C8" s="12" t="n">
        <f aca="false">MAX(0, 2*'House Vote Data'!F20 - 'House Vote Data'!F18)</f>
        <v>111</v>
      </c>
      <c r="D8" s="9" t="n">
        <f aca="false">MIN(1,MAX(0, SLOPE(H8:K8,{2018,2020,2022,2024})*2026 + INTERCEPT(H8:K8,{2018,2020,2022,2024})))</f>
        <v>0.282338901010952</v>
      </c>
      <c r="E8" s="12" t="n">
        <f aca="false">ROUND(C8*D8,0)</f>
        <v>31</v>
      </c>
      <c r="F8" s="12" t="n">
        <f aca="false">ROUND(C8*(1-D8),0)</f>
        <v>80</v>
      </c>
      <c r="G8" s="8" t="str">
        <f aca="false">IF(D8&gt;0.5,"Democrat","Republican")</f>
        <v>Republican</v>
      </c>
      <c r="H8" s="9" t="n">
        <f aca="false">'House Vote Data'!G18</f>
        <v>0.441558441558442</v>
      </c>
      <c r="I8" s="9" t="n">
        <f aca="false">'House Vote Data'!G19</f>
        <v>0.388429752066116</v>
      </c>
      <c r="J8" s="9" t="n">
        <f aca="false">'House Vote Data'!G20</f>
        <v>0.351063829787234</v>
      </c>
      <c r="K8" s="9" t="n">
        <f aca="false">'House Vote Data'!G21</f>
        <v>0.327586206896552</v>
      </c>
    </row>
    <row r="9" customFormat="false" ht="15" hidden="false" customHeight="true" outlineLevel="0" collapsed="false">
      <c r="A9" s="8" t="s">
        <v>62</v>
      </c>
      <c r="B9" s="8" t="s">
        <v>57</v>
      </c>
      <c r="C9" s="12" t="n">
        <f aca="false">MAX(0, 2*'House Vote Data'!F24 - 'House Vote Data'!F22)</f>
        <v>2258</v>
      </c>
      <c r="D9" s="9" t="n">
        <f aca="false">MIN(1,MAX(0, SLOPE(H9:K9,{2018,2020,2022,2024})*2026 + INTERCEPT(H9:K9,{2018,2020,2022,2024})))</f>
        <v>0.258574749722985</v>
      </c>
      <c r="E9" s="12" t="n">
        <f aca="false">ROUND(C9*D9,0)</f>
        <v>584</v>
      </c>
      <c r="F9" s="12" t="n">
        <f aca="false">ROUND(C9*(1-D9),0)</f>
        <v>1674</v>
      </c>
      <c r="G9" s="8" t="str">
        <f aca="false">IF(D9&gt;0.5,"Democrat","Republican")</f>
        <v>Republican</v>
      </c>
      <c r="H9" s="9" t="n">
        <f aca="false">'House Vote Data'!G22</f>
        <v>0.323281061519904</v>
      </c>
      <c r="I9" s="9" t="n">
        <f aca="false">'House Vote Data'!G23</f>
        <v>0.256608377389183</v>
      </c>
      <c r="J9" s="9" t="n">
        <f aca="false">'House Vote Data'!G24</f>
        <v>0.286006128702758</v>
      </c>
      <c r="K9" s="9" t="n">
        <f aca="false">'House Vote Data'!G25</f>
        <v>0.277212216131558</v>
      </c>
    </row>
    <row r="10" customFormat="false" ht="15" hidden="false" customHeight="true" outlineLevel="0" collapsed="false">
      <c r="A10" s="8" t="s">
        <v>63</v>
      </c>
      <c r="B10" s="8" t="s">
        <v>57</v>
      </c>
      <c r="C10" s="12" t="n">
        <f aca="false">MAX(0, 2*'House Vote Data'!F28 - 'House Vote Data'!F26)</f>
        <v>2411</v>
      </c>
      <c r="D10" s="9" t="n">
        <f aca="false">MIN(1,MAX(0, SLOPE(H10:K10,{2018,2020,2022,2024})*2026 + INTERCEPT(H10:K10,{2018,2020,2022,2024})))</f>
        <v>0.411216416338492</v>
      </c>
      <c r="E10" s="12" t="n">
        <f aca="false">ROUND(C10*D10,0)</f>
        <v>991</v>
      </c>
      <c r="F10" s="12" t="n">
        <f aca="false">ROUND(C10*(1-D10),0)</f>
        <v>1420</v>
      </c>
      <c r="G10" s="8" t="str">
        <f aca="false">IF(D10&gt;0.5,"Democrat","Republican")</f>
        <v>Republican</v>
      </c>
      <c r="H10" s="9" t="n">
        <f aca="false">'House Vote Data'!G26</f>
        <v>0.490059108006448</v>
      </c>
      <c r="I10" s="9" t="n">
        <f aca="false">'House Vote Data'!G27</f>
        <v>0.411331005044626</v>
      </c>
      <c r="J10" s="9" t="n">
        <f aca="false">'House Vote Data'!G28</f>
        <v>0.458333333333333</v>
      </c>
      <c r="K10" s="9" t="n">
        <f aca="false">'House Vote Data'!G29</f>
        <v>0.427079303675048</v>
      </c>
    </row>
    <row r="11" customFormat="false" ht="15" hidden="false" customHeight="true" outlineLevel="0" collapsed="false">
      <c r="A11" s="8" t="s">
        <v>64</v>
      </c>
      <c r="B11" s="8" t="s">
        <v>57</v>
      </c>
      <c r="C11" s="12" t="n">
        <f aca="false">MAX(0, 2*'House Vote Data'!F32 - 'House Vote Data'!F30)</f>
        <v>912</v>
      </c>
      <c r="D11" s="9" t="n">
        <f aca="false">MIN(1,MAX(0, SLOPE(H11:K11,{2018,2020,2022,2024})*2026 + INTERCEPT(H11:K11,{2018,2020,2022,2024})))</f>
        <v>0.325198737264876</v>
      </c>
      <c r="E11" s="12" t="n">
        <f aca="false">ROUND(C11*D11,0)</f>
        <v>297</v>
      </c>
      <c r="F11" s="12" t="n">
        <f aca="false">ROUND(C11*(1-D11),0)</f>
        <v>615</v>
      </c>
      <c r="G11" s="8" t="str">
        <f aca="false">IF(D11&gt;0.5,"Democrat","Republican")</f>
        <v>Republican</v>
      </c>
      <c r="H11" s="9" t="n">
        <f aca="false">'House Vote Data'!G30</f>
        <v>0.350393700787402</v>
      </c>
      <c r="I11" s="9" t="n">
        <f aca="false">'House Vote Data'!G31</f>
        <v>0.304268846503179</v>
      </c>
      <c r="J11" s="9" t="n">
        <f aca="false">'House Vote Data'!G32</f>
        <v>0.330943847072879</v>
      </c>
      <c r="K11" s="9" t="n">
        <f aca="false">'House Vote Data'!G33</f>
        <v>0.334923664122137</v>
      </c>
    </row>
    <row r="12" customFormat="false" ht="15" hidden="false" customHeight="true" outlineLevel="0" collapsed="false">
      <c r="A12" s="8" t="s">
        <v>65</v>
      </c>
      <c r="B12" s="8" t="s">
        <v>57</v>
      </c>
      <c r="C12" s="12" t="n">
        <f aca="false">MAX(0, 2*'House Vote Data'!F36 - 'House Vote Data'!F34)</f>
        <v>1078</v>
      </c>
      <c r="D12" s="9" t="n">
        <f aca="false">MIN(1,MAX(0, SLOPE(H12:K12,{2018,2020,2022,2024})*2026 + INTERCEPT(H12:K12,{2018,2020,2022,2024})))</f>
        <v>0.358442799531872</v>
      </c>
      <c r="E12" s="12" t="n">
        <f aca="false">ROUND(C12*D12,0)</f>
        <v>386</v>
      </c>
      <c r="F12" s="12" t="n">
        <f aca="false">ROUND(C12*(1-D12),0)</f>
        <v>692</v>
      </c>
      <c r="G12" s="8" t="str">
        <f aca="false">IF(D12&gt;0.5,"Democrat","Republican")</f>
        <v>Republican</v>
      </c>
      <c r="H12" s="9" t="n">
        <f aca="false">'House Vote Data'!G34</f>
        <v>0.493492407809111</v>
      </c>
      <c r="I12" s="9" t="n">
        <f aca="false">'House Vote Data'!G35</f>
        <v>0.420547945205479</v>
      </c>
      <c r="J12" s="9" t="n">
        <f aca="false">'House Vote Data'!G36</f>
        <v>0.42</v>
      </c>
      <c r="K12" s="9" t="n">
        <f aca="false">'House Vote Data'!G37</f>
        <v>0.395189003436426</v>
      </c>
    </row>
    <row r="13" customFormat="false" ht="15" hidden="false" customHeight="true" outlineLevel="0" collapsed="false">
      <c r="A13" s="8" t="s">
        <v>66</v>
      </c>
      <c r="B13" s="8" t="s">
        <v>57</v>
      </c>
      <c r="C13" s="12" t="n">
        <f aca="false">MAX(0, 2*'House Vote Data'!F40 - 'House Vote Data'!F38)</f>
        <v>142</v>
      </c>
      <c r="D13" s="9" t="n">
        <f aca="false">MIN(1,MAX(0, SLOPE(H13:K13,{2018,2020,2022,2024})*2026 + INTERCEPT(H13:K13,{2018,2020,2022,2024})))</f>
        <v>0.253817977374947</v>
      </c>
      <c r="E13" s="12" t="n">
        <f aca="false">ROUND(C13*D13,0)</f>
        <v>36</v>
      </c>
      <c r="F13" s="12" t="n">
        <f aca="false">ROUND(C13*(1-D13),0)</f>
        <v>106</v>
      </c>
      <c r="G13" s="8" t="str">
        <f aca="false">IF(D13&gt;0.5,"Democrat","Republican")</f>
        <v>Republican</v>
      </c>
      <c r="H13" s="9" t="n">
        <f aca="false">'House Vote Data'!G38</f>
        <v>0.329545454545455</v>
      </c>
      <c r="I13" s="9" t="n">
        <f aca="false">'House Vote Data'!G39</f>
        <v>0.297872340425532</v>
      </c>
      <c r="J13" s="9" t="n">
        <f aca="false">'House Vote Data'!G40</f>
        <v>0.31304347826087</v>
      </c>
      <c r="K13" s="9" t="n">
        <f aca="false">'House Vote Data'!G41</f>
        <v>0.262068965517241</v>
      </c>
    </row>
    <row r="14" customFormat="false" ht="15" hidden="false" customHeight="true" outlineLevel="0" collapsed="false">
      <c r="A14" s="8" t="s">
        <v>67</v>
      </c>
      <c r="B14" s="8" t="s">
        <v>57</v>
      </c>
      <c r="C14" s="12" t="n">
        <f aca="false">MAX(0, 2*'House Vote Data'!F44 - 'House Vote Data'!F42)</f>
        <v>278</v>
      </c>
      <c r="D14" s="9" t="n">
        <f aca="false">MIN(1,MAX(0, SLOPE(H14:K14,{2018,2020,2022,2024})*2026 + INTERCEPT(H14:K14,{2018,2020,2022,2024})))</f>
        <v>0.219072453465743</v>
      </c>
      <c r="E14" s="12" t="n">
        <f aca="false">ROUND(C14*D14,0)</f>
        <v>61</v>
      </c>
      <c r="F14" s="12" t="n">
        <f aca="false">ROUND(C14*(1-D14),0)</f>
        <v>217</v>
      </c>
      <c r="G14" s="8" t="str">
        <f aca="false">IF(D14&gt;0.5,"Democrat","Republican")</f>
        <v>Republican</v>
      </c>
      <c r="H14" s="9" t="n">
        <f aca="false">'House Vote Data'!G42</f>
        <v>0.200980392156863</v>
      </c>
      <c r="I14" s="9" t="n">
        <f aca="false">'House Vote Data'!G43</f>
        <v>0.186131386861314</v>
      </c>
      <c r="J14" s="9" t="n">
        <f aca="false">'House Vote Data'!G44</f>
        <v>0.215767634854772</v>
      </c>
      <c r="K14" s="9" t="n">
        <f aca="false">'House Vote Data'!G45</f>
        <v>0.211678832116788</v>
      </c>
    </row>
    <row r="15" customFormat="false" ht="15" hidden="false" customHeight="true" outlineLevel="0" collapsed="false">
      <c r="A15" s="8" t="s">
        <v>68</v>
      </c>
      <c r="B15" s="8" t="s">
        <v>57</v>
      </c>
      <c r="C15" s="12" t="n">
        <f aca="false">MAX(0, 2*'House Vote Data'!F48 - 'House Vote Data'!F46)</f>
        <v>1900</v>
      </c>
      <c r="D15" s="9" t="n">
        <f aca="false">MIN(1,MAX(0, SLOPE(H15:K15,{2018,2020,2022,2024})*2026 + INTERCEPT(H15:K15,{2018,2020,2022,2024})))</f>
        <v>0.371219311589925</v>
      </c>
      <c r="E15" s="12" t="n">
        <f aca="false">ROUND(C15*D15,0)</f>
        <v>705</v>
      </c>
      <c r="F15" s="12" t="n">
        <f aca="false">ROUND(C15*(1-D15),0)</f>
        <v>1195</v>
      </c>
      <c r="G15" s="8" t="str">
        <f aca="false">IF(D15&gt;0.5,"Democrat","Republican")</f>
        <v>Republican</v>
      </c>
      <c r="H15" s="9" t="n">
        <f aca="false">'House Vote Data'!G46</f>
        <v>0.465829846582985</v>
      </c>
      <c r="I15" s="9" t="n">
        <f aca="false">'House Vote Data'!G47</f>
        <v>0.373611728120835</v>
      </c>
      <c r="J15" s="9" t="n">
        <f aca="false">'House Vote Data'!G48</f>
        <v>0.43131373725255</v>
      </c>
      <c r="K15" s="9" t="n">
        <f aca="false">'House Vote Data'!G49</f>
        <v>0.388477366255144</v>
      </c>
    </row>
    <row r="16" customFormat="false" ht="15" hidden="false" customHeight="true" outlineLevel="0" collapsed="false">
      <c r="A16" s="8" t="s">
        <v>69</v>
      </c>
      <c r="B16" s="8" t="s">
        <v>57</v>
      </c>
      <c r="C16" s="12" t="n">
        <f aca="false">MAX(0, 2*'House Vote Data'!F52 - 'House Vote Data'!F50)</f>
        <v>1604</v>
      </c>
      <c r="D16" s="9" t="n">
        <f aca="false">MIN(1,MAX(0, SLOPE(H16:K16,{2018,2020,2022,2024})*2026 + INTERCEPT(H16:K16,{2018,2020,2022,2024})))</f>
        <v>0.259835026546352</v>
      </c>
      <c r="E16" s="12" t="n">
        <f aca="false">ROUND(C16*D16,0)</f>
        <v>417</v>
      </c>
      <c r="F16" s="12" t="n">
        <f aca="false">ROUND(C16*(1-D16),0)</f>
        <v>1187</v>
      </c>
      <c r="G16" s="8" t="str">
        <f aca="false">IF(D16&gt;0.5,"Democrat","Republican")</f>
        <v>Republican</v>
      </c>
      <c r="H16" s="9" t="n">
        <f aca="false">'House Vote Data'!G50</f>
        <v>0.369485294117647</v>
      </c>
      <c r="I16" s="9" t="n">
        <f aca="false">'House Vote Data'!G51</f>
        <v>0.295825771324864</v>
      </c>
      <c r="J16" s="9" t="n">
        <f aca="false">'House Vote Data'!G52</f>
        <v>0.319465081723626</v>
      </c>
      <c r="K16" s="9" t="n">
        <f aca="false">'House Vote Data'!G53</f>
        <v>0.284845132743363</v>
      </c>
    </row>
    <row r="17" customFormat="false" ht="15" hidden="false" customHeight="true" outlineLevel="0" collapsed="false">
      <c r="A17" s="8" t="s">
        <v>70</v>
      </c>
      <c r="B17" s="8" t="s">
        <v>57</v>
      </c>
      <c r="C17" s="12" t="n">
        <f aca="false">MAX(0, 2*'House Vote Data'!F56 - 'House Vote Data'!F54)</f>
        <v>2076</v>
      </c>
      <c r="D17" s="9" t="n">
        <f aca="false">MIN(1,MAX(0, SLOPE(H17:K17,{2018,2020,2022,2024})*2026 + INTERCEPT(H17:K17,{2018,2020,2022,2024})))</f>
        <v>0.271005039948296</v>
      </c>
      <c r="E17" s="12" t="n">
        <f aca="false">ROUND(C17*D17,0)</f>
        <v>563</v>
      </c>
      <c r="F17" s="12" t="n">
        <f aca="false">ROUND(C17*(1-D17),0)</f>
        <v>1513</v>
      </c>
      <c r="G17" s="8" t="str">
        <f aca="false">IF(D17&gt;0.5,"Democrat","Republican")</f>
        <v>Republican</v>
      </c>
      <c r="H17" s="9" t="n">
        <f aca="false">'House Vote Data'!G54</f>
        <v>0.346938775510204</v>
      </c>
      <c r="I17" s="9" t="n">
        <f aca="false">'House Vote Data'!G55</f>
        <v>0.265315739868049</v>
      </c>
      <c r="J17" s="9" t="n">
        <f aca="false">'House Vote Data'!G56</f>
        <v>0.307952622673435</v>
      </c>
      <c r="K17" s="9" t="n">
        <f aca="false">'House Vote Data'!G57</f>
        <v>0.290498116366681</v>
      </c>
    </row>
    <row r="18" customFormat="false" ht="15" hidden="false" customHeight="true" outlineLevel="0" collapsed="false">
      <c r="A18" s="8" t="s">
        <v>71</v>
      </c>
      <c r="B18" s="8" t="s">
        <v>57</v>
      </c>
      <c r="C18" s="12" t="n">
        <f aca="false">MAX(0, 2*'House Vote Data'!F60 - 'House Vote Data'!F58)</f>
        <v>1342</v>
      </c>
      <c r="D18" s="9" t="n">
        <f aca="false">MIN(1,MAX(0, SLOPE(H18:K18,{2018,2020,2022,2024})*2026 + INTERCEPT(H18:K18,{2018,2020,2022,2024})))</f>
        <v>0.351596159372445</v>
      </c>
      <c r="E18" s="12" t="n">
        <f aca="false">ROUND(C18*D18,0)</f>
        <v>472</v>
      </c>
      <c r="F18" s="12" t="n">
        <f aca="false">ROUND(C18*(1-D18),0)</f>
        <v>870</v>
      </c>
      <c r="G18" s="8" t="str">
        <f aca="false">IF(D18&gt;0.5,"Democrat","Republican")</f>
        <v>Republican</v>
      </c>
      <c r="H18" s="9" t="n">
        <f aca="false">'House Vote Data'!G58</f>
        <v>0.478011472275335</v>
      </c>
      <c r="I18" s="9" t="n">
        <f aca="false">'House Vote Data'!G59</f>
        <v>0.373454782042941</v>
      </c>
      <c r="J18" s="9" t="n">
        <f aca="false">'House Vote Data'!G60</f>
        <v>0.408710217755444</v>
      </c>
      <c r="K18" s="9" t="n">
        <f aca="false">'House Vote Data'!G61</f>
        <v>0.386246786632391</v>
      </c>
    </row>
    <row r="19" customFormat="false" ht="15" hidden="false" customHeight="true" outlineLevel="0" collapsed="false">
      <c r="A19" s="8" t="s">
        <v>72</v>
      </c>
      <c r="B19" s="8" t="s">
        <v>57</v>
      </c>
      <c r="C19" s="12" t="n">
        <f aca="false">MAX(0, 2*'House Vote Data'!F64 - 'House Vote Data'!F62)</f>
        <v>597</v>
      </c>
      <c r="D19" s="9" t="n">
        <f aca="false">MIN(1,MAX(0, SLOPE(H19:K19,{2018,2020,2022,2024})*2026 + INTERCEPT(H19:K19,{2018,2020,2022,2024})))</f>
        <v>0.183684716997638</v>
      </c>
      <c r="E19" s="12" t="n">
        <f aca="false">ROUND(C19*D19,0)</f>
        <v>110</v>
      </c>
      <c r="F19" s="12" t="n">
        <f aca="false">ROUND(C19*(1-D19),0)</f>
        <v>487</v>
      </c>
      <c r="G19" s="8" t="str">
        <f aca="false">IF(D19&gt;0.5,"Democrat","Republican")</f>
        <v>Republican</v>
      </c>
      <c r="H19" s="9" t="n">
        <f aca="false">'House Vote Data'!G62</f>
        <v>0.229813664596273</v>
      </c>
      <c r="I19" s="9" t="n">
        <f aca="false">'House Vote Data'!G63</f>
        <v>0.1703125</v>
      </c>
      <c r="J19" s="9" t="n">
        <f aca="false">'House Vote Data'!G64</f>
        <v>0.177777777777778</v>
      </c>
      <c r="K19" s="9" t="n">
        <f aca="false">'House Vote Data'!G65</f>
        <v>0.209702660406886</v>
      </c>
    </row>
    <row r="20" customFormat="false" ht="15" hidden="false" customHeight="true" outlineLevel="0" collapsed="false">
      <c r="A20" s="8" t="s">
        <v>73</v>
      </c>
      <c r="B20" s="8" t="s">
        <v>57</v>
      </c>
      <c r="C20" s="12" t="n">
        <f aca="false">MAX(0, 2*'House Vote Data'!F68 - 'House Vote Data'!F66)</f>
        <v>2153</v>
      </c>
      <c r="D20" s="9" t="n">
        <f aca="false">MIN(1,MAX(0, SLOPE(H20:K20,{2018,2020,2022,2024})*2026 + INTERCEPT(H20:K20,{2018,2020,2022,2024})))</f>
        <v>0.347255912464757</v>
      </c>
      <c r="E20" s="12" t="n">
        <f aca="false">ROUND(C20*D20,0)</f>
        <v>748</v>
      </c>
      <c r="F20" s="12" t="n">
        <f aca="false">ROUND(C20*(1-D20),0)</f>
        <v>1405</v>
      </c>
      <c r="G20" s="8" t="str">
        <f aca="false">IF(D20&gt;0.5,"Democrat","Republican")</f>
        <v>Republican</v>
      </c>
      <c r="H20" s="9" t="n">
        <f aca="false">'House Vote Data'!G66</f>
        <v>0.412612612612613</v>
      </c>
      <c r="I20" s="9" t="n">
        <f aca="false">'House Vote Data'!G67</f>
        <v>0.339897597479323</v>
      </c>
      <c r="J20" s="9" t="n">
        <f aca="false">'House Vote Data'!G68</f>
        <v>0.386066003143007</v>
      </c>
      <c r="K20" s="9" t="n">
        <f aca="false">'House Vote Data'!G69</f>
        <v>0.360529217199559</v>
      </c>
    </row>
    <row r="21" customFormat="false" ht="15" hidden="false" customHeight="true" outlineLevel="0" collapsed="false">
      <c r="A21" s="8" t="s">
        <v>74</v>
      </c>
      <c r="B21" s="8" t="s">
        <v>57</v>
      </c>
      <c r="C21" s="12" t="n">
        <f aca="false">MAX(0, 2*'House Vote Data'!F72 - 'House Vote Data'!F70)</f>
        <v>209</v>
      </c>
      <c r="D21" s="9" t="n">
        <f aca="false">MIN(1,MAX(0, SLOPE(H21:K21,{2018,2020,2022,2024})*2026 + INTERCEPT(H21:K21,{2018,2020,2022,2024})))</f>
        <v>0.289316897791474</v>
      </c>
      <c r="E21" s="12" t="n">
        <f aca="false">ROUND(C21*D21,0)</f>
        <v>60</v>
      </c>
      <c r="F21" s="12" t="n">
        <f aca="false">ROUND(C21*(1-D21),0)</f>
        <v>149</v>
      </c>
      <c r="G21" s="8" t="str">
        <f aca="false">IF(D21&gt;0.5,"Democrat","Republican")</f>
        <v>Republican</v>
      </c>
      <c r="H21" s="9" t="n">
        <f aca="false">'House Vote Data'!G70</f>
        <v>0.321212121212121</v>
      </c>
      <c r="I21" s="9" t="n">
        <f aca="false">'House Vote Data'!G71</f>
        <v>0.237442922374429</v>
      </c>
      <c r="J21" s="9" t="n">
        <f aca="false">'House Vote Data'!G72</f>
        <v>0.272727272727273</v>
      </c>
      <c r="K21" s="9" t="n">
        <f aca="false">'House Vote Data'!G73</f>
        <v>0.313559322033898</v>
      </c>
    </row>
    <row r="22" customFormat="false" ht="15" hidden="false" customHeight="true" outlineLevel="0" collapsed="false">
      <c r="A22" s="8" t="s">
        <v>75</v>
      </c>
      <c r="B22" s="8" t="s">
        <v>57</v>
      </c>
      <c r="C22" s="12" t="n">
        <f aca="false">MAX(0, 2*'House Vote Data'!F76 - 'House Vote Data'!F74)</f>
        <v>5115</v>
      </c>
      <c r="D22" s="9" t="n">
        <f aca="false">MIN(1,MAX(0, SLOPE(H22:K22,{2018,2020,2022,2024})*2026 + INTERCEPT(H22:K22,{2018,2020,2022,2024})))</f>
        <v>0.332436717518174</v>
      </c>
      <c r="E22" s="12" t="n">
        <f aca="false">ROUND(C22*D22,0)</f>
        <v>1700</v>
      </c>
      <c r="F22" s="12" t="n">
        <f aca="false">ROUND(C22*(1-D22),0)</f>
        <v>3415</v>
      </c>
      <c r="G22" s="8" t="str">
        <f aca="false">IF(D22&gt;0.5,"Democrat","Republican")</f>
        <v>Republican</v>
      </c>
      <c r="H22" s="9" t="n">
        <f aca="false">'House Vote Data'!G74</f>
        <v>0.411265213699406</v>
      </c>
      <c r="I22" s="9" t="n">
        <f aca="false">'House Vote Data'!G75</f>
        <v>0.365015536464997</v>
      </c>
      <c r="J22" s="9" t="n">
        <f aca="false">'House Vote Data'!G76</f>
        <v>0.364014801110083</v>
      </c>
      <c r="K22" s="9" t="n">
        <f aca="false">'House Vote Data'!G77</f>
        <v>0.356061923812837</v>
      </c>
    </row>
    <row r="23" customFormat="false" ht="15" hidden="false" customHeight="true" outlineLevel="0" collapsed="false">
      <c r="A23" s="8" t="s">
        <v>76</v>
      </c>
      <c r="B23" s="8" t="s">
        <v>57</v>
      </c>
      <c r="C23" s="12" t="n">
        <f aca="false">MAX(0, 2*'House Vote Data'!F80 - 'House Vote Data'!F78)</f>
        <v>1334</v>
      </c>
      <c r="D23" s="9" t="n">
        <f aca="false">MIN(1,MAX(0, SLOPE(H23:K23,{2018,2020,2022,2024})*2026 + INTERCEPT(H23:K23,{2018,2020,2022,2024})))</f>
        <v>0.392445647384491</v>
      </c>
      <c r="E23" s="12" t="n">
        <f aca="false">ROUND(C23*D23,0)</f>
        <v>524</v>
      </c>
      <c r="F23" s="12" t="n">
        <f aca="false">ROUND(C23*(1-D23),0)</f>
        <v>810</v>
      </c>
      <c r="G23" s="8" t="str">
        <f aca="false">IF(D23&gt;0.5,"Democrat","Republican")</f>
        <v>Republican</v>
      </c>
      <c r="H23" s="9" t="n">
        <f aca="false">'House Vote Data'!G78</f>
        <v>0.505281690140845</v>
      </c>
      <c r="I23" s="9" t="n">
        <f aca="false">'House Vote Data'!G79</f>
        <v>0.403383214053351</v>
      </c>
      <c r="J23" s="9" t="n">
        <f aca="false">'House Vote Data'!G80</f>
        <v>0.451012145748988</v>
      </c>
      <c r="K23" s="9" t="n">
        <f aca="false">'House Vote Data'!G81</f>
        <v>0.41958041958042</v>
      </c>
    </row>
    <row r="24" customFormat="false" ht="15" hidden="false" customHeight="true" outlineLevel="0" collapsed="false">
      <c r="A24" s="8" t="s">
        <v>77</v>
      </c>
      <c r="B24" s="8" t="s">
        <v>57</v>
      </c>
      <c r="C24" s="12" t="n">
        <f aca="false">MAX(0, 2*'House Vote Data'!F84 - 'House Vote Data'!F82)</f>
        <v>2513</v>
      </c>
      <c r="D24" s="9" t="n">
        <f aca="false">MIN(1,MAX(0, SLOPE(H24:K24,{2018,2020,2022,2024})*2026 + INTERCEPT(H24:K24,{2018,2020,2022,2024})))</f>
        <v>0.26229767305901</v>
      </c>
      <c r="E24" s="12" t="n">
        <f aca="false">ROUND(C24*D24,0)</f>
        <v>659</v>
      </c>
      <c r="F24" s="12" t="n">
        <f aca="false">ROUND(C24*(1-D24),0)</f>
        <v>1854</v>
      </c>
      <c r="G24" s="8" t="str">
        <f aca="false">IF(D24&gt;0.5,"Democrat","Republican")</f>
        <v>Republican</v>
      </c>
      <c r="H24" s="9" t="n">
        <f aca="false">'House Vote Data'!G82</f>
        <v>0.350485991995426</v>
      </c>
      <c r="I24" s="9" t="n">
        <f aca="false">'House Vote Data'!G83</f>
        <v>0.276481835564054</v>
      </c>
      <c r="J24" s="9" t="n">
        <f aca="false">'House Vote Data'!G84</f>
        <v>0.293289535429376</v>
      </c>
      <c r="K24" s="9" t="n">
        <f aca="false">'House Vote Data'!G85</f>
        <v>0.290895901342038</v>
      </c>
    </row>
    <row r="25" customFormat="false" ht="15" hidden="false" customHeight="true" outlineLevel="0" collapsed="false">
      <c r="A25" s="8" t="s">
        <v>78</v>
      </c>
      <c r="B25" s="8" t="s">
        <v>57</v>
      </c>
      <c r="C25" s="12" t="n">
        <f aca="false">MAX(0, 2*'House Vote Data'!F88 - 'House Vote Data'!F86)</f>
        <v>955</v>
      </c>
      <c r="D25" s="9" t="n">
        <f aca="false">MIN(1,MAX(0, SLOPE(H25:K25,{2018,2020,2022,2024})*2026 + INTERCEPT(H25:K25,{2018,2020,2022,2024})))</f>
        <v>0.267303019601728</v>
      </c>
      <c r="E25" s="12" t="n">
        <f aca="false">ROUND(C25*D25,0)</f>
        <v>255</v>
      </c>
      <c r="F25" s="12" t="n">
        <f aca="false">ROUND(C25*(1-D25),0)</f>
        <v>700</v>
      </c>
      <c r="G25" s="8" t="str">
        <f aca="false">IF(D25&gt;0.5,"Democrat","Republican")</f>
        <v>Republican</v>
      </c>
      <c r="H25" s="9" t="n">
        <f aca="false">'House Vote Data'!G86</f>
        <v>0.322314049586777</v>
      </c>
      <c r="I25" s="9" t="n">
        <f aca="false">'House Vote Data'!G87</f>
        <v>0.264537264537265</v>
      </c>
      <c r="J25" s="9" t="n">
        <f aca="false">'House Vote Data'!G88</f>
        <v>0.271920088790233</v>
      </c>
      <c r="K25" s="9" t="n">
        <f aca="false">'House Vote Data'!G89</f>
        <v>0.2925</v>
      </c>
    </row>
    <row r="26" customFormat="false" ht="15" hidden="false" customHeight="true" outlineLevel="0" collapsed="false">
      <c r="A26" s="8" t="s">
        <v>79</v>
      </c>
      <c r="B26" s="8" t="s">
        <v>57</v>
      </c>
      <c r="C26" s="12" t="n">
        <f aca="false">MAX(0, 2*'House Vote Data'!F92 - 'House Vote Data'!F90)</f>
        <v>102</v>
      </c>
      <c r="D26" s="9" t="n">
        <f aca="false">MIN(1,MAX(0, SLOPE(H26:K26,{2018,2020,2022,2024})*2026 + INTERCEPT(H26:K26,{2018,2020,2022,2024})))</f>
        <v>0.330726180042568</v>
      </c>
      <c r="E26" s="12" t="n">
        <f aca="false">ROUND(C26*D26,0)</f>
        <v>34</v>
      </c>
      <c r="F26" s="12" t="n">
        <f aca="false">ROUND(C26*(1-D26),0)</f>
        <v>68</v>
      </c>
      <c r="G26" s="8" t="str">
        <f aca="false">IF(D26&gt;0.5,"Democrat","Republican")</f>
        <v>Republican</v>
      </c>
      <c r="H26" s="9" t="n">
        <f aca="false">'House Vote Data'!G90</f>
        <v>0.510204081632653</v>
      </c>
      <c r="I26" s="9" t="n">
        <f aca="false">'House Vote Data'!G91</f>
        <v>0.405228758169935</v>
      </c>
      <c r="J26" s="9" t="n">
        <f aca="false">'House Vote Data'!G92</f>
        <v>0.46</v>
      </c>
      <c r="K26" s="9" t="n">
        <f aca="false">'House Vote Data'!G93</f>
        <v>0.355828220858896</v>
      </c>
    </row>
    <row r="27" customFormat="false" ht="15" hidden="false" customHeight="true" outlineLevel="0" collapsed="false">
      <c r="A27" s="8" t="s">
        <v>80</v>
      </c>
      <c r="B27" s="8" t="s">
        <v>81</v>
      </c>
      <c r="C27" s="12" t="n">
        <f aca="false">MAX(0, 2*'House Vote Data'!F96 - 'House Vote Data'!F94)</f>
        <v>1166</v>
      </c>
      <c r="D27" s="9" t="n">
        <f aca="false">MIN(1,MAX(0, SLOPE(H27:K27,{2018,2020,2022,2024})*2026 + INTERCEPT(H27:K27,{2018,2020,2022,2024})))</f>
        <v>0.419525585063152</v>
      </c>
      <c r="E27" s="12" t="n">
        <f aca="false">ROUND(C27*D27,0)</f>
        <v>489</v>
      </c>
      <c r="F27" s="12" t="n">
        <f aca="false">ROUND(C27*(1-D27),0)</f>
        <v>677</v>
      </c>
      <c r="G27" s="8" t="str">
        <f aca="false">IF(D27&gt;0.5,"Democrat","Republican")</f>
        <v>Republican</v>
      </c>
      <c r="H27" s="9" t="n">
        <f aca="false">'House Vote Data'!G94</f>
        <v>0.527906976744186</v>
      </c>
      <c r="I27" s="9" t="n">
        <f aca="false">'House Vote Data'!G95</f>
        <v>0.467005076142132</v>
      </c>
      <c r="J27" s="9" t="n">
        <f aca="false">'House Vote Data'!G96</f>
        <v>0.487660414610069</v>
      </c>
      <c r="K27" s="9" t="n">
        <f aca="false">'House Vote Data'!G97</f>
        <v>0.439648866130212</v>
      </c>
    </row>
    <row r="28" customFormat="false" ht="15" hidden="false" customHeight="true" outlineLevel="0" collapsed="false">
      <c r="A28" s="8" t="s">
        <v>82</v>
      </c>
      <c r="B28" s="8" t="s">
        <v>81</v>
      </c>
      <c r="C28" s="12" t="n">
        <f aca="false">MAX(0, 2*'House Vote Data'!F100 - 'House Vote Data'!F98)</f>
        <v>22542</v>
      </c>
      <c r="D28" s="9" t="n">
        <f aca="false">MIN(1,MAX(0, SLOPE(H28:K28,{2018,2020,2022,2024})*2026 + INTERCEPT(H28:K28,{2018,2020,2022,2024})))</f>
        <v>0.620919026179699</v>
      </c>
      <c r="E28" s="12" t="n">
        <f aca="false">ROUND(C28*D28,0)</f>
        <v>13997</v>
      </c>
      <c r="F28" s="12" t="n">
        <f aca="false">ROUND(C28*(1-D28),0)</f>
        <v>8545</v>
      </c>
      <c r="G28" s="8" t="str">
        <f aca="false">IF(D28&gt;0.5,"Democrat","Republican")</f>
        <v>Democrat</v>
      </c>
      <c r="H28" s="9" t="n">
        <f aca="false">'House Vote Data'!G98</f>
        <v>0.73070432868672</v>
      </c>
      <c r="I28" s="9" t="n">
        <f aca="false">'House Vote Data'!G99</f>
        <v>0.6835901198337</v>
      </c>
      <c r="J28" s="9" t="n">
        <f aca="false">'House Vote Data'!G100</f>
        <v>0.681297939841773</v>
      </c>
      <c r="K28" s="9" t="n">
        <f aca="false">'House Vote Data'!G101</f>
        <v>0.645622220602172</v>
      </c>
    </row>
    <row r="29" customFormat="false" ht="15" hidden="false" customHeight="true" outlineLevel="0" collapsed="false">
      <c r="A29" s="8" t="s">
        <v>83</v>
      </c>
      <c r="B29" s="8" t="s">
        <v>81</v>
      </c>
      <c r="C29" s="12" t="n">
        <f aca="false">MAX(0, 2*'House Vote Data'!F104 - 'House Vote Data'!F102)</f>
        <v>8782</v>
      </c>
      <c r="D29" s="9" t="n">
        <f aca="false">MIN(1,MAX(0, SLOPE(H29:K29,{2018,2020,2022,2024})*2026 + INTERCEPT(H29:K29,{2018,2020,2022,2024})))</f>
        <v>0.625857477054881</v>
      </c>
      <c r="E29" s="12" t="n">
        <f aca="false">ROUND(C29*D29,0)</f>
        <v>5496</v>
      </c>
      <c r="F29" s="12" t="n">
        <f aca="false">ROUND(C29*(1-D29),0)</f>
        <v>3286</v>
      </c>
      <c r="G29" s="8" t="str">
        <f aca="false">IF(D29&gt;0.5,"Democrat","Republican")</f>
        <v>Democrat</v>
      </c>
      <c r="H29" s="9" t="n">
        <f aca="false">'House Vote Data'!G102</f>
        <v>0.671428571428571</v>
      </c>
      <c r="I29" s="9" t="n">
        <f aca="false">'House Vote Data'!G103</f>
        <v>0.631153133833707</v>
      </c>
      <c r="J29" s="9" t="n">
        <f aca="false">'House Vote Data'!G104</f>
        <v>0.657204410087441</v>
      </c>
      <c r="K29" s="9" t="n">
        <f aca="false">'House Vote Data'!G105</f>
        <v>0.632969557725445</v>
      </c>
    </row>
    <row r="30" customFormat="false" ht="15" hidden="false" customHeight="true" outlineLevel="0" collapsed="false">
      <c r="A30" s="8" t="s">
        <v>84</v>
      </c>
      <c r="B30" s="8" t="s">
        <v>81</v>
      </c>
      <c r="C30" s="12" t="n">
        <f aca="false">MAX(0, 2*'House Vote Data'!F108 - 'House Vote Data'!F106)</f>
        <v>2262</v>
      </c>
      <c r="D30" s="9" t="n">
        <f aca="false">MIN(1,MAX(0, SLOPE(H30:K30,{2018,2020,2022,2024})*2026 + INTERCEPT(H30:K30,{2018,2020,2022,2024})))</f>
        <v>0.489917820760219</v>
      </c>
      <c r="E30" s="12" t="n">
        <f aca="false">ROUND(C30*D30,0)</f>
        <v>1108</v>
      </c>
      <c r="F30" s="12" t="n">
        <f aca="false">ROUND(C30*(1-D30),0)</f>
        <v>1154</v>
      </c>
      <c r="G30" s="8" t="str">
        <f aca="false">IF(D30&gt;0.5,"Democrat","Republican")</f>
        <v>Republican</v>
      </c>
      <c r="H30" s="9" t="n">
        <f aca="false">'House Vote Data'!G106</f>
        <v>0.580694586312564</v>
      </c>
      <c r="I30" s="9" t="n">
        <f aca="false">'House Vote Data'!G107</f>
        <v>0.513970110461339</v>
      </c>
      <c r="J30" s="9" t="n">
        <f aca="false">'House Vote Data'!G108</f>
        <v>0.537914691943128</v>
      </c>
      <c r="K30" s="9" t="n">
        <f aca="false">'House Vote Data'!G109</f>
        <v>0.511307767944936</v>
      </c>
    </row>
    <row r="31" customFormat="false" ht="15" hidden="false" customHeight="true" outlineLevel="0" collapsed="false">
      <c r="A31" s="8" t="s">
        <v>85</v>
      </c>
      <c r="B31" s="8" t="s">
        <v>81</v>
      </c>
      <c r="C31" s="12" t="n">
        <f aca="false">MAX(0, 2*'House Vote Data'!F112 - 'House Vote Data'!F110)</f>
        <v>1479</v>
      </c>
      <c r="D31" s="9" t="n">
        <f aca="false">MIN(1,MAX(0, SLOPE(H31:K31,{2018,2020,2022,2024})*2026 + INTERCEPT(H31:K31,{2018,2020,2022,2024})))</f>
        <v>0.46483371660417</v>
      </c>
      <c r="E31" s="12" t="n">
        <f aca="false">ROUND(C31*D31,0)</f>
        <v>687</v>
      </c>
      <c r="F31" s="12" t="n">
        <f aca="false">ROUND(C31*(1-D31),0)</f>
        <v>792</v>
      </c>
      <c r="G31" s="8" t="str">
        <f aca="false">IF(D31&gt;0.5,"Democrat","Republican")</f>
        <v>Republican</v>
      </c>
      <c r="H31" s="9" t="n">
        <f aca="false">'House Vote Data'!G110</f>
        <v>0.534932221063608</v>
      </c>
      <c r="I31" s="9" t="n">
        <f aca="false">'House Vote Data'!G111</f>
        <v>0.470903010033445</v>
      </c>
      <c r="J31" s="9" t="n">
        <f aca="false">'House Vote Data'!G112</f>
        <v>0.509433962264151</v>
      </c>
      <c r="K31" s="9" t="n">
        <f aca="false">'House Vote Data'!G113</f>
        <v>0.477582846003899</v>
      </c>
    </row>
    <row r="32" customFormat="false" ht="15" hidden="false" customHeight="true" outlineLevel="0" collapsed="false">
      <c r="A32" s="8" t="s">
        <v>86</v>
      </c>
      <c r="B32" s="8" t="s">
        <v>81</v>
      </c>
      <c r="C32" s="12" t="n">
        <f aca="false">MAX(0, 2*'House Vote Data'!F116 - 'House Vote Data'!F114)</f>
        <v>1419</v>
      </c>
      <c r="D32" s="9" t="n">
        <f aca="false">MIN(1,MAX(0, SLOPE(H32:K32,{2018,2020,2022,2024})*2026 + INTERCEPT(H32:K32,{2018,2020,2022,2024})))</f>
        <v>0.485811140675365</v>
      </c>
      <c r="E32" s="12" t="n">
        <f aca="false">ROUND(C32*D32,0)</f>
        <v>689</v>
      </c>
      <c r="F32" s="12" t="n">
        <f aca="false">ROUND(C32*(1-D32),0)</f>
        <v>730</v>
      </c>
      <c r="G32" s="8" t="str">
        <f aca="false">IF(D32&gt;0.5,"Democrat","Republican")</f>
        <v>Republican</v>
      </c>
      <c r="H32" s="9" t="n">
        <f aca="false">'House Vote Data'!G114</f>
        <v>0.561702127659575</v>
      </c>
      <c r="I32" s="9" t="n">
        <f aca="false">'House Vote Data'!G115</f>
        <v>0.502288329519451</v>
      </c>
      <c r="J32" s="9" t="n">
        <f aca="false">'House Vote Data'!G116</f>
        <v>0.532767925983038</v>
      </c>
      <c r="K32" s="9" t="n">
        <f aca="false">'House Vote Data'!G117</f>
        <v>0.500278241513634</v>
      </c>
    </row>
    <row r="33" customFormat="false" ht="15" hidden="false" customHeight="true" outlineLevel="0" collapsed="false">
      <c r="A33" s="8" t="s">
        <v>87</v>
      </c>
      <c r="B33" s="8" t="s">
        <v>81</v>
      </c>
      <c r="C33" s="12" t="n">
        <f aca="false">MAX(0, 2*'House Vote Data'!F120 - 'House Vote Data'!F118)</f>
        <v>5779</v>
      </c>
      <c r="D33" s="9" t="n">
        <f aca="false">MIN(1,MAX(0, SLOPE(H33:K33,{2018,2020,2022,2024})*2026 + INTERCEPT(H33:K33,{2018,2020,2022,2024})))</f>
        <v>0.532379939838121</v>
      </c>
      <c r="E33" s="12" t="n">
        <f aca="false">ROUND(C33*D33,0)</f>
        <v>3077</v>
      </c>
      <c r="F33" s="12" t="n">
        <f aca="false">ROUND(C33*(1-D33),0)</f>
        <v>2702</v>
      </c>
      <c r="G33" s="8" t="str">
        <f aca="false">IF(D33&gt;0.5,"Democrat","Republican")</f>
        <v>Democrat</v>
      </c>
      <c r="H33" s="9" t="n">
        <f aca="false">'House Vote Data'!G118</f>
        <v>0.554568238778765</v>
      </c>
      <c r="I33" s="9" t="n">
        <f aca="false">'House Vote Data'!G119</f>
        <v>0.524339360222531</v>
      </c>
      <c r="J33" s="9" t="n">
        <f aca="false">'House Vote Data'!G120</f>
        <v>0.557435090479937</v>
      </c>
      <c r="K33" s="9" t="n">
        <f aca="false">'House Vote Data'!G121</f>
        <v>0.530946513987535</v>
      </c>
    </row>
    <row r="34" customFormat="false" ht="15" hidden="false" customHeight="true" outlineLevel="0" collapsed="false">
      <c r="A34" s="8" t="s">
        <v>88</v>
      </c>
      <c r="B34" s="8" t="s">
        <v>81</v>
      </c>
      <c r="C34" s="12" t="n">
        <f aca="false">MAX(0, 2*'House Vote Data'!F124 - 'House Vote Data'!F122)</f>
        <v>1558</v>
      </c>
      <c r="D34" s="9" t="n">
        <f aca="false">MIN(1,MAX(0, SLOPE(H34:K34,{2018,2020,2022,2024})*2026 + INTERCEPT(H34:K34,{2018,2020,2022,2024})))</f>
        <v>0.639464409564717</v>
      </c>
      <c r="E34" s="12" t="n">
        <f aca="false">ROUND(C34*D34,0)</f>
        <v>996</v>
      </c>
      <c r="F34" s="12" t="n">
        <f aca="false">ROUND(C34*(1-D34),0)</f>
        <v>562</v>
      </c>
      <c r="G34" s="8" t="str">
        <f aca="false">IF(D34&gt;0.5,"Democrat","Republican")</f>
        <v>Democrat</v>
      </c>
      <c r="H34" s="9" t="n">
        <f aca="false">'House Vote Data'!G122</f>
        <v>0.699350649350649</v>
      </c>
      <c r="I34" s="9" t="n">
        <f aca="false">'House Vote Data'!G123</f>
        <v>0.667718665464382</v>
      </c>
      <c r="J34" s="9" t="n">
        <f aca="false">'House Vote Data'!G124</f>
        <v>0.690768237572628</v>
      </c>
      <c r="K34" s="9" t="n">
        <f aca="false">'House Vote Data'!G125</f>
        <v>0.643755615453729</v>
      </c>
    </row>
    <row r="35" customFormat="false" ht="15" hidden="false" customHeight="true" outlineLevel="0" collapsed="false">
      <c r="A35" s="8" t="s">
        <v>89</v>
      </c>
      <c r="B35" s="8" t="s">
        <v>81</v>
      </c>
      <c r="C35" s="12" t="n">
        <f aca="false">MAX(0, 2*'House Vote Data'!F128 - 'House Vote Data'!F126)</f>
        <v>442</v>
      </c>
      <c r="D35" s="9" t="n">
        <f aca="false">MIN(1,MAX(0, SLOPE(H35:K35,{2018,2020,2022,2024})*2026 + INTERCEPT(H35:K35,{2018,2020,2022,2024})))</f>
        <v>0.516289143095474</v>
      </c>
      <c r="E35" s="12" t="n">
        <f aca="false">ROUND(C35*D35,0)</f>
        <v>228</v>
      </c>
      <c r="F35" s="12" t="n">
        <f aca="false">ROUND(C35*(1-D35),0)</f>
        <v>214</v>
      </c>
      <c r="G35" s="8" t="str">
        <f aca="false">IF(D35&gt;0.5,"Democrat","Republican")</f>
        <v>Democrat</v>
      </c>
      <c r="H35" s="9" t="n">
        <f aca="false">'House Vote Data'!G126</f>
        <v>0.597560975609756</v>
      </c>
      <c r="I35" s="9" t="n">
        <f aca="false">'House Vote Data'!G127</f>
        <v>0.571227080394922</v>
      </c>
      <c r="J35" s="9" t="n">
        <f aca="false">'House Vote Data'!G128</f>
        <v>0.561027837259101</v>
      </c>
      <c r="K35" s="9" t="n">
        <f aca="false">'House Vote Data'!G129</f>
        <v>0.534555712270804</v>
      </c>
    </row>
    <row r="36" customFormat="false" ht="15" hidden="false" customHeight="true" outlineLevel="0" collapsed="false">
      <c r="A36" s="8" t="s">
        <v>90</v>
      </c>
      <c r="B36" s="8" t="s">
        <v>81</v>
      </c>
      <c r="C36" s="12" t="n">
        <f aca="false">MAX(0, 2*'House Vote Data'!F132 - 'House Vote Data'!F130)</f>
        <v>1826</v>
      </c>
      <c r="D36" s="9" t="n">
        <f aca="false">MIN(1,MAX(0, SLOPE(H36:K36,{2018,2020,2022,2024})*2026 + INTERCEPT(H36:K36,{2018,2020,2022,2024})))</f>
        <v>0.297497431133515</v>
      </c>
      <c r="E36" s="12" t="n">
        <f aca="false">ROUND(C36*D36,0)</f>
        <v>543</v>
      </c>
      <c r="F36" s="12" t="n">
        <f aca="false">ROUND(C36*(1-D36),0)</f>
        <v>1283</v>
      </c>
      <c r="G36" s="8" t="str">
        <f aca="false">IF(D36&gt;0.5,"Democrat","Republican")</f>
        <v>Republican</v>
      </c>
      <c r="H36" s="9" t="n">
        <f aca="false">'House Vote Data'!G130</f>
        <v>0.362445414847162</v>
      </c>
      <c r="I36" s="9" t="n">
        <f aca="false">'House Vote Data'!G131</f>
        <v>0.310149407521896</v>
      </c>
      <c r="J36" s="9" t="n">
        <f aca="false">'House Vote Data'!G132</f>
        <v>0.3325</v>
      </c>
      <c r="K36" s="9" t="n">
        <f aca="false">'House Vote Data'!G133</f>
        <v>0.312470138557095</v>
      </c>
    </row>
    <row r="37" customFormat="false" ht="15" hidden="false" customHeight="true" outlineLevel="0" collapsed="false">
      <c r="A37" s="8" t="s">
        <v>91</v>
      </c>
      <c r="B37" s="8" t="s">
        <v>81</v>
      </c>
      <c r="C37" s="12" t="n">
        <f aca="false">MAX(0, 2*'House Vote Data'!F136 - 'House Vote Data'!F134)</f>
        <v>17824</v>
      </c>
      <c r="D37" s="9" t="n">
        <f aca="false">MIN(1,MAX(0, SLOPE(H37:K37,{2018,2020,2022,2024})*2026 + INTERCEPT(H37:K37,{2018,2020,2022,2024})))</f>
        <v>0.500631683667768</v>
      </c>
      <c r="E37" s="12" t="n">
        <f aca="false">ROUND(C37*D37,0)</f>
        <v>8923</v>
      </c>
      <c r="F37" s="12" t="n">
        <f aca="false">ROUND(C37*(1-D37),0)</f>
        <v>8901</v>
      </c>
      <c r="G37" s="8" t="str">
        <f aca="false">IF(D37&gt;0.5,"Democrat","Republican")</f>
        <v>Democrat</v>
      </c>
      <c r="H37" s="9" t="n">
        <f aca="false">'House Vote Data'!G134</f>
        <v>0.513847464848743</v>
      </c>
      <c r="I37" s="9" t="n">
        <f aca="false">'House Vote Data'!G135</f>
        <v>0.494140230349566</v>
      </c>
      <c r="J37" s="9" t="n">
        <f aca="false">'House Vote Data'!G136</f>
        <v>0.523913997367266</v>
      </c>
      <c r="K37" s="9" t="n">
        <f aca="false">'House Vote Data'!G137</f>
        <v>0.495598417408506</v>
      </c>
    </row>
    <row r="38" customFormat="false" ht="15" hidden="false" customHeight="true" outlineLevel="0" collapsed="false">
      <c r="A38" s="8" t="s">
        <v>92</v>
      </c>
      <c r="B38" s="8" t="s">
        <v>81</v>
      </c>
      <c r="C38" s="12" t="n">
        <f aca="false">MAX(0, 2*'House Vote Data'!F140 - 'House Vote Data'!F138)</f>
        <v>2470</v>
      </c>
      <c r="D38" s="9" t="n">
        <f aca="false">MIN(1,MAX(0, SLOPE(H38:K38,{2018,2020,2022,2024})*2026 + INTERCEPT(H38:K38,{2018,2020,2022,2024})))</f>
        <v>0.380543557477617</v>
      </c>
      <c r="E38" s="12" t="n">
        <f aca="false">ROUND(C38*D38,0)</f>
        <v>940</v>
      </c>
      <c r="F38" s="12" t="n">
        <f aca="false">ROUND(C38*(1-D38),0)</f>
        <v>1530</v>
      </c>
      <c r="G38" s="8" t="str">
        <f aca="false">IF(D38&gt;0.5,"Democrat","Republican")</f>
        <v>Republican</v>
      </c>
      <c r="H38" s="9" t="n">
        <f aca="false">'House Vote Data'!G138</f>
        <v>0.398488120950324</v>
      </c>
      <c r="I38" s="9" t="n">
        <f aca="false">'House Vote Data'!G139</f>
        <v>0.365659777424483</v>
      </c>
      <c r="J38" s="9" t="n">
        <f aca="false">'House Vote Data'!G140</f>
        <v>0.39333641832485</v>
      </c>
      <c r="K38" s="9" t="n">
        <f aca="false">'House Vote Data'!G141</f>
        <v>0.383119408790354</v>
      </c>
    </row>
    <row r="39" customFormat="false" ht="15" hidden="false" customHeight="true" outlineLevel="0" collapsed="false">
      <c r="A39" s="8" t="s">
        <v>93</v>
      </c>
      <c r="B39" s="8" t="s">
        <v>81</v>
      </c>
      <c r="C39" s="12" t="n">
        <f aca="false">MAX(0, 2*'House Vote Data'!F144 - 'House Vote Data'!F142)</f>
        <v>1343</v>
      </c>
      <c r="D39" s="9" t="n">
        <f aca="false">MIN(1,MAX(0, SLOPE(H39:K39,{2018,2020,2022,2024})*2026 + INTERCEPT(H39:K39,{2018,2020,2022,2024})))</f>
        <v>0.3536049119725</v>
      </c>
      <c r="E39" s="12" t="n">
        <f aca="false">ROUND(C39*D39,0)</f>
        <v>475</v>
      </c>
      <c r="F39" s="12" t="n">
        <f aca="false">ROUND(C39*(1-D39),0)</f>
        <v>868</v>
      </c>
      <c r="G39" s="8" t="str">
        <f aca="false">IF(D39&gt;0.5,"Democrat","Republican")</f>
        <v>Republican</v>
      </c>
      <c r="H39" s="9" t="n">
        <f aca="false">'House Vote Data'!G142</f>
        <v>0.376718606782768</v>
      </c>
      <c r="I39" s="9" t="n">
        <f aca="false">'House Vote Data'!G143</f>
        <v>0.358198924731183</v>
      </c>
      <c r="J39" s="9" t="n">
        <f aca="false">'House Vote Data'!G144</f>
        <v>0.375513557929334</v>
      </c>
      <c r="K39" s="9" t="n">
        <f aca="false">'House Vote Data'!G145</f>
        <v>0.354207436399217</v>
      </c>
    </row>
    <row r="40" customFormat="false" ht="15" hidden="false" customHeight="true" outlineLevel="0" collapsed="false">
      <c r="A40" s="8" t="s">
        <v>94</v>
      </c>
      <c r="B40" s="8" t="s">
        <v>81</v>
      </c>
      <c r="C40" s="12" t="n">
        <f aca="false">MAX(0, 2*'House Vote Data'!F148 - 'House Vote Data'!F146)</f>
        <v>2450</v>
      </c>
      <c r="D40" s="9" t="n">
        <f aca="false">MIN(1,MAX(0, SLOPE(H40:K40,{2018,2020,2022,2024})*2026 + INTERCEPT(H40:K40,{2018,2020,2022,2024})))</f>
        <v>0.313259037929893</v>
      </c>
      <c r="E40" s="12" t="n">
        <f aca="false">ROUND(C40*D40,0)</f>
        <v>767</v>
      </c>
      <c r="F40" s="12" t="n">
        <f aca="false">ROUND(C40*(1-D40),0)</f>
        <v>1683</v>
      </c>
      <c r="G40" s="8" t="str">
        <f aca="false">IF(D40&gt;0.5,"Democrat","Republican")</f>
        <v>Republican</v>
      </c>
      <c r="H40" s="9" t="n">
        <f aca="false">'House Vote Data'!G146</f>
        <v>0.335668103448276</v>
      </c>
      <c r="I40" s="9" t="n">
        <f aca="false">'House Vote Data'!G147</f>
        <v>0.321795359452263</v>
      </c>
      <c r="J40" s="9" t="n">
        <f aca="false">'House Vote Data'!G148</f>
        <v>0.333952624245239</v>
      </c>
      <c r="K40" s="9" t="n">
        <f aca="false">'House Vote Data'!G149</f>
        <v>0.314116777531412</v>
      </c>
    </row>
    <row r="41" customFormat="false" ht="15" hidden="false" customHeight="true" outlineLevel="0" collapsed="false">
      <c r="A41" s="8" t="s">
        <v>95</v>
      </c>
      <c r="B41" s="8" t="s">
        <v>81</v>
      </c>
      <c r="C41" s="12" t="n">
        <f aca="false">MAX(0, 2*'House Vote Data'!F152 - 'House Vote Data'!F150)</f>
        <v>1557</v>
      </c>
      <c r="D41" s="9" t="n">
        <f aca="false">MIN(1,MAX(0, SLOPE(H41:K41,{2018,2020,2022,2024})*2026 + INTERCEPT(H41:K41,{2018,2020,2022,2024})))</f>
        <v>0.536425862800368</v>
      </c>
      <c r="E41" s="12" t="n">
        <f aca="false">ROUND(C41*D41,0)</f>
        <v>835</v>
      </c>
      <c r="F41" s="12" t="n">
        <f aca="false">ROUND(C41*(1-D41),0)</f>
        <v>722</v>
      </c>
      <c r="G41" s="8" t="str">
        <f aca="false">IF(D41&gt;0.5,"Democrat","Republican")</f>
        <v>Democrat</v>
      </c>
      <c r="H41" s="9" t="n">
        <f aca="false">'House Vote Data'!G150</f>
        <v>0.541960784313726</v>
      </c>
      <c r="I41" s="9" t="n">
        <f aca="false">'House Vote Data'!G151</f>
        <v>0.536887452880991</v>
      </c>
      <c r="J41" s="9" t="n">
        <f aca="false">'House Vote Data'!G152</f>
        <v>0.556497175141243</v>
      </c>
      <c r="K41" s="9" t="n">
        <f aca="false">'House Vote Data'!G153</f>
        <v>0.529157667386609</v>
      </c>
    </row>
    <row r="42" customFormat="false" ht="15" hidden="false" customHeight="true" outlineLevel="0" collapsed="false">
      <c r="A42" s="8" t="s">
        <v>96</v>
      </c>
      <c r="B42" s="8" t="s">
        <v>81</v>
      </c>
      <c r="C42" s="12" t="n">
        <f aca="false">MAX(0, 2*'House Vote Data'!F156 - 'House Vote Data'!F154)</f>
        <v>8805</v>
      </c>
      <c r="D42" s="9" t="n">
        <f aca="false">MIN(1,MAX(0, SLOPE(H42:K42,{2018,2020,2022,2024})*2026 + INTERCEPT(H42:K42,{2018,2020,2022,2024})))</f>
        <v>0.405963223228334</v>
      </c>
      <c r="E42" s="12" t="n">
        <f aca="false">ROUND(C42*D42,0)</f>
        <v>3575</v>
      </c>
      <c r="F42" s="12" t="n">
        <f aca="false">ROUND(C42*(1-D42),0)</f>
        <v>5230</v>
      </c>
      <c r="G42" s="8" t="str">
        <f aca="false">IF(D42&gt;0.5,"Democrat","Republican")</f>
        <v>Republican</v>
      </c>
      <c r="H42" s="9" t="n">
        <f aca="false">'House Vote Data'!G154</f>
        <v>0.419369437320863</v>
      </c>
      <c r="I42" s="9" t="n">
        <f aca="false">'House Vote Data'!G155</f>
        <v>0.399631109744851</v>
      </c>
      <c r="J42" s="9" t="n">
        <f aca="false">'House Vote Data'!G156</f>
        <v>0.421796034728521</v>
      </c>
      <c r="K42" s="9" t="n">
        <f aca="false">'House Vote Data'!G157</f>
        <v>0.404749924524504</v>
      </c>
    </row>
    <row r="43" customFormat="false" ht="15" hidden="false" customHeight="true" outlineLevel="0" collapsed="false">
      <c r="A43" s="8" t="s">
        <v>97</v>
      </c>
      <c r="B43" s="8" t="s">
        <v>81</v>
      </c>
      <c r="C43" s="12" t="n">
        <f aca="false">MAX(0, 2*'House Vote Data'!F160 - 'House Vote Data'!F158)</f>
        <v>6947</v>
      </c>
      <c r="D43" s="9" t="n">
        <f aca="false">MIN(1,MAX(0, SLOPE(H43:K43,{2018,2020,2022,2024})*2026 + INTERCEPT(H43:K43,{2018,2020,2022,2024})))</f>
        <v>0.494164289351381</v>
      </c>
      <c r="E43" s="12" t="n">
        <f aca="false">ROUND(C43*D43,0)</f>
        <v>3433</v>
      </c>
      <c r="F43" s="12" t="n">
        <f aca="false">ROUND(C43*(1-D43),0)</f>
        <v>3514</v>
      </c>
      <c r="G43" s="8" t="str">
        <f aca="false">IF(D43&gt;0.5,"Democrat","Republican")</f>
        <v>Republican</v>
      </c>
      <c r="H43" s="9" t="n">
        <f aca="false">'House Vote Data'!G158</f>
        <v>0.50872344100881</v>
      </c>
      <c r="I43" s="9" t="n">
        <f aca="false">'House Vote Data'!G159</f>
        <v>0.49302496328928</v>
      </c>
      <c r="J43" s="9" t="n">
        <f aca="false">'House Vote Data'!G160</f>
        <v>0.508636934673367</v>
      </c>
      <c r="K43" s="9" t="n">
        <f aca="false">'House Vote Data'!G161</f>
        <v>0.494207542519103</v>
      </c>
    </row>
    <row r="44" customFormat="false" ht="15" hidden="false" customHeight="true" outlineLevel="0" collapsed="false">
      <c r="A44" s="8" t="s">
        <v>98</v>
      </c>
      <c r="B44" s="8" t="s">
        <v>81</v>
      </c>
      <c r="C44" s="12" t="n">
        <f aca="false">MAX(0, 2*'House Vote Data'!F164 - 'House Vote Data'!F162)</f>
        <v>1539</v>
      </c>
      <c r="D44" s="9" t="n">
        <f aca="false">MIN(1,MAX(0, SLOPE(H44:K44,{2018,2020,2022,2024})*2026 + INTERCEPT(H44:K44,{2018,2020,2022,2024})))</f>
        <v>0.404258304816393</v>
      </c>
      <c r="E44" s="12" t="n">
        <f aca="false">ROUND(C44*D44,0)</f>
        <v>622</v>
      </c>
      <c r="F44" s="12" t="n">
        <f aca="false">ROUND(C44*(1-D44),0)</f>
        <v>917</v>
      </c>
      <c r="G44" s="8" t="str">
        <f aca="false">IF(D44&gt;0.5,"Democrat","Republican")</f>
        <v>Republican</v>
      </c>
      <c r="H44" s="9" t="n">
        <f aca="false">'House Vote Data'!G162</f>
        <v>0.461736887360275</v>
      </c>
      <c r="I44" s="9" t="n">
        <f aca="false">'House Vote Data'!G163</f>
        <v>0.394306800210859</v>
      </c>
      <c r="J44" s="9" t="n">
        <f aca="false">'House Vote Data'!G164</f>
        <v>0.452257586972613</v>
      </c>
      <c r="K44" s="9" t="n">
        <f aca="false">'House Vote Data'!G165</f>
        <v>0.408997955010225</v>
      </c>
    </row>
    <row r="45" customFormat="false" ht="15" hidden="false" customHeight="true" outlineLevel="0" collapsed="false">
      <c r="A45" s="8" t="s">
        <v>99</v>
      </c>
      <c r="B45" s="8" t="s">
        <v>81</v>
      </c>
      <c r="C45" s="12" t="n">
        <f aca="false">MAX(0, 2*'House Vote Data'!F168 - 'House Vote Data'!F166)</f>
        <v>11390</v>
      </c>
      <c r="D45" s="9" t="n">
        <f aca="false">MIN(1,MAX(0, SLOPE(H45:K45,{2018,2020,2022,2024})*2026 + INTERCEPT(H45:K45,{2018,2020,2022,2024})))</f>
        <v>0.533158675140943</v>
      </c>
      <c r="E45" s="12" t="n">
        <f aca="false">ROUND(C45*D45,0)</f>
        <v>6073</v>
      </c>
      <c r="F45" s="12" t="n">
        <f aca="false">ROUND(C45*(1-D45),0)</f>
        <v>5317</v>
      </c>
      <c r="G45" s="8" t="str">
        <f aca="false">IF(D45&gt;0.5,"Democrat","Republican")</f>
        <v>Democrat</v>
      </c>
      <c r="H45" s="9" t="n">
        <f aca="false">'House Vote Data'!G166</f>
        <v>0.566116636528029</v>
      </c>
      <c r="I45" s="9" t="n">
        <f aca="false">'House Vote Data'!G167</f>
        <v>0.532417757904823</v>
      </c>
      <c r="J45" s="9" t="n">
        <f aca="false">'House Vote Data'!G168</f>
        <v>0.563197944460915</v>
      </c>
      <c r="K45" s="9" t="n">
        <f aca="false">'House Vote Data'!G169</f>
        <v>0.534618021174499</v>
      </c>
    </row>
    <row r="46" customFormat="false" ht="15" hidden="false" customHeight="true" outlineLevel="0" collapsed="false">
      <c r="A46" s="8" t="s">
        <v>100</v>
      </c>
      <c r="B46" s="8" t="s">
        <v>81</v>
      </c>
      <c r="C46" s="12" t="n">
        <f aca="false">MAX(0, 2*'House Vote Data'!F172 - 'House Vote Data'!F170)</f>
        <v>12900</v>
      </c>
      <c r="D46" s="9" t="n">
        <f aca="false">MIN(1,MAX(0, SLOPE(H46:K46,{2018,2020,2022,2024})*2026 + INTERCEPT(H46:K46,{2018,2020,2022,2024})))</f>
        <v>0.513238480539795</v>
      </c>
      <c r="E46" s="12" t="n">
        <f aca="false">ROUND(C46*D46,0)</f>
        <v>6621</v>
      </c>
      <c r="F46" s="12" t="n">
        <f aca="false">ROUND(C46*(1-D46),0)</f>
        <v>6279</v>
      </c>
      <c r="G46" s="8" t="str">
        <f aca="false">IF(D46&gt;0.5,"Democrat","Republican")</f>
        <v>Democrat</v>
      </c>
      <c r="H46" s="9" t="n">
        <f aca="false">'House Vote Data'!G170</f>
        <v>0.533326411960133</v>
      </c>
      <c r="I46" s="9" t="n">
        <f aca="false">'House Vote Data'!G171</f>
        <v>0.516682751964704</v>
      </c>
      <c r="J46" s="9" t="n">
        <f aca="false">'House Vote Data'!G172</f>
        <v>0.533374755902716</v>
      </c>
      <c r="K46" s="9" t="n">
        <f aca="false">'House Vote Data'!G173</f>
        <v>0.513214308568503</v>
      </c>
    </row>
    <row r="47" customFormat="false" ht="15" hidden="false" customHeight="true" outlineLevel="0" collapsed="false">
      <c r="A47" s="8" t="s">
        <v>101</v>
      </c>
      <c r="B47" s="8" t="s">
        <v>81</v>
      </c>
      <c r="C47" s="12" t="n">
        <f aca="false">MAX(0, 2*'House Vote Data'!F176 - 'House Vote Data'!F174)</f>
        <v>5327</v>
      </c>
      <c r="D47" s="9" t="n">
        <f aca="false">MIN(1,MAX(0, SLOPE(H47:K47,{2018,2020,2022,2024})*2026 + INTERCEPT(H47:K47,{2018,2020,2022,2024})))</f>
        <v>0.429612342093488</v>
      </c>
      <c r="E47" s="12" t="n">
        <f aca="false">ROUND(C47*D47,0)</f>
        <v>2289</v>
      </c>
      <c r="F47" s="12" t="n">
        <f aca="false">ROUND(C47*(1-D47),0)</f>
        <v>3038</v>
      </c>
      <c r="G47" s="8" t="str">
        <f aca="false">IF(D47&gt;0.5,"Democrat","Republican")</f>
        <v>Republican</v>
      </c>
      <c r="H47" s="9" t="n">
        <f aca="false">'House Vote Data'!G174</f>
        <v>0.457244982128128</v>
      </c>
      <c r="I47" s="9" t="n">
        <f aca="false">'House Vote Data'!G175</f>
        <v>0.42920610392119</v>
      </c>
      <c r="J47" s="9" t="n">
        <f aca="false">'House Vote Data'!G176</f>
        <v>0.453369031682285</v>
      </c>
      <c r="K47" s="9" t="n">
        <f aca="false">'House Vote Data'!G177</f>
        <v>0.43155031731641</v>
      </c>
    </row>
    <row r="48" customFormat="false" ht="15" hidden="false" customHeight="true" outlineLevel="0" collapsed="false">
      <c r="A48" s="8" t="s">
        <v>102</v>
      </c>
      <c r="B48" s="8" t="s">
        <v>81</v>
      </c>
      <c r="C48" s="12" t="n">
        <f aca="false">MAX(0, 2*'House Vote Data'!F180 - 'House Vote Data'!F178)</f>
        <v>10130</v>
      </c>
      <c r="D48" s="9" t="n">
        <f aca="false">MIN(1,MAX(0, SLOPE(H48:K48,{2018,2020,2022,2024})*2026 + INTERCEPT(H48:K48,{2018,2020,2022,2024})))</f>
        <v>0.492553988366866</v>
      </c>
      <c r="E48" s="12" t="n">
        <f aca="false">ROUND(C48*D48,0)</f>
        <v>4990</v>
      </c>
      <c r="F48" s="12" t="n">
        <f aca="false">ROUND(C48*(1-D48),0)</f>
        <v>5140</v>
      </c>
      <c r="G48" s="8" t="str">
        <f aca="false">IF(D48&gt;0.5,"Democrat","Republican")</f>
        <v>Republican</v>
      </c>
      <c r="H48" s="9" t="n">
        <f aca="false">'House Vote Data'!G178</f>
        <v>0.492183288409704</v>
      </c>
      <c r="I48" s="9" t="n">
        <f aca="false">'House Vote Data'!G179</f>
        <v>0.466854041480907</v>
      </c>
      <c r="J48" s="9" t="n">
        <f aca="false">'House Vote Data'!G180</f>
        <v>0.502108262108262</v>
      </c>
      <c r="K48" s="9" t="n">
        <f aca="false">'House Vote Data'!G181</f>
        <v>0.487591501517586</v>
      </c>
    </row>
    <row r="49" customFormat="false" ht="15" hidden="false" customHeight="true" outlineLevel="0" collapsed="false">
      <c r="A49" s="8" t="s">
        <v>103</v>
      </c>
      <c r="B49" s="8" t="s">
        <v>81</v>
      </c>
      <c r="C49" s="12" t="n">
        <f aca="false">MAX(0, 2*'House Vote Data'!F184 - 'House Vote Data'!F182)</f>
        <v>3545</v>
      </c>
      <c r="D49" s="9" t="n">
        <f aca="false">MIN(1,MAX(0, SLOPE(H49:K49,{2018,2020,2022,2024})*2026 + INTERCEPT(H49:K49,{2018,2020,2022,2024})))</f>
        <v>0.31970321604055</v>
      </c>
      <c r="E49" s="12" t="n">
        <f aca="false">ROUND(C49*D49,0)</f>
        <v>1133</v>
      </c>
      <c r="F49" s="12" t="n">
        <f aca="false">ROUND(C49*(1-D49),0)</f>
        <v>2412</v>
      </c>
      <c r="G49" s="8" t="str">
        <f aca="false">IF(D49&gt;0.5,"Democrat","Republican")</f>
        <v>Republican</v>
      </c>
      <c r="H49" s="9" t="n">
        <f aca="false">'House Vote Data'!G182</f>
        <v>0.35468179975679</v>
      </c>
      <c r="I49" s="9" t="n">
        <f aca="false">'House Vote Data'!G183</f>
        <v>0.323181937516409</v>
      </c>
      <c r="J49" s="9" t="n">
        <f aca="false">'House Vote Data'!G184</f>
        <v>0.350632069194943</v>
      </c>
      <c r="K49" s="9" t="n">
        <f aca="false">'House Vote Data'!G185</f>
        <v>0.321728081321474</v>
      </c>
    </row>
    <row r="50" customFormat="false" ht="15" hidden="false" customHeight="true" outlineLevel="0" collapsed="false">
      <c r="A50" s="8" t="s">
        <v>104</v>
      </c>
      <c r="B50" s="8" t="s">
        <v>81</v>
      </c>
      <c r="C50" s="12" t="n">
        <f aca="false">MAX(0, 2*'House Vote Data'!F188 - 'House Vote Data'!F186)</f>
        <v>3043</v>
      </c>
      <c r="D50" s="9" t="n">
        <f aca="false">MIN(1,MAX(0, SLOPE(H50:K50,{2018,2020,2022,2024})*2026 + INTERCEPT(H50:K50,{2018,2020,2022,2024})))</f>
        <v>0.354105704995003</v>
      </c>
      <c r="E50" s="12" t="n">
        <f aca="false">ROUND(C50*D50,0)</f>
        <v>1078</v>
      </c>
      <c r="F50" s="12" t="n">
        <f aca="false">ROUND(C50*(1-D50),0)</f>
        <v>1965</v>
      </c>
      <c r="G50" s="8" t="str">
        <f aca="false">IF(D50&gt;0.5,"Democrat","Republican")</f>
        <v>Republican</v>
      </c>
      <c r="H50" s="9" t="n">
        <f aca="false">'House Vote Data'!G186</f>
        <v>0.351131994873986</v>
      </c>
      <c r="I50" s="9" t="n">
        <f aca="false">'House Vote Data'!G187</f>
        <v>0.332301021988232</v>
      </c>
      <c r="J50" s="9" t="n">
        <f aca="false">'House Vote Data'!G188</f>
        <v>0.364413075780089</v>
      </c>
      <c r="K50" s="9" t="n">
        <f aca="false">'House Vote Data'!G189</f>
        <v>0.347465164541951</v>
      </c>
    </row>
    <row r="51" customFormat="false" ht="15" hidden="false" customHeight="true" outlineLevel="0" collapsed="false">
      <c r="A51" s="8" t="s">
        <v>105</v>
      </c>
      <c r="B51" s="8" t="s">
        <v>81</v>
      </c>
      <c r="C51" s="12" t="n">
        <f aca="false">MAX(0, 2*'House Vote Data'!F192 - 'House Vote Data'!F190)</f>
        <v>11319</v>
      </c>
      <c r="D51" s="9" t="n">
        <f aca="false">MIN(1,MAX(0, SLOPE(H51:K51,{2018,2020,2022,2024})*2026 + INTERCEPT(H51:K51,{2018,2020,2022,2024})))</f>
        <v>0.499263030349381</v>
      </c>
      <c r="E51" s="12" t="n">
        <f aca="false">ROUND(C51*D51,0)</f>
        <v>5651</v>
      </c>
      <c r="F51" s="12" t="n">
        <f aca="false">ROUND(C51*(1-D51),0)</f>
        <v>5668</v>
      </c>
      <c r="G51" s="8" t="str">
        <f aca="false">IF(D51&gt;0.5,"Democrat","Republican")</f>
        <v>Republican</v>
      </c>
      <c r="H51" s="9" t="n">
        <f aca="false">'House Vote Data'!G190</f>
        <v>0.560712358337831</v>
      </c>
      <c r="I51" s="9" t="n">
        <f aca="false">'House Vote Data'!G191</f>
        <v>0.525618436817253</v>
      </c>
      <c r="J51" s="9" t="n">
        <f aca="false">'House Vote Data'!G192</f>
        <v>0.535172949863972</v>
      </c>
      <c r="K51" s="9" t="n">
        <f aca="false">'House Vote Data'!G193</f>
        <v>0.51203273458631</v>
      </c>
    </row>
    <row r="52" customFormat="false" ht="15" hidden="false" customHeight="true" outlineLevel="0" collapsed="false">
      <c r="A52" s="8" t="s">
        <v>106</v>
      </c>
      <c r="B52" s="8" t="s">
        <v>107</v>
      </c>
      <c r="C52" s="12" t="n">
        <f aca="false">MAX(0, 2*'House Vote Data'!F196 - 'House Vote Data'!F194)</f>
        <v>1408</v>
      </c>
      <c r="D52" s="9" t="n">
        <f aca="false">MIN(1,MAX(0, SLOPE(H52:K52,{2018,2020,2022,2024})*2026 + INTERCEPT(H52:K52,{2018,2020,2022,2024})))</f>
        <v>0.276100809230446</v>
      </c>
      <c r="E52" s="12" t="n">
        <f aca="false">ROUND(C52*D52,0)</f>
        <v>389</v>
      </c>
      <c r="F52" s="12" t="n">
        <f aca="false">ROUND(C52*(1-D52),0)</f>
        <v>1019</v>
      </c>
      <c r="G52" s="8" t="str">
        <f aca="false">IF(D52&gt;0.5,"Democrat","Republican")</f>
        <v>Republican</v>
      </c>
      <c r="H52" s="9" t="n">
        <f aca="false">'House Vote Data'!G194</f>
        <v>0.343035343035343</v>
      </c>
      <c r="I52" s="9" t="n">
        <f aca="false">'House Vote Data'!G195</f>
        <v>0.328114363512594</v>
      </c>
      <c r="J52" s="9" t="n">
        <f aca="false">'House Vote Data'!G196</f>
        <v>0.30464135021097</v>
      </c>
      <c r="K52" s="9" t="n">
        <f aca="false">'House Vote Data'!G197</f>
        <v>0.295297805642633</v>
      </c>
    </row>
    <row r="53" customFormat="false" ht="15" hidden="false" customHeight="true" outlineLevel="0" collapsed="false">
      <c r="A53" s="8" t="s">
        <v>108</v>
      </c>
      <c r="B53" s="8" t="s">
        <v>107</v>
      </c>
      <c r="C53" s="12" t="n">
        <f aca="false">MAX(0, 2*'House Vote Data'!F200 - 'House Vote Data'!F198)</f>
        <v>3530</v>
      </c>
      <c r="D53" s="9" t="n">
        <f aca="false">MIN(1,MAX(0, SLOPE(H53:K53,{2018,2020,2022,2024})*2026 + INTERCEPT(H53:K53,{2018,2020,2022,2024})))</f>
        <v>0.294682663345458</v>
      </c>
      <c r="E53" s="12" t="n">
        <f aca="false">ROUND(C53*D53,0)</f>
        <v>1040</v>
      </c>
      <c r="F53" s="12" t="n">
        <f aca="false">ROUND(C53*(1-D53),0)</f>
        <v>2490</v>
      </c>
      <c r="G53" s="8" t="str">
        <f aca="false">IF(D53&gt;0.5,"Democrat","Republican")</f>
        <v>Republican</v>
      </c>
      <c r="H53" s="9" t="n">
        <f aca="false">'House Vote Data'!G198</f>
        <v>0.406854838709677</v>
      </c>
      <c r="I53" s="9" t="n">
        <f aca="false">'House Vote Data'!G199</f>
        <v>0.363891726251277</v>
      </c>
      <c r="J53" s="9" t="n">
        <f aca="false">'House Vote Data'!G200</f>
        <v>0.339767054908486</v>
      </c>
      <c r="K53" s="9" t="n">
        <f aca="false">'House Vote Data'!G201</f>
        <v>0.328226555246054</v>
      </c>
    </row>
    <row r="54" customFormat="false" ht="15" hidden="false" customHeight="true" outlineLevel="0" collapsed="false">
      <c r="A54" s="8" t="s">
        <v>109</v>
      </c>
      <c r="B54" s="8" t="s">
        <v>107</v>
      </c>
      <c r="C54" s="12" t="n">
        <f aca="false">MAX(0, 2*'House Vote Data'!F204 - 'House Vote Data'!F202)</f>
        <v>337</v>
      </c>
      <c r="D54" s="9" t="n">
        <f aca="false">MIN(1,MAX(0, SLOPE(H54:K54,{2018,2020,2022,2024})*2026 + INTERCEPT(H54:K54,{2018,2020,2022,2024})))</f>
        <v>0.306075945843929</v>
      </c>
      <c r="E54" s="12" t="n">
        <f aca="false">ROUND(C54*D54,0)</f>
        <v>103</v>
      </c>
      <c r="F54" s="12" t="n">
        <f aca="false">ROUND(C54*(1-D54),0)</f>
        <v>234</v>
      </c>
      <c r="G54" s="8" t="str">
        <f aca="false">IF(D54&gt;0.5,"Democrat","Republican")</f>
        <v>Republican</v>
      </c>
      <c r="H54" s="9" t="n">
        <f aca="false">'House Vote Data'!G202</f>
        <v>0.416004239533651</v>
      </c>
      <c r="I54" s="9" t="n">
        <f aca="false">'House Vote Data'!G203</f>
        <v>0.387142352525609</v>
      </c>
      <c r="J54" s="9" t="n">
        <f aca="false">'House Vote Data'!G204</f>
        <v>0.341726618705036</v>
      </c>
      <c r="K54" s="9" t="n">
        <f aca="false">'House Vote Data'!G205</f>
        <v>0.343214756258235</v>
      </c>
    </row>
    <row r="55" customFormat="false" ht="15" hidden="false" customHeight="true" outlineLevel="0" collapsed="false">
      <c r="A55" s="8" t="s">
        <v>110</v>
      </c>
      <c r="B55" s="8" t="s">
        <v>111</v>
      </c>
      <c r="C55" s="12" t="n">
        <f aca="false">MAX(0, 2*'House Vote Data'!F208 - 'House Vote Data'!F206)</f>
        <v>3096</v>
      </c>
      <c r="D55" s="9" t="n">
        <f aca="false">MIN(1,MAX(0, SLOPE(H55:K55,{2018,2020,2022,2024})*2026 + INTERCEPT(H55:K55,{2018,2020,2022,2024})))</f>
        <v>0.438156382527557</v>
      </c>
      <c r="E55" s="12" t="n">
        <f aca="false">ROUND(C55*D55,0)</f>
        <v>1357</v>
      </c>
      <c r="F55" s="12" t="n">
        <f aca="false">ROUND(C55*(1-D55),0)</f>
        <v>1739</v>
      </c>
      <c r="G55" s="8" t="str">
        <f aca="false">IF(D55&gt;0.5,"Democrat","Republican")</f>
        <v>Republican</v>
      </c>
      <c r="H55" s="9" t="n">
        <f aca="false">'House Vote Data'!G206</f>
        <v>0.431558935361217</v>
      </c>
      <c r="I55" s="9" t="n">
        <f aca="false">'House Vote Data'!G207</f>
        <v>0.432106216053108</v>
      </c>
      <c r="J55" s="9" t="n">
        <f aca="false">'House Vote Data'!G208</f>
        <v>0.451538461538462</v>
      </c>
      <c r="K55" s="9" t="n">
        <f aca="false">'House Vote Data'!G209</f>
        <v>0.428166619438935</v>
      </c>
    </row>
    <row r="56" customFormat="false" ht="15" hidden="false" customHeight="true" outlineLevel="0" collapsed="false">
      <c r="A56" s="8" t="s">
        <v>112</v>
      </c>
      <c r="B56" s="8" t="s">
        <v>111</v>
      </c>
      <c r="C56" s="12" t="n">
        <f aca="false">MAX(0, 2*'House Vote Data'!F212 - 'House Vote Data'!F210)</f>
        <v>1833</v>
      </c>
      <c r="D56" s="9" t="n">
        <f aca="false">MIN(1,MAX(0, SLOPE(H56:K56,{2018,2020,2022,2024})*2026 + INTERCEPT(H56:K56,{2018,2020,2022,2024})))</f>
        <v>0.396139683398424</v>
      </c>
      <c r="E56" s="12" t="n">
        <f aca="false">ROUND(C56*D56,0)</f>
        <v>726</v>
      </c>
      <c r="F56" s="12" t="n">
        <f aca="false">ROUND(C56*(1-D56),0)</f>
        <v>1107</v>
      </c>
      <c r="G56" s="8" t="str">
        <f aca="false">IF(D56&gt;0.5,"Democrat","Republican")</f>
        <v>Republican</v>
      </c>
      <c r="H56" s="9" t="n">
        <f aca="false">'House Vote Data'!G210</f>
        <v>0.473328831870358</v>
      </c>
      <c r="I56" s="9" t="n">
        <f aca="false">'House Vote Data'!G211</f>
        <v>0.418292154312961</v>
      </c>
      <c r="J56" s="9" t="n">
        <f aca="false">'House Vote Data'!G212</f>
        <v>0.43995171997586</v>
      </c>
      <c r="K56" s="9" t="n">
        <f aca="false">'House Vote Data'!G213</f>
        <v>0.412828239345674</v>
      </c>
    </row>
    <row r="57" customFormat="false" ht="15" hidden="false" customHeight="true" outlineLevel="0" collapsed="false">
      <c r="A57" s="8" t="s">
        <v>113</v>
      </c>
      <c r="B57" s="8" t="s">
        <v>111</v>
      </c>
      <c r="C57" s="12" t="n">
        <f aca="false">MAX(0, 2*'House Vote Data'!F216 - 'House Vote Data'!F214)</f>
        <v>1132</v>
      </c>
      <c r="D57" s="9" t="n">
        <f aca="false">MIN(1,MAX(0, SLOPE(H57:K57,{2018,2020,2022,2024})*2026 + INTERCEPT(H57:K57,{2018,2020,2022,2024})))</f>
        <v>0.455842246426892</v>
      </c>
      <c r="E57" s="12" t="n">
        <f aca="false">ROUND(C57*D57,0)</f>
        <v>516</v>
      </c>
      <c r="F57" s="12" t="n">
        <f aca="false">ROUND(C57*(1-D57),0)</f>
        <v>616</v>
      </c>
      <c r="G57" s="8" t="str">
        <f aca="false">IF(D57&gt;0.5,"Democrat","Republican")</f>
        <v>Republican</v>
      </c>
      <c r="H57" s="9" t="n">
        <f aca="false">'House Vote Data'!G214</f>
        <v>0.474226804123711</v>
      </c>
      <c r="I57" s="9" t="n">
        <f aca="false">'House Vote Data'!G215</f>
        <v>0.45447409733124</v>
      </c>
      <c r="J57" s="9" t="n">
        <f aca="false">'House Vote Data'!G216</f>
        <v>0.462264150943396</v>
      </c>
      <c r="K57" s="9" t="n">
        <f aca="false">'House Vote Data'!G217</f>
        <v>0.46182357301705</v>
      </c>
    </row>
    <row r="58" customFormat="false" ht="15" hidden="false" customHeight="true" outlineLevel="0" collapsed="false">
      <c r="A58" s="8" t="s">
        <v>83</v>
      </c>
      <c r="B58" s="8" t="s">
        <v>111</v>
      </c>
      <c r="C58" s="12" t="n">
        <f aca="false">MAX(0, 2*'House Vote Data'!F220 - 'House Vote Data'!F218)</f>
        <v>19136</v>
      </c>
      <c r="D58" s="9" t="n">
        <f aca="false">MIN(1,MAX(0, SLOPE(H58:K58,{2018,2020,2022,2024})*2026 + INTERCEPT(H58:K58,{2018,2020,2022,2024})))</f>
        <v>0.655703944964424</v>
      </c>
      <c r="E58" s="12" t="n">
        <f aca="false">ROUND(C58*D58,0)</f>
        <v>12548</v>
      </c>
      <c r="F58" s="12" t="n">
        <f aca="false">ROUND(C58*(1-D58),0)</f>
        <v>6588</v>
      </c>
      <c r="G58" s="8" t="str">
        <f aca="false">IF(D58&gt;0.5,"Democrat","Republican")</f>
        <v>Democrat</v>
      </c>
      <c r="H58" s="9" t="n">
        <f aca="false">'House Vote Data'!G218</f>
        <v>0.710825709594183</v>
      </c>
      <c r="I58" s="9" t="n">
        <f aca="false">'House Vote Data'!G219</f>
        <v>0.671224063052919</v>
      </c>
      <c r="J58" s="9" t="n">
        <f aca="false">'House Vote Data'!G220</f>
        <v>0.685420581408202</v>
      </c>
      <c r="K58" s="9" t="n">
        <f aca="false">'House Vote Data'!G221</f>
        <v>0.668406509057415</v>
      </c>
    </row>
    <row r="59" customFormat="false" ht="15" hidden="false" customHeight="true" outlineLevel="0" collapsed="false">
      <c r="A59" s="8" t="s">
        <v>114</v>
      </c>
      <c r="B59" s="8" t="s">
        <v>111</v>
      </c>
      <c r="C59" s="12" t="n">
        <f aca="false">MAX(0, 2*'House Vote Data'!F224 - 'House Vote Data'!F222)</f>
        <v>14237</v>
      </c>
      <c r="D59" s="9" t="n">
        <f aca="false">MIN(1,MAX(0, SLOPE(H59:K59,{2018,2020,2022,2024})*2026 + INTERCEPT(H59:K59,{2018,2020,2022,2024})))</f>
        <v>0.536838219802283</v>
      </c>
      <c r="E59" s="12" t="n">
        <f aca="false">ROUND(C59*D59,0)</f>
        <v>7643</v>
      </c>
      <c r="F59" s="12" t="n">
        <f aca="false">ROUND(C59*(1-D59),0)</f>
        <v>6594</v>
      </c>
      <c r="G59" s="8" t="str">
        <f aca="false">IF(D59&gt;0.5,"Democrat","Republican")</f>
        <v>Democrat</v>
      </c>
      <c r="H59" s="9" t="n">
        <f aca="false">'House Vote Data'!G222</f>
        <v>0.544053078349107</v>
      </c>
      <c r="I59" s="9" t="n">
        <f aca="false">'House Vote Data'!G223</f>
        <v>0.528722233015996</v>
      </c>
      <c r="J59" s="9" t="n">
        <f aca="false">'House Vote Data'!G224</f>
        <v>0.545699583435433</v>
      </c>
      <c r="K59" s="9" t="n">
        <f aca="false">'House Vote Data'!G225</f>
        <v>0.536014967259121</v>
      </c>
    </row>
    <row r="60" customFormat="false" ht="15" hidden="false" customHeight="true" outlineLevel="0" collapsed="false">
      <c r="A60" s="8" t="s">
        <v>115</v>
      </c>
      <c r="B60" s="8" t="s">
        <v>111</v>
      </c>
      <c r="C60" s="12" t="n">
        <f aca="false">MAX(0, 2*'House Vote Data'!F228 - 'House Vote Data'!F226)</f>
        <v>5285</v>
      </c>
      <c r="D60" s="9" t="n">
        <f aca="false">MIN(1,MAX(0, SLOPE(H60:K60,{2018,2020,2022,2024})*2026 + INTERCEPT(H60:K60,{2018,2020,2022,2024})))</f>
        <v>0.387835653656018</v>
      </c>
      <c r="E60" s="12" t="n">
        <f aca="false">ROUND(C60*D60,0)</f>
        <v>2050</v>
      </c>
      <c r="F60" s="12" t="n">
        <f aca="false">ROUND(C60*(1-D60),0)</f>
        <v>3235</v>
      </c>
      <c r="G60" s="8" t="str">
        <f aca="false">IF(D60&gt;0.5,"Democrat","Republican")</f>
        <v>Republican</v>
      </c>
      <c r="H60" s="9" t="n">
        <f aca="false">'House Vote Data'!G226</f>
        <v>0.389980074010817</v>
      </c>
      <c r="I60" s="9" t="n">
        <f aca="false">'House Vote Data'!G227</f>
        <v>0.36999813884236</v>
      </c>
      <c r="J60" s="9" t="n">
        <f aca="false">'House Vote Data'!G228</f>
        <v>0.394862468742896</v>
      </c>
      <c r="K60" s="9" t="n">
        <f aca="false">'House Vote Data'!G229</f>
        <v>0.385394456289979</v>
      </c>
    </row>
    <row r="61" customFormat="false" ht="15" hidden="false" customHeight="true" outlineLevel="0" collapsed="false">
      <c r="A61" s="8" t="s">
        <v>116</v>
      </c>
      <c r="B61" s="8" t="s">
        <v>111</v>
      </c>
      <c r="C61" s="12" t="n">
        <f aca="false">MAX(0, 2*'House Vote Data'!F232 - 'House Vote Data'!F230)</f>
        <v>106</v>
      </c>
      <c r="D61" s="9" t="n">
        <f aca="false">MIN(1,MAX(0, SLOPE(H61:K61,{2018,2020,2022,2024})*2026 + INTERCEPT(H61:K61,{2018,2020,2022,2024})))</f>
        <v>0.278163082899333</v>
      </c>
      <c r="E61" s="12" t="n">
        <f aca="false">ROUND(C61*D61,0)</f>
        <v>29</v>
      </c>
      <c r="F61" s="12" t="n">
        <f aca="false">ROUND(C61*(1-D61),0)</f>
        <v>77</v>
      </c>
      <c r="G61" s="8" t="str">
        <f aca="false">IF(D61&gt;0.5,"Democrat","Republican")</f>
        <v>Republican</v>
      </c>
      <c r="H61" s="9" t="n">
        <f aca="false">'House Vote Data'!G230</f>
        <v>0.454545454545455</v>
      </c>
      <c r="I61" s="9" t="n">
        <f aca="false">'House Vote Data'!G231</f>
        <v>0.330508474576271</v>
      </c>
      <c r="J61" s="9" t="n">
        <f aca="false">'House Vote Data'!G232</f>
        <v>0.36046511627907</v>
      </c>
      <c r="K61" s="9" t="n">
        <f aca="false">'House Vote Data'!G233</f>
        <v>0.32520325203252</v>
      </c>
    </row>
    <row r="62" customFormat="false" ht="15" hidden="false" customHeight="true" outlineLevel="0" collapsed="false">
      <c r="A62" s="8" t="s">
        <v>117</v>
      </c>
      <c r="B62" s="8" t="s">
        <v>111</v>
      </c>
      <c r="C62" s="12" t="n">
        <f aca="false">MAX(0, 2*'House Vote Data'!F236 - 'House Vote Data'!F234)</f>
        <v>3043</v>
      </c>
      <c r="D62" s="9" t="n">
        <f aca="false">MIN(1,MAX(0, SLOPE(H62:K62,{2018,2020,2022,2024})*2026 + INTERCEPT(H62:K62,{2018,2020,2022,2024})))</f>
        <v>0.440372134812719</v>
      </c>
      <c r="E62" s="12" t="n">
        <f aca="false">ROUND(C62*D62,0)</f>
        <v>1340</v>
      </c>
      <c r="F62" s="12" t="n">
        <f aca="false">ROUND(C62*(1-D62),0)</f>
        <v>1703</v>
      </c>
      <c r="G62" s="8" t="str">
        <f aca="false">IF(D62&gt;0.5,"Democrat","Republican")</f>
        <v>Republican</v>
      </c>
      <c r="H62" s="9" t="n">
        <f aca="false">'House Vote Data'!G234</f>
        <v>0.421898543445505</v>
      </c>
      <c r="I62" s="9" t="n">
        <f aca="false">'House Vote Data'!G235</f>
        <v>0.405135045015005</v>
      </c>
      <c r="J62" s="9" t="n">
        <f aca="false">'House Vote Data'!G236</f>
        <v>0.440603893524037</v>
      </c>
      <c r="K62" s="9" t="n">
        <f aca="false">'House Vote Data'!G237</f>
        <v>0.431019459773453</v>
      </c>
    </row>
    <row r="63" customFormat="false" ht="15" hidden="false" customHeight="true" outlineLevel="0" collapsed="false">
      <c r="A63" s="8" t="s">
        <v>118</v>
      </c>
      <c r="B63" s="8" t="s">
        <v>111</v>
      </c>
      <c r="C63" s="12" t="n">
        <f aca="false">MAX(0, 2*'House Vote Data'!F240 - 'House Vote Data'!F238)</f>
        <v>369</v>
      </c>
      <c r="D63" s="9" t="n">
        <f aca="false">MIN(1,MAX(0, SLOPE(H63:K63,{2018,2020,2022,2024})*2026 + INTERCEPT(H63:K63,{2018,2020,2022,2024})))</f>
        <v>0.412509028478612</v>
      </c>
      <c r="E63" s="12" t="n">
        <f aca="false">ROUND(C63*D63,0)</f>
        <v>152</v>
      </c>
      <c r="F63" s="12" t="n">
        <f aca="false">ROUND(C63*(1-D63),0)</f>
        <v>217</v>
      </c>
      <c r="G63" s="8" t="str">
        <f aca="false">IF(D63&gt;0.5,"Democrat","Republican")</f>
        <v>Republican</v>
      </c>
      <c r="H63" s="9" t="n">
        <f aca="false">'House Vote Data'!G238</f>
        <v>0.39039039039039</v>
      </c>
      <c r="I63" s="9" t="n">
        <f aca="false">'House Vote Data'!G239</f>
        <v>0.333333333333333</v>
      </c>
      <c r="J63" s="9" t="n">
        <f aca="false">'House Vote Data'!G240</f>
        <v>0.39031339031339</v>
      </c>
      <c r="K63" s="9" t="n">
        <f aca="false">'House Vote Data'!G241</f>
        <v>0.41254752851711</v>
      </c>
    </row>
    <row r="64" customFormat="false" ht="15" hidden="false" customHeight="true" outlineLevel="0" collapsed="false">
      <c r="A64" s="8" t="s">
        <v>119</v>
      </c>
      <c r="B64" s="8" t="s">
        <v>111</v>
      </c>
      <c r="C64" s="12" t="n">
        <f aca="false">MAX(0, 2*'House Vote Data'!F244 - 'House Vote Data'!F242)</f>
        <v>7544</v>
      </c>
      <c r="D64" s="9" t="n">
        <f aca="false">MIN(1,MAX(0, SLOPE(H64:K64,{2018,2020,2022,2024})*2026 + INTERCEPT(H64:K64,{2018,2020,2022,2024})))</f>
        <v>0.683596370106042</v>
      </c>
      <c r="E64" s="12" t="n">
        <f aca="false">ROUND(C64*D64,0)</f>
        <v>5157</v>
      </c>
      <c r="F64" s="12" t="n">
        <f aca="false">ROUND(C64*(1-D64),0)</f>
        <v>2387</v>
      </c>
      <c r="G64" s="8" t="str">
        <f aca="false">IF(D64&gt;0.5,"Democrat","Republican")</f>
        <v>Democrat</v>
      </c>
      <c r="H64" s="9" t="n">
        <f aca="false">'House Vote Data'!G242</f>
        <v>0.761668172237278</v>
      </c>
      <c r="I64" s="9" t="n">
        <f aca="false">'House Vote Data'!G243</f>
        <v>0.706110668789809</v>
      </c>
      <c r="J64" s="9" t="n">
        <f aca="false">'House Vote Data'!G244</f>
        <v>0.734526998449175</v>
      </c>
      <c r="K64" s="9" t="n">
        <f aca="false">'House Vote Data'!G245</f>
        <v>0.697166957000092</v>
      </c>
    </row>
    <row r="65" customFormat="false" ht="15" hidden="false" customHeight="true" outlineLevel="0" collapsed="false">
      <c r="A65" s="8" t="s">
        <v>120</v>
      </c>
      <c r="B65" s="8" t="s">
        <v>111</v>
      </c>
      <c r="C65" s="12" t="n">
        <f aca="false">MAX(0, 2*'House Vote Data'!F248 - 'House Vote Data'!F246)</f>
        <v>9298</v>
      </c>
      <c r="D65" s="9" t="n">
        <f aca="false">MIN(1,MAX(0, SLOPE(H65:K65,{2018,2020,2022,2024})*2026 + INTERCEPT(H65:K65,{2018,2020,2022,2024})))</f>
        <v>0.506960895585012</v>
      </c>
      <c r="E65" s="12" t="n">
        <f aca="false">ROUND(C65*D65,0)</f>
        <v>4714</v>
      </c>
      <c r="F65" s="12" t="n">
        <f aca="false">ROUND(C65*(1-D65),0)</f>
        <v>4584</v>
      </c>
      <c r="G65" s="8" t="str">
        <f aca="false">IF(D65&gt;0.5,"Democrat","Republican")</f>
        <v>Democrat</v>
      </c>
      <c r="H65" s="9" t="n">
        <f aca="false">'House Vote Data'!G246</f>
        <v>0.541628684290489</v>
      </c>
      <c r="I65" s="9" t="n">
        <f aca="false">'House Vote Data'!G247</f>
        <v>0.511316350350147</v>
      </c>
      <c r="J65" s="9" t="n">
        <f aca="false">'House Vote Data'!G248</f>
        <v>0.52367758186398</v>
      </c>
      <c r="K65" s="9" t="n">
        <f aca="false">'House Vote Data'!G249</f>
        <v>0.515936446798267</v>
      </c>
    </row>
    <row r="66" customFormat="false" ht="15" hidden="false" customHeight="true" outlineLevel="0" collapsed="false">
      <c r="A66" s="8" t="s">
        <v>121</v>
      </c>
      <c r="B66" s="8" t="s">
        <v>111</v>
      </c>
      <c r="C66" s="12" t="n">
        <f aca="false">MAX(0, 2*'House Vote Data'!F252 - 'House Vote Data'!F250)</f>
        <v>870</v>
      </c>
      <c r="D66" s="9" t="n">
        <f aca="false">MIN(1,MAX(0, SLOPE(H66:K66,{2018,2020,2022,2024})*2026 + INTERCEPT(H66:K66,{2018,2020,2022,2024})))</f>
        <v>0.560956285166636</v>
      </c>
      <c r="E66" s="12" t="n">
        <f aca="false">ROUND(C66*D66,0)</f>
        <v>488</v>
      </c>
      <c r="F66" s="12" t="n">
        <f aca="false">ROUND(C66*(1-D66),0)</f>
        <v>382</v>
      </c>
      <c r="G66" s="8" t="str">
        <f aca="false">IF(D66&gt;0.5,"Democrat","Republican")</f>
        <v>Democrat</v>
      </c>
      <c r="H66" s="9" t="n">
        <f aca="false">'House Vote Data'!G250</f>
        <v>0.662666666666667</v>
      </c>
      <c r="I66" s="9" t="n">
        <f aca="false">'House Vote Data'!G251</f>
        <v>0.625407166123778</v>
      </c>
      <c r="J66" s="9" t="n">
        <f aca="false">'House Vote Data'!G252</f>
        <v>0.592592592592593</v>
      </c>
      <c r="K66" s="9" t="n">
        <f aca="false">'House Vote Data'!G253</f>
        <v>0.595993322203673</v>
      </c>
    </row>
    <row r="67" customFormat="false" ht="15" hidden="false" customHeight="true" outlineLevel="0" collapsed="false">
      <c r="A67" s="8" t="s">
        <v>122</v>
      </c>
      <c r="B67" s="8" t="s">
        <v>111</v>
      </c>
      <c r="C67" s="12" t="n">
        <f aca="false">MAX(0, 2*'House Vote Data'!F256 - 'House Vote Data'!F254)</f>
        <v>171</v>
      </c>
      <c r="D67" s="9" t="n">
        <f aca="false">MIN(1,MAX(0, SLOPE(H67:K67,{2018,2020,2022,2024})*2026 + INTERCEPT(H67:K67,{2018,2020,2022,2024})))</f>
        <v>0.460121038204079</v>
      </c>
      <c r="E67" s="12" t="n">
        <f aca="false">ROUND(C67*D67,0)</f>
        <v>79</v>
      </c>
      <c r="F67" s="12" t="n">
        <f aca="false">ROUND(C67*(1-D67),0)</f>
        <v>92</v>
      </c>
      <c r="G67" s="8" t="str">
        <f aca="false">IF(D67&gt;0.5,"Democrat","Republican")</f>
        <v>Republican</v>
      </c>
      <c r="H67" s="9" t="n">
        <f aca="false">'House Vote Data'!G254</f>
        <v>0.648648648648649</v>
      </c>
      <c r="I67" s="9" t="n">
        <f aca="false">'House Vote Data'!G255</f>
        <v>0.502487562189055</v>
      </c>
      <c r="J67" s="9" t="n">
        <f aca="false">'House Vote Data'!G256</f>
        <v>0.51063829787234</v>
      </c>
      <c r="K67" s="9" t="n">
        <f aca="false">'House Vote Data'!G257</f>
        <v>0.529126213592233</v>
      </c>
    </row>
    <row r="68" customFormat="false" ht="15" hidden="false" customHeight="true" outlineLevel="0" collapsed="false">
      <c r="A68" s="8" t="s">
        <v>89</v>
      </c>
      <c r="B68" s="8" t="s">
        <v>111</v>
      </c>
      <c r="C68" s="12" t="n">
        <f aca="false">MAX(0, 2*'House Vote Data'!F260 - 'House Vote Data'!F258)</f>
        <v>7221</v>
      </c>
      <c r="D68" s="9" t="n">
        <f aca="false">MIN(1,MAX(0, SLOPE(H68:K68,{2018,2020,2022,2024})*2026 + INTERCEPT(H68:K68,{2018,2020,2022,2024})))</f>
        <v>0.551450234721266</v>
      </c>
      <c r="E68" s="12" t="n">
        <f aca="false">ROUND(C68*D68,0)</f>
        <v>3982</v>
      </c>
      <c r="F68" s="12" t="n">
        <f aca="false">ROUND(C68*(1-D68),0)</f>
        <v>3239</v>
      </c>
      <c r="G68" s="8" t="str">
        <f aca="false">IF(D68&gt;0.5,"Democrat","Republican")</f>
        <v>Democrat</v>
      </c>
      <c r="H68" s="9" t="n">
        <f aca="false">'House Vote Data'!G258</f>
        <v>0.54089709762533</v>
      </c>
      <c r="I68" s="9" t="n">
        <f aca="false">'House Vote Data'!G259</f>
        <v>0.533719904197655</v>
      </c>
      <c r="J68" s="9" t="n">
        <f aca="false">'House Vote Data'!G260</f>
        <v>0.553231055323106</v>
      </c>
      <c r="K68" s="9" t="n">
        <f aca="false">'House Vote Data'!G261</f>
        <v>0.545283255872378</v>
      </c>
    </row>
    <row r="69" customFormat="false" ht="15" hidden="false" customHeight="true" outlineLevel="0" collapsed="false">
      <c r="A69" s="8" t="s">
        <v>123</v>
      </c>
      <c r="B69" s="8" t="s">
        <v>111</v>
      </c>
      <c r="C69" s="12" t="n">
        <f aca="false">MAX(0, 2*'House Vote Data'!F264 - 'House Vote Data'!F262)</f>
        <v>2934</v>
      </c>
      <c r="D69" s="9" t="n">
        <f aca="false">MIN(1,MAX(0, SLOPE(H69:K69,{2018,2020,2022,2024})*2026 + INTERCEPT(H69:K69,{2018,2020,2022,2024})))</f>
        <v>0.490979244613843</v>
      </c>
      <c r="E69" s="12" t="n">
        <f aca="false">ROUND(C69*D69,0)</f>
        <v>1441</v>
      </c>
      <c r="F69" s="12" t="n">
        <f aca="false">ROUND(C69*(1-D69),0)</f>
        <v>1493</v>
      </c>
      <c r="G69" s="8" t="str">
        <f aca="false">IF(D69&gt;0.5,"Democrat","Republican")</f>
        <v>Republican</v>
      </c>
      <c r="H69" s="9" t="n">
        <f aca="false">'House Vote Data'!G262</f>
        <v>0.563291139240506</v>
      </c>
      <c r="I69" s="9" t="n">
        <f aca="false">'House Vote Data'!G263</f>
        <v>0.505838967424708</v>
      </c>
      <c r="J69" s="9" t="n">
        <f aca="false">'House Vote Data'!G264</f>
        <v>0.53322969296541</v>
      </c>
      <c r="K69" s="9" t="n">
        <f aca="false">'House Vote Data'!G265</f>
        <v>0.506009967751393</v>
      </c>
    </row>
    <row r="70" customFormat="false" ht="15" hidden="false" customHeight="true" outlineLevel="0" collapsed="false">
      <c r="A70" s="8" t="s">
        <v>81</v>
      </c>
      <c r="B70" s="8" t="s">
        <v>111</v>
      </c>
      <c r="C70" s="12" t="n">
        <f aca="false">MAX(0, 2*'House Vote Data'!F268 - 'House Vote Data'!F266)</f>
        <v>5961</v>
      </c>
      <c r="D70" s="9" t="n">
        <f aca="false">MIN(1,MAX(0, SLOPE(H70:K70,{2018,2020,2022,2024})*2026 + INTERCEPT(H70:K70,{2018,2020,2022,2024})))</f>
        <v>0.330847628268255</v>
      </c>
      <c r="E70" s="12" t="n">
        <f aca="false">ROUND(C70*D70,0)</f>
        <v>1972</v>
      </c>
      <c r="F70" s="12" t="n">
        <f aca="false">ROUND(C70*(1-D70),0)</f>
        <v>3989</v>
      </c>
      <c r="G70" s="8" t="str">
        <f aca="false">IF(D70&gt;0.5,"Democrat","Republican")</f>
        <v>Republican</v>
      </c>
      <c r="H70" s="9" t="n">
        <f aca="false">'House Vote Data'!G266</f>
        <v>0.36297341801929</v>
      </c>
      <c r="I70" s="9" t="n">
        <f aca="false">'House Vote Data'!G267</f>
        <v>0.334167318217357</v>
      </c>
      <c r="J70" s="9" t="n">
        <f aca="false">'House Vote Data'!G268</f>
        <v>0.353113983548766</v>
      </c>
      <c r="K70" s="9" t="n">
        <f aca="false">'House Vote Data'!G269</f>
        <v>0.335777345503516</v>
      </c>
    </row>
    <row r="71" customFormat="false" ht="15" hidden="false" customHeight="true" outlineLevel="0" collapsed="false">
      <c r="A71" s="8" t="s">
        <v>124</v>
      </c>
      <c r="B71" s="8" t="s">
        <v>111</v>
      </c>
      <c r="C71" s="12" t="n">
        <f aca="false">MAX(0, 2*'House Vote Data'!F272 - 'House Vote Data'!F270)</f>
        <v>1648</v>
      </c>
      <c r="D71" s="9" t="n">
        <f aca="false">MIN(1,MAX(0, SLOPE(H71:K71,{2018,2020,2022,2024})*2026 + INTERCEPT(H71:K71,{2018,2020,2022,2024})))</f>
        <v>0.316629452147907</v>
      </c>
      <c r="E71" s="12" t="n">
        <f aca="false">ROUND(C71*D71,0)</f>
        <v>522</v>
      </c>
      <c r="F71" s="12" t="n">
        <f aca="false">ROUND(C71*(1-D71),0)</f>
        <v>1126</v>
      </c>
      <c r="G71" s="8" t="str">
        <f aca="false">IF(D71&gt;0.5,"Democrat","Republican")</f>
        <v>Republican</v>
      </c>
      <c r="H71" s="9" t="n">
        <f aca="false">'House Vote Data'!G270</f>
        <v>0.411458333333333</v>
      </c>
      <c r="I71" s="9" t="n">
        <f aca="false">'House Vote Data'!G271</f>
        <v>0.333525014376078</v>
      </c>
      <c r="J71" s="9" t="n">
        <f aca="false">'House Vote Data'!G272</f>
        <v>0.365</v>
      </c>
      <c r="K71" s="9" t="n">
        <f aca="false">'House Vote Data'!G273</f>
        <v>0.339858618814573</v>
      </c>
    </row>
    <row r="72" customFormat="false" ht="15" hidden="false" customHeight="true" outlineLevel="0" collapsed="false">
      <c r="A72" s="8" t="s">
        <v>125</v>
      </c>
      <c r="B72" s="8" t="s">
        <v>111</v>
      </c>
      <c r="C72" s="12" t="n">
        <f aca="false">MAX(0, 2*'House Vote Data'!F276 - 'House Vote Data'!F274)</f>
        <v>4428</v>
      </c>
      <c r="D72" s="9" t="n">
        <f aca="false">MIN(1,MAX(0, SLOPE(H72:K72,{2018,2020,2022,2024})*2026 + INTERCEPT(H72:K72,{2018,2020,2022,2024})))</f>
        <v>0.448663905667897</v>
      </c>
      <c r="E72" s="12" t="n">
        <f aca="false">ROUND(C72*D72,0)</f>
        <v>1987</v>
      </c>
      <c r="F72" s="12" t="n">
        <f aca="false">ROUND(C72*(1-D72),0)</f>
        <v>2441</v>
      </c>
      <c r="G72" s="8" t="str">
        <f aca="false">IF(D72&gt;0.5,"Democrat","Republican")</f>
        <v>Republican</v>
      </c>
      <c r="H72" s="9" t="n">
        <f aca="false">'House Vote Data'!G274</f>
        <v>0.444444444444444</v>
      </c>
      <c r="I72" s="9" t="n">
        <f aca="false">'House Vote Data'!G275</f>
        <v>0.422817281728173</v>
      </c>
      <c r="J72" s="9" t="n">
        <f aca="false">'House Vote Data'!G276</f>
        <v>0.441200324412003</v>
      </c>
      <c r="K72" s="9" t="n">
        <f aca="false">'House Vote Data'!G277</f>
        <v>0.450285965684118</v>
      </c>
    </row>
    <row r="73" customFormat="false" ht="15" hidden="false" customHeight="true" outlineLevel="0" collapsed="false">
      <c r="A73" s="8" t="s">
        <v>126</v>
      </c>
      <c r="B73" s="8" t="s">
        <v>111</v>
      </c>
      <c r="C73" s="12" t="n">
        <f aca="false">MAX(0, 2*'House Vote Data'!F280 - 'House Vote Data'!F278)</f>
        <v>6690</v>
      </c>
      <c r="D73" s="9" t="n">
        <f aca="false">MIN(1,MAX(0, SLOPE(H73:K73,{2018,2020,2022,2024})*2026 + INTERCEPT(H73:K73,{2018,2020,2022,2024})))</f>
        <v>0.476352266437177</v>
      </c>
      <c r="E73" s="12" t="n">
        <f aca="false">ROUND(C73*D73,0)</f>
        <v>3187</v>
      </c>
      <c r="F73" s="12" t="n">
        <f aca="false">ROUND(C73*(1-D73),0)</f>
        <v>3503</v>
      </c>
      <c r="G73" s="8" t="str">
        <f aca="false">IF(D73&gt;0.5,"Democrat","Republican")</f>
        <v>Republican</v>
      </c>
      <c r="H73" s="9" t="n">
        <f aca="false">'House Vote Data'!G278</f>
        <v>0.491866769945779</v>
      </c>
      <c r="I73" s="9" t="n">
        <f aca="false">'House Vote Data'!G279</f>
        <v>0.467990556867102</v>
      </c>
      <c r="J73" s="9" t="n">
        <f aca="false">'House Vote Data'!G280</f>
        <v>0.492491985827569</v>
      </c>
      <c r="K73" s="9" t="n">
        <f aca="false">'House Vote Data'!G281</f>
        <v>0.476039658496282</v>
      </c>
    </row>
    <row r="74" customFormat="false" ht="15" hidden="false" customHeight="true" outlineLevel="0" collapsed="false">
      <c r="A74" s="8" t="s">
        <v>127</v>
      </c>
      <c r="B74" s="8" t="s">
        <v>111</v>
      </c>
      <c r="C74" s="12" t="n">
        <f aca="false">MAX(0, 2*'House Vote Data'!F284 - 'House Vote Data'!F282)</f>
        <v>5588</v>
      </c>
      <c r="D74" s="9" t="n">
        <f aca="false">MIN(1,MAX(0, SLOPE(H74:K74,{2018,2020,2022,2024})*2026 + INTERCEPT(H74:K74,{2018,2020,2022,2024})))</f>
        <v>0.326363273421793</v>
      </c>
      <c r="E74" s="12" t="n">
        <f aca="false">ROUND(C74*D74,0)</f>
        <v>1824</v>
      </c>
      <c r="F74" s="12" t="n">
        <f aca="false">ROUND(C74*(1-D74),0)</f>
        <v>3764</v>
      </c>
      <c r="G74" s="8" t="str">
        <f aca="false">IF(D74&gt;0.5,"Democrat","Republican")</f>
        <v>Republican</v>
      </c>
      <c r="H74" s="9" t="n">
        <f aca="false">'House Vote Data'!G282</f>
        <v>0.3585291113381</v>
      </c>
      <c r="I74" s="9" t="n">
        <f aca="false">'House Vote Data'!G283</f>
        <v>0.331892826274849</v>
      </c>
      <c r="J74" s="9" t="n">
        <f aca="false">'House Vote Data'!G284</f>
        <v>0.349537037037037</v>
      </c>
      <c r="K74" s="9" t="n">
        <f aca="false">'House Vote Data'!G285</f>
        <v>0.330859310572324</v>
      </c>
    </row>
    <row r="75" customFormat="false" ht="15" hidden="false" customHeight="true" outlineLevel="0" collapsed="false">
      <c r="A75" s="8" t="s">
        <v>128</v>
      </c>
      <c r="B75" s="8" t="s">
        <v>111</v>
      </c>
      <c r="C75" s="12" t="n">
        <f aca="false">MAX(0, 2*'House Vote Data'!F288 - 'House Vote Data'!F286)</f>
        <v>2794</v>
      </c>
      <c r="D75" s="9" t="n">
        <f aca="false">MIN(1,MAX(0, SLOPE(H75:K75,{2018,2020,2022,2024})*2026 + INTERCEPT(H75:K75,{2018,2020,2022,2024})))</f>
        <v>0.482820213712527</v>
      </c>
      <c r="E75" s="12" t="n">
        <f aca="false">ROUND(C75*D75,0)</f>
        <v>1349</v>
      </c>
      <c r="F75" s="12" t="n">
        <f aca="false">ROUND(C75*(1-D75),0)</f>
        <v>1445</v>
      </c>
      <c r="G75" s="8" t="str">
        <f aca="false">IF(D75&gt;0.5,"Democrat","Republican")</f>
        <v>Republican</v>
      </c>
      <c r="H75" s="9" t="n">
        <f aca="false">'House Vote Data'!G286</f>
        <v>0.530573847601129</v>
      </c>
      <c r="I75" s="9" t="n">
        <f aca="false">'House Vote Data'!G287</f>
        <v>0.478023740776388</v>
      </c>
      <c r="J75" s="9" t="n">
        <f aca="false">'House Vote Data'!G288</f>
        <v>0.517073170731707</v>
      </c>
      <c r="K75" s="9" t="n">
        <f aca="false">'House Vote Data'!G289</f>
        <v>0.489570552147239</v>
      </c>
    </row>
    <row r="76" customFormat="false" ht="15" hidden="false" customHeight="true" outlineLevel="0" collapsed="false">
      <c r="A76" s="8" t="s">
        <v>129</v>
      </c>
      <c r="B76" s="8" t="s">
        <v>111</v>
      </c>
      <c r="C76" s="12" t="n">
        <f aca="false">MAX(0, 2*'House Vote Data'!F292 - 'House Vote Data'!F290)</f>
        <v>1499</v>
      </c>
      <c r="D76" s="9" t="n">
        <f aca="false">MIN(1,MAX(0, SLOPE(H76:K76,{2018,2020,2022,2024})*2026 + INTERCEPT(H76:K76,{2018,2020,2022,2024})))</f>
        <v>0.486311630613513</v>
      </c>
      <c r="E76" s="12" t="n">
        <f aca="false">ROUND(C76*D76,0)</f>
        <v>729</v>
      </c>
      <c r="F76" s="12" t="n">
        <f aca="false">ROUND(C76*(1-D76),0)</f>
        <v>770</v>
      </c>
      <c r="G76" s="8" t="str">
        <f aca="false">IF(D76&gt;0.5,"Democrat","Republican")</f>
        <v>Republican</v>
      </c>
      <c r="H76" s="9" t="n">
        <f aca="false">'House Vote Data'!G290</f>
        <v>0.507095553453169</v>
      </c>
      <c r="I76" s="9" t="n">
        <f aca="false">'House Vote Data'!G291</f>
        <v>0.464421855146125</v>
      </c>
      <c r="J76" s="9" t="n">
        <f aca="false">'House Vote Data'!G292</f>
        <v>0.503912363067293</v>
      </c>
      <c r="K76" s="9" t="n">
        <f aca="false">'House Vote Data'!G293</f>
        <v>0.487903225806452</v>
      </c>
    </row>
    <row r="77" customFormat="false" ht="15" hidden="false" customHeight="true" outlineLevel="0" collapsed="false">
      <c r="A77" s="8" t="s">
        <v>111</v>
      </c>
      <c r="B77" s="8" t="s">
        <v>111</v>
      </c>
      <c r="C77" s="12" t="n">
        <f aca="false">MAX(0, 2*'House Vote Data'!F296 - 'House Vote Data'!F294)</f>
        <v>4570</v>
      </c>
      <c r="D77" s="9" t="n">
        <f aca="false">MIN(1,MAX(0, SLOPE(H77:K77,{2018,2020,2022,2024})*2026 + INTERCEPT(H77:K77,{2018,2020,2022,2024})))</f>
        <v>0.457747078512544</v>
      </c>
      <c r="E77" s="12" t="n">
        <f aca="false">ROUND(C77*D77,0)</f>
        <v>2092</v>
      </c>
      <c r="F77" s="12" t="n">
        <f aca="false">ROUND(C77*(1-D77),0)</f>
        <v>2478</v>
      </c>
      <c r="G77" s="8" t="str">
        <f aca="false">IF(D77&gt;0.5,"Democrat","Republican")</f>
        <v>Republican</v>
      </c>
      <c r="H77" s="9" t="n">
        <f aca="false">'House Vote Data'!G294</f>
        <v>0.502436053593179</v>
      </c>
      <c r="I77" s="9" t="n">
        <f aca="false">'House Vote Data'!G295</f>
        <v>0.445263754963131</v>
      </c>
      <c r="J77" s="9" t="n">
        <f aca="false">'House Vote Data'!G296</f>
        <v>0.49834479246244</v>
      </c>
      <c r="K77" s="9" t="n">
        <f aca="false">'House Vote Data'!G297</f>
        <v>0.459792709077913</v>
      </c>
    </row>
    <row r="78" customFormat="false" ht="15" hidden="false" customHeight="true" outlineLevel="0" collapsed="false">
      <c r="A78" s="8" t="s">
        <v>130</v>
      </c>
      <c r="B78" s="8" t="s">
        <v>111</v>
      </c>
      <c r="C78" s="12" t="n">
        <f aca="false">MAX(0, 2*'House Vote Data'!F300 - 'House Vote Data'!F298)</f>
        <v>11727</v>
      </c>
      <c r="D78" s="9" t="n">
        <f aca="false">MIN(1,MAX(0, SLOPE(H78:K78,{2018,2020,2022,2024})*2026 + INTERCEPT(H78:K78,{2018,2020,2022,2024})))</f>
        <v>0.500712763170673</v>
      </c>
      <c r="E78" s="12" t="n">
        <f aca="false">ROUND(C78*D78,0)</f>
        <v>5872</v>
      </c>
      <c r="F78" s="12" t="n">
        <f aca="false">ROUND(C78*(1-D78),0)</f>
        <v>5855</v>
      </c>
      <c r="G78" s="8" t="str">
        <f aca="false">IF(D78&gt;0.5,"Democrat","Republican")</f>
        <v>Democrat</v>
      </c>
      <c r="H78" s="9" t="n">
        <f aca="false">'House Vote Data'!G298</f>
        <v>0.539835936622092</v>
      </c>
      <c r="I78" s="9" t="n">
        <f aca="false">'House Vote Data'!G299</f>
        <v>0.502551020408163</v>
      </c>
      <c r="J78" s="9" t="n">
        <f aca="false">'House Vote Data'!G300</f>
        <v>0.523901871424416</v>
      </c>
      <c r="K78" s="9" t="n">
        <f aca="false">'House Vote Data'!G301</f>
        <v>0.508679795769511</v>
      </c>
    </row>
    <row r="79" customFormat="false" ht="15" hidden="false" customHeight="true" outlineLevel="0" collapsed="false">
      <c r="A79" s="8" t="s">
        <v>131</v>
      </c>
      <c r="B79" s="8" t="s">
        <v>111</v>
      </c>
      <c r="C79" s="12" t="n">
        <f aca="false">MAX(0, 2*'House Vote Data'!F304 - 'House Vote Data'!F302)</f>
        <v>1409</v>
      </c>
      <c r="D79" s="9" t="n">
        <f aca="false">MIN(1,MAX(0, SLOPE(H79:K79,{2018,2020,2022,2024})*2026 + INTERCEPT(H79:K79,{2018,2020,2022,2024})))</f>
        <v>0.364541542951564</v>
      </c>
      <c r="E79" s="12" t="n">
        <f aca="false">ROUND(C79*D79,0)</f>
        <v>514</v>
      </c>
      <c r="F79" s="12" t="n">
        <f aca="false">ROUND(C79*(1-D79),0)</f>
        <v>895</v>
      </c>
      <c r="G79" s="8" t="str">
        <f aca="false">IF(D79&gt;0.5,"Democrat","Republican")</f>
        <v>Republican</v>
      </c>
      <c r="H79" s="9" t="n">
        <f aca="false">'House Vote Data'!G302</f>
        <v>0.414029084687767</v>
      </c>
      <c r="I79" s="9" t="n">
        <f aca="false">'House Vote Data'!G303</f>
        <v>0.383701188455009</v>
      </c>
      <c r="J79" s="9" t="n">
        <f aca="false">'House Vote Data'!G304</f>
        <v>0.396431342125679</v>
      </c>
      <c r="K79" s="9" t="n">
        <f aca="false">'House Vote Data'!G305</f>
        <v>0.373340414232608</v>
      </c>
    </row>
    <row r="80" customFormat="false" ht="15" hidden="false" customHeight="true" outlineLevel="0" collapsed="false">
      <c r="A80" s="8" t="s">
        <v>132</v>
      </c>
      <c r="B80" s="8" t="s">
        <v>111</v>
      </c>
      <c r="C80" s="12" t="n">
        <f aca="false">MAX(0, 2*'House Vote Data'!F308 - 'House Vote Data'!F306)</f>
        <v>3601</v>
      </c>
      <c r="D80" s="9" t="n">
        <f aca="false">MIN(1,MAX(0, SLOPE(H80:K80,{2018,2020,2022,2024})*2026 + INTERCEPT(H80:K80,{2018,2020,2022,2024})))</f>
        <v>0.322582759875129</v>
      </c>
      <c r="E80" s="12" t="n">
        <f aca="false">ROUND(C80*D80,0)</f>
        <v>1162</v>
      </c>
      <c r="F80" s="12" t="n">
        <f aca="false">ROUND(C80*(1-D80),0)</f>
        <v>2439</v>
      </c>
      <c r="G80" s="8" t="str">
        <f aca="false">IF(D80&gt;0.5,"Democrat","Republican")</f>
        <v>Republican</v>
      </c>
      <c r="H80" s="9" t="n">
        <f aca="false">'House Vote Data'!G306</f>
        <v>0.398900667451904</v>
      </c>
      <c r="I80" s="9" t="n">
        <f aca="false">'House Vote Data'!G307</f>
        <v>0.351851851851852</v>
      </c>
      <c r="J80" s="9" t="n">
        <f aca="false">'House Vote Data'!G308</f>
        <v>0.350032530904359</v>
      </c>
      <c r="K80" s="9" t="n">
        <f aca="false">'House Vote Data'!G309</f>
        <v>0.347016828148904</v>
      </c>
    </row>
    <row r="81" customFormat="false" ht="15" hidden="false" customHeight="true" outlineLevel="0" collapsed="false">
      <c r="A81" s="8" t="s">
        <v>133</v>
      </c>
      <c r="B81" s="8" t="s">
        <v>111</v>
      </c>
      <c r="C81" s="12" t="n">
        <f aca="false">MAX(0, 2*'House Vote Data'!F312 - 'House Vote Data'!F310)</f>
        <v>222</v>
      </c>
      <c r="D81" s="9" t="n">
        <f aca="false">MIN(1,MAX(0, SLOPE(H81:K81,{2018,2020,2022,2024})*2026 + INTERCEPT(H81:K81,{2018,2020,2022,2024})))</f>
        <v>0.335991140456423</v>
      </c>
      <c r="E81" s="12" t="n">
        <f aca="false">ROUND(C81*D81,0)</f>
        <v>75</v>
      </c>
      <c r="F81" s="12" t="n">
        <f aca="false">ROUND(C81*(1-D81),0)</f>
        <v>147</v>
      </c>
      <c r="G81" s="8" t="str">
        <f aca="false">IF(D81&gt;0.5,"Democrat","Republican")</f>
        <v>Republican</v>
      </c>
      <c r="H81" s="9" t="n">
        <f aca="false">'House Vote Data'!G310</f>
        <v>0.373493975903614</v>
      </c>
      <c r="I81" s="9" t="n">
        <f aca="false">'House Vote Data'!G311</f>
        <v>0.324110671936759</v>
      </c>
      <c r="J81" s="9" t="n">
        <f aca="false">'House Vote Data'!G312</f>
        <v>0.335051546391753</v>
      </c>
      <c r="K81" s="9" t="n">
        <f aca="false">'House Vote Data'!G313</f>
        <v>0.355212355212355</v>
      </c>
    </row>
    <row r="82" customFormat="false" ht="15" hidden="false" customHeight="true" outlineLevel="0" collapsed="false">
      <c r="A82" s="8" t="s">
        <v>134</v>
      </c>
      <c r="B82" s="8" t="s">
        <v>111</v>
      </c>
      <c r="C82" s="12" t="n">
        <f aca="false">MAX(0, 2*'House Vote Data'!F316 - 'House Vote Data'!F314)</f>
        <v>774</v>
      </c>
      <c r="D82" s="9" t="n">
        <f aca="false">MIN(1,MAX(0, SLOPE(H82:K82,{2018,2020,2022,2024})*2026 + INTERCEPT(H82:K82,{2018,2020,2022,2024})))</f>
        <v>0.346341313927583</v>
      </c>
      <c r="E82" s="12" t="n">
        <f aca="false">ROUND(C82*D82,0)</f>
        <v>268</v>
      </c>
      <c r="F82" s="12" t="n">
        <f aca="false">ROUND(C82*(1-D82),0)</f>
        <v>506</v>
      </c>
      <c r="G82" s="8" t="str">
        <f aca="false">IF(D82&gt;0.5,"Democrat","Republican")</f>
        <v>Republican</v>
      </c>
      <c r="H82" s="9" t="n">
        <f aca="false">'House Vote Data'!G314</f>
        <v>0.420415224913495</v>
      </c>
      <c r="I82" s="9" t="n">
        <f aca="false">'House Vote Data'!G315</f>
        <v>0.366962305986696</v>
      </c>
      <c r="J82" s="9" t="n">
        <f aca="false">'House Vote Data'!G316</f>
        <v>0.381656804733728</v>
      </c>
      <c r="K82" s="9" t="n">
        <f aca="false">'House Vote Data'!G317</f>
        <v>0.365720524017467</v>
      </c>
    </row>
    <row r="83" customFormat="false" ht="15" hidden="false" customHeight="true" outlineLevel="0" collapsed="false">
      <c r="A83" s="8" t="s">
        <v>135</v>
      </c>
      <c r="B83" s="8" t="s">
        <v>111</v>
      </c>
      <c r="C83" s="12" t="n">
        <f aca="false">MAX(0, 2*'House Vote Data'!F320 - 'House Vote Data'!F318)</f>
        <v>460</v>
      </c>
      <c r="D83" s="9" t="n">
        <f aca="false">MIN(1,MAX(0, SLOPE(H83:K83,{2018,2020,2022,2024})*2026 + INTERCEPT(H83:K83,{2018,2020,2022,2024})))</f>
        <v>0.38522797402835</v>
      </c>
      <c r="E83" s="12" t="n">
        <f aca="false">ROUND(C83*D83,0)</f>
        <v>177</v>
      </c>
      <c r="F83" s="12" t="n">
        <f aca="false">ROUND(C83*(1-D83),0)</f>
        <v>283</v>
      </c>
      <c r="G83" s="8" t="str">
        <f aca="false">IF(D83&gt;0.5,"Democrat","Republican")</f>
        <v>Republican</v>
      </c>
      <c r="H83" s="9" t="n">
        <f aca="false">'House Vote Data'!G318</f>
        <v>0.452229299363057</v>
      </c>
      <c r="I83" s="9" t="n">
        <f aca="false">'House Vote Data'!G319</f>
        <v>0.407692307692308</v>
      </c>
      <c r="J83" s="9" t="n">
        <f aca="false">'House Vote Data'!G320</f>
        <v>0.41343669250646</v>
      </c>
      <c r="K83" s="9" t="n">
        <f aca="false">'House Vote Data'!G321</f>
        <v>0.404624277456647</v>
      </c>
    </row>
    <row r="84" customFormat="false" ht="15" hidden="false" customHeight="true" outlineLevel="0" collapsed="false">
      <c r="A84" s="8" t="s">
        <v>136</v>
      </c>
      <c r="B84" s="8" t="s">
        <v>111</v>
      </c>
      <c r="C84" s="12" t="n">
        <f aca="false">MAX(0, 2*'House Vote Data'!F324 - 'House Vote Data'!F322)</f>
        <v>677</v>
      </c>
      <c r="D84" s="9" t="n">
        <f aca="false">MIN(1,MAX(0, SLOPE(H84:K84,{2018,2020,2022,2024})*2026 + INTERCEPT(H84:K84,{2018,2020,2022,2024})))</f>
        <v>0.420365580721583</v>
      </c>
      <c r="E84" s="12" t="n">
        <f aca="false">ROUND(C84*D84,0)</f>
        <v>285</v>
      </c>
      <c r="F84" s="12" t="n">
        <f aca="false">ROUND(C84*(1-D84),0)</f>
        <v>392</v>
      </c>
      <c r="G84" s="8" t="str">
        <f aca="false">IF(D84&gt;0.5,"Democrat","Republican")</f>
        <v>Republican</v>
      </c>
      <c r="H84" s="9" t="n">
        <f aca="false">'House Vote Data'!G322</f>
        <v>0.431460674157303</v>
      </c>
      <c r="I84" s="9" t="n">
        <f aca="false">'House Vote Data'!G323</f>
        <v>0.404761904761905</v>
      </c>
      <c r="J84" s="9" t="n">
        <f aca="false">'House Vote Data'!G324</f>
        <v>0.433155080213904</v>
      </c>
      <c r="K84" s="9" t="n">
        <f aca="false">'House Vote Data'!G325</f>
        <v>0.419518377693283</v>
      </c>
    </row>
    <row r="85" customFormat="false" ht="15" hidden="false" customHeight="true" outlineLevel="0" collapsed="false">
      <c r="A85" s="8" t="s">
        <v>137</v>
      </c>
      <c r="B85" s="8" t="s">
        <v>111</v>
      </c>
      <c r="C85" s="12" t="n">
        <f aca="false">MAX(0, 2*'House Vote Data'!F328 - 'House Vote Data'!F326)</f>
        <v>3574</v>
      </c>
      <c r="D85" s="9" t="n">
        <f aca="false">MIN(1,MAX(0, SLOPE(H85:K85,{2018,2020,2022,2024})*2026 + INTERCEPT(H85:K85,{2018,2020,2022,2024})))</f>
        <v>0.297914726300295</v>
      </c>
      <c r="E85" s="12" t="n">
        <f aca="false">ROUND(C85*D85,0)</f>
        <v>1065</v>
      </c>
      <c r="F85" s="12" t="n">
        <f aca="false">ROUND(C85*(1-D85),0)</f>
        <v>2509</v>
      </c>
      <c r="G85" s="8" t="str">
        <f aca="false">IF(D85&gt;0.5,"Democrat","Republican")</f>
        <v>Republican</v>
      </c>
      <c r="H85" s="9" t="n">
        <f aca="false">'House Vote Data'!G326</f>
        <v>0.36136023916293</v>
      </c>
      <c r="I85" s="9" t="n">
        <f aca="false">'House Vote Data'!G327</f>
        <v>0.316964285714286</v>
      </c>
      <c r="J85" s="9" t="n">
        <f aca="false">'House Vote Data'!G328</f>
        <v>0.3296</v>
      </c>
      <c r="K85" s="9" t="n">
        <f aca="false">'House Vote Data'!G329</f>
        <v>0.313794845881759</v>
      </c>
    </row>
    <row r="86" customFormat="false" ht="15" hidden="false" customHeight="true" outlineLevel="0" collapsed="false">
      <c r="A86" s="8" t="s">
        <v>138</v>
      </c>
      <c r="B86" s="8" t="s">
        <v>111</v>
      </c>
      <c r="C86" s="12" t="n">
        <f aca="false">MAX(0, 2*'House Vote Data'!F332 - 'House Vote Data'!F330)</f>
        <v>3803</v>
      </c>
      <c r="D86" s="9" t="n">
        <f aca="false">MIN(1,MAX(0, SLOPE(H86:K86,{2018,2020,2022,2024})*2026 + INTERCEPT(H86:K86,{2018,2020,2022,2024})))</f>
        <v>0.476814224547138</v>
      </c>
      <c r="E86" s="12" t="n">
        <f aca="false">ROUND(C86*D86,0)</f>
        <v>1813</v>
      </c>
      <c r="F86" s="12" t="n">
        <f aca="false">ROUND(C86*(1-D86),0)</f>
        <v>1990</v>
      </c>
      <c r="G86" s="8" t="str">
        <f aca="false">IF(D86&gt;0.5,"Democrat","Republican")</f>
        <v>Republican</v>
      </c>
      <c r="H86" s="9" t="n">
        <f aca="false">'House Vote Data'!G330</f>
        <v>0.499801823226318</v>
      </c>
      <c r="I86" s="9" t="n">
        <f aca="false">'House Vote Data'!G331</f>
        <v>0.465316455696203</v>
      </c>
      <c r="J86" s="9" t="n">
        <f aca="false">'House Vote Data'!G332</f>
        <v>0.497944988934556</v>
      </c>
      <c r="K86" s="9" t="n">
        <f aca="false">'House Vote Data'!G333</f>
        <v>0.477742641693019</v>
      </c>
    </row>
    <row r="87" customFormat="false" ht="15" hidden="false" customHeight="true" outlineLevel="0" collapsed="false">
      <c r="A87" s="8" t="s">
        <v>139</v>
      </c>
      <c r="B87" s="8" t="s">
        <v>111</v>
      </c>
      <c r="C87" s="12" t="n">
        <f aca="false">MAX(0, 2*'House Vote Data'!F336 - 'House Vote Data'!F334)</f>
        <v>854</v>
      </c>
      <c r="D87" s="9" t="n">
        <f aca="false">MIN(1,MAX(0, SLOPE(H87:K87,{2018,2020,2022,2024})*2026 + INTERCEPT(H87:K87,{2018,2020,2022,2024})))</f>
        <v>0.387534706406431</v>
      </c>
      <c r="E87" s="12" t="n">
        <f aca="false">ROUND(C87*D87,0)</f>
        <v>331</v>
      </c>
      <c r="F87" s="12" t="n">
        <f aca="false">ROUND(C87*(1-D87),0)</f>
        <v>523</v>
      </c>
      <c r="G87" s="8" t="str">
        <f aca="false">IF(D87&gt;0.5,"Democrat","Republican")</f>
        <v>Republican</v>
      </c>
      <c r="H87" s="9" t="n">
        <f aca="false">'House Vote Data'!G334</f>
        <v>0.420875420875421</v>
      </c>
      <c r="I87" s="9" t="n">
        <f aca="false">'House Vote Data'!G335</f>
        <v>0.385162601626016</v>
      </c>
      <c r="J87" s="9" t="n">
        <f aca="false">'House Vote Data'!G336</f>
        <v>0.421270718232044</v>
      </c>
      <c r="K87" s="9" t="n">
        <f aca="false">'House Vote Data'!G337</f>
        <v>0.387337057728119</v>
      </c>
    </row>
    <row r="88" customFormat="false" ht="15" hidden="false" customHeight="true" outlineLevel="0" collapsed="false">
      <c r="A88" s="8" t="s">
        <v>103</v>
      </c>
      <c r="B88" s="8" t="s">
        <v>111</v>
      </c>
      <c r="C88" s="12" t="n">
        <f aca="false">MAX(0, 2*'House Vote Data'!F340 - 'House Vote Data'!F338)</f>
        <v>2884</v>
      </c>
      <c r="D88" s="9" t="n">
        <f aca="false">MIN(1,MAX(0, SLOPE(H88:K88,{2018,2020,2022,2024})*2026 + INTERCEPT(H88:K88,{2018,2020,2022,2024})))</f>
        <v>0.315270693980132</v>
      </c>
      <c r="E88" s="12" t="n">
        <f aca="false">ROUND(C88*D88,0)</f>
        <v>909</v>
      </c>
      <c r="F88" s="12" t="n">
        <f aca="false">ROUND(C88*(1-D88),0)</f>
        <v>1975</v>
      </c>
      <c r="G88" s="8" t="str">
        <f aca="false">IF(D88&gt;0.5,"Democrat","Republican")</f>
        <v>Republican</v>
      </c>
      <c r="H88" s="9" t="n">
        <f aca="false">'House Vote Data'!G338</f>
        <v>0.388829215896885</v>
      </c>
      <c r="I88" s="9" t="n">
        <f aca="false">'House Vote Data'!G339</f>
        <v>0.343656343656344</v>
      </c>
      <c r="J88" s="9" t="n">
        <f aca="false">'House Vote Data'!G340</f>
        <v>0.353982300884956</v>
      </c>
      <c r="K88" s="9" t="n">
        <f aca="false">'House Vote Data'!G341</f>
        <v>0.332694151486098</v>
      </c>
    </row>
    <row r="89" customFormat="false" ht="15" hidden="false" customHeight="true" outlineLevel="0" collapsed="false">
      <c r="A89" s="8" t="s">
        <v>140</v>
      </c>
      <c r="B89" s="8" t="s">
        <v>111</v>
      </c>
      <c r="C89" s="12" t="n">
        <f aca="false">MAX(0, 2*'House Vote Data'!F344 - 'House Vote Data'!F342)</f>
        <v>473</v>
      </c>
      <c r="D89" s="9" t="n">
        <f aca="false">MIN(1,MAX(0, SLOPE(H89:K89,{2018,2020,2022,2024})*2026 + INTERCEPT(H89:K89,{2018,2020,2022,2024})))</f>
        <v>0.448197843477157</v>
      </c>
      <c r="E89" s="12" t="n">
        <f aca="false">ROUND(C89*D89,0)</f>
        <v>212</v>
      </c>
      <c r="F89" s="12" t="n">
        <f aca="false">ROUND(C89*(1-D89),0)</f>
        <v>261</v>
      </c>
      <c r="G89" s="8" t="str">
        <f aca="false">IF(D89&gt;0.5,"Democrat","Republican")</f>
        <v>Republican</v>
      </c>
      <c r="H89" s="9" t="n">
        <f aca="false">'House Vote Data'!G342</f>
        <v>0.535211267605634</v>
      </c>
      <c r="I89" s="9" t="n">
        <f aca="false">'House Vote Data'!G343</f>
        <v>0.43304347826087</v>
      </c>
      <c r="J89" s="9" t="n">
        <f aca="false">'House Vote Data'!G344</f>
        <v>0.480676328502416</v>
      </c>
      <c r="K89" s="9" t="n">
        <f aca="false">'House Vote Data'!G345</f>
        <v>0.475465313028765</v>
      </c>
    </row>
    <row r="90" customFormat="false" ht="15" hidden="false" customHeight="true" outlineLevel="0" collapsed="false">
      <c r="A90" s="8" t="s">
        <v>141</v>
      </c>
      <c r="B90" s="8" t="s">
        <v>111</v>
      </c>
      <c r="C90" s="12" t="n">
        <f aca="false">MAX(0, 2*'House Vote Data'!F348 - 'House Vote Data'!F346)</f>
        <v>3802</v>
      </c>
      <c r="D90" s="9" t="n">
        <f aca="false">MIN(1,MAX(0, SLOPE(H90:K90,{2018,2020,2022,2024})*2026 + INTERCEPT(H90:K90,{2018,2020,2022,2024})))</f>
        <v>0.425359195078788</v>
      </c>
      <c r="E90" s="12" t="n">
        <f aca="false">ROUND(C90*D90,0)</f>
        <v>1617</v>
      </c>
      <c r="F90" s="12" t="n">
        <f aca="false">ROUND(C90*(1-D90),0)</f>
        <v>2185</v>
      </c>
      <c r="G90" s="8" t="str">
        <f aca="false">IF(D90&gt;0.5,"Democrat","Republican")</f>
        <v>Republican</v>
      </c>
      <c r="H90" s="9" t="n">
        <f aca="false">'House Vote Data'!G346</f>
        <v>0.457950530035336</v>
      </c>
      <c r="I90" s="9" t="n">
        <f aca="false">'House Vote Data'!G347</f>
        <v>0.426193921852388</v>
      </c>
      <c r="J90" s="9" t="n">
        <f aca="false">'House Vote Data'!G348</f>
        <v>0.439083232810615</v>
      </c>
      <c r="K90" s="9" t="n">
        <f aca="false">'House Vote Data'!G349</f>
        <v>0.434792843691149</v>
      </c>
    </row>
    <row r="91" customFormat="false" ht="15" hidden="false" customHeight="true" outlineLevel="0" collapsed="false">
      <c r="A91" s="8" t="s">
        <v>142</v>
      </c>
      <c r="B91" s="8" t="s">
        <v>111</v>
      </c>
      <c r="C91" s="12" t="n">
        <f aca="false">MAX(0, 2*'House Vote Data'!F352 - 'House Vote Data'!F350)</f>
        <v>2529</v>
      </c>
      <c r="D91" s="9" t="n">
        <f aca="false">MIN(1,MAX(0, SLOPE(H91:K91,{2018,2020,2022,2024})*2026 + INTERCEPT(H91:K91,{2018,2020,2022,2024})))</f>
        <v>0.541338491937287</v>
      </c>
      <c r="E91" s="12" t="n">
        <f aca="false">ROUND(C91*D91,0)</f>
        <v>1369</v>
      </c>
      <c r="F91" s="12" t="n">
        <f aca="false">ROUND(C91*(1-D91),0)</f>
        <v>1160</v>
      </c>
      <c r="G91" s="8" t="str">
        <f aca="false">IF(D91&gt;0.5,"Democrat","Republican")</f>
        <v>Democrat</v>
      </c>
      <c r="H91" s="9" t="n">
        <f aca="false">'House Vote Data'!G350</f>
        <v>0.606222654350997</v>
      </c>
      <c r="I91" s="9" t="n">
        <f aca="false">'House Vote Data'!G351</f>
        <v>0.5569176882662</v>
      </c>
      <c r="J91" s="9" t="n">
        <f aca="false">'House Vote Data'!G352</f>
        <v>0.584387265590929</v>
      </c>
      <c r="K91" s="9" t="n">
        <f aca="false">'House Vote Data'!G353</f>
        <v>0.552256186317322</v>
      </c>
    </row>
    <row r="92" customFormat="false" ht="15" hidden="false" customHeight="true" outlineLevel="0" collapsed="false">
      <c r="A92" s="8" t="s">
        <v>143</v>
      </c>
      <c r="B92" s="8" t="s">
        <v>111</v>
      </c>
      <c r="C92" s="12" t="n">
        <f aca="false">MAX(0, 2*'House Vote Data'!F356 - 'House Vote Data'!F354)</f>
        <v>1391</v>
      </c>
      <c r="D92" s="9" t="n">
        <f aca="false">MIN(1,MAX(0, SLOPE(H92:K92,{2018,2020,2022,2024})*2026 + INTERCEPT(H92:K92,{2018,2020,2022,2024})))</f>
        <v>0.424540965502334</v>
      </c>
      <c r="E92" s="12" t="n">
        <f aca="false">ROUND(C92*D92,0)</f>
        <v>591</v>
      </c>
      <c r="F92" s="12" t="n">
        <f aca="false">ROUND(C92*(1-D92),0)</f>
        <v>800</v>
      </c>
      <c r="G92" s="8" t="str">
        <f aca="false">IF(D92&gt;0.5,"Democrat","Republican")</f>
        <v>Republican</v>
      </c>
      <c r="H92" s="9" t="n">
        <f aca="false">'House Vote Data'!G354</f>
        <v>0.453066332916145</v>
      </c>
      <c r="I92" s="9" t="n">
        <f aca="false">'House Vote Data'!G355</f>
        <v>0.391070053887606</v>
      </c>
      <c r="J92" s="9" t="n">
        <f aca="false">'House Vote Data'!G356</f>
        <v>0.451141552511416</v>
      </c>
      <c r="K92" s="9" t="n">
        <f aca="false">'House Vote Data'!G357</f>
        <v>0.425503355704698</v>
      </c>
    </row>
    <row r="94" customFormat="false" ht="15" hidden="false" customHeight="true" outlineLevel="0" collapsed="false">
      <c r="A94" s="7" t="s">
        <v>222</v>
      </c>
      <c r="E94" s="20" t="n">
        <f aca="false">SUM(E4:E92)</f>
        <v>157724</v>
      </c>
      <c r="F94" s="20" t="n">
        <f aca="false">SUM(F4:F92)</f>
        <v>172744</v>
      </c>
    </row>
    <row r="95" customFormat="false" ht="15" hidden="false" customHeight="true" outlineLevel="0" collapsed="false">
      <c r="A95" s="7" t="s">
        <v>223</v>
      </c>
      <c r="B95" s="21" t="n">
        <f aca="false">E94/(E94+F94)</f>
        <v>0.47727465291647</v>
      </c>
    </row>
    <row r="96" customFormat="false" ht="15" hidden="false" customHeight="true" outlineLevel="0" collapsed="false">
      <c r="A96" s="7" t="s">
        <v>224</v>
      </c>
      <c r="B96" s="22" t="str">
        <f aca="false">IF(B95&gt;0.5,"Democrat","Republican")</f>
        <v>Republican</v>
      </c>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4"/>
    <col collapsed="false" customWidth="true" hidden="false" outlineLevel="0" max="3" min="3" style="1" width="18"/>
    <col collapsed="false" customWidth="true" hidden="false" outlineLevel="0" max="6" min="4" style="1" width="16"/>
    <col collapsed="false" customWidth="true" hidden="false" outlineLevel="0" max="7" min="7" style="1" width="14"/>
  </cols>
  <sheetData>
    <row r="1" customFormat="false" ht="15.75" hidden="false" customHeight="true" outlineLevel="0" collapsed="false">
      <c r="A1" s="10" t="s">
        <v>225</v>
      </c>
      <c r="B1" s="10"/>
      <c r="C1" s="10"/>
      <c r="D1" s="10"/>
      <c r="E1" s="10"/>
      <c r="F1" s="10"/>
      <c r="G1" s="10"/>
    </row>
    <row r="2" customFormat="false" ht="15" hidden="false" customHeight="true" outlineLevel="0" collapsed="false">
      <c r="A2" s="23" t="s">
        <v>226</v>
      </c>
      <c r="B2" s="23"/>
      <c r="C2" s="23"/>
      <c r="D2" s="23"/>
      <c r="E2" s="23"/>
      <c r="F2" s="23"/>
      <c r="G2" s="23"/>
    </row>
    <row r="4" customFormat="false" ht="15" hidden="false" customHeight="true" outlineLevel="0" collapsed="false">
      <c r="A4" s="7" t="s">
        <v>45</v>
      </c>
      <c r="B4" s="7" t="s">
        <v>46</v>
      </c>
      <c r="C4" s="7" t="s">
        <v>217</v>
      </c>
      <c r="D4" s="7" t="s">
        <v>218</v>
      </c>
      <c r="E4" s="7" t="s">
        <v>219</v>
      </c>
      <c r="F4" s="7" t="s">
        <v>220</v>
      </c>
      <c r="G4" s="7" t="s">
        <v>221</v>
      </c>
    </row>
    <row r="5" customFormat="false" ht="15" hidden="false" customHeight="true" outlineLevel="0" collapsed="false">
      <c r="A5" s="8" t="s">
        <v>56</v>
      </c>
      <c r="B5" s="8" t="s">
        <v>57</v>
      </c>
      <c r="C5" s="12" t="n">
        <f aca="false">MAX(0, 2*'House Vote Data'!F4 - 'House Vote Data'!F2)</f>
        <v>391</v>
      </c>
      <c r="D5" s="9" t="n">
        <f aca="false">MIN(1,MAX(0, 'House Vote Data'!G5 + VLOOKUP(A5,'Beta Coefficients'!$A:$C,3,FALSE())*(0.47727465291647-0.49496422142549) ))</f>
        <v>0.363548733940806</v>
      </c>
      <c r="E5" s="12" t="n">
        <f aca="false">ROUND(C5*D5,0)</f>
        <v>142</v>
      </c>
      <c r="F5" s="12" t="n">
        <f aca="false">ROUND(C5*(1-D5),0)</f>
        <v>249</v>
      </c>
      <c r="G5" s="8" t="str">
        <f aca="false">IF(D5&gt;0.5,"Democrat","Republican")</f>
        <v>Republican</v>
      </c>
    </row>
    <row r="6" customFormat="false" ht="15" hidden="false" customHeight="true" outlineLevel="0" collapsed="false">
      <c r="A6" s="8" t="s">
        <v>58</v>
      </c>
      <c r="B6" s="8" t="s">
        <v>57</v>
      </c>
      <c r="C6" s="12" t="n">
        <f aca="false">MAX(0, 2*'House Vote Data'!F8 - 'House Vote Data'!F6)</f>
        <v>341</v>
      </c>
      <c r="D6" s="9" t="n">
        <f aca="false">MIN(1,MAX(0, 'House Vote Data'!G9 + VLOOKUP(A6,'Beta Coefficients'!$A:$C,3,FALSE())*(0.47727465291647-0.49496422142549) ))</f>
        <v>0.252305943470542</v>
      </c>
      <c r="E6" s="12" t="n">
        <f aca="false">ROUND(C6*D6,0)</f>
        <v>86</v>
      </c>
      <c r="F6" s="12" t="n">
        <f aca="false">ROUND(C6*(1-D6),0)</f>
        <v>255</v>
      </c>
      <c r="G6" s="8" t="str">
        <f aca="false">IF(D6&gt;0.5,"Democrat","Republican")</f>
        <v>Republican</v>
      </c>
    </row>
    <row r="7" customFormat="false" ht="15" hidden="false" customHeight="true" outlineLevel="0" collapsed="false">
      <c r="A7" s="8" t="s">
        <v>59</v>
      </c>
      <c r="B7" s="8" t="s">
        <v>57</v>
      </c>
      <c r="C7" s="12" t="n">
        <f aca="false">MAX(0, 2*'House Vote Data'!F12 - 'House Vote Data'!F10)</f>
        <v>411</v>
      </c>
      <c r="D7" s="9" t="n">
        <f aca="false">MIN(1,MAX(0, 'House Vote Data'!G13 + VLOOKUP(A7,'Beta Coefficients'!$A:$C,3,FALSE())*(0.47727465291647-0.49496422142549) ))</f>
        <v>0.271300236313972</v>
      </c>
      <c r="E7" s="12" t="n">
        <f aca="false">ROUND(C7*D7,0)</f>
        <v>112</v>
      </c>
      <c r="F7" s="12" t="n">
        <f aca="false">ROUND(C7*(1-D7),0)</f>
        <v>299</v>
      </c>
      <c r="G7" s="8" t="str">
        <f aca="false">IF(D7&gt;0.5,"Democrat","Republican")</f>
        <v>Republican</v>
      </c>
    </row>
    <row r="8" customFormat="false" ht="15" hidden="false" customHeight="true" outlineLevel="0" collapsed="false">
      <c r="A8" s="8" t="s">
        <v>60</v>
      </c>
      <c r="B8" s="8" t="s">
        <v>57</v>
      </c>
      <c r="C8" s="12" t="n">
        <f aca="false">MAX(0, 2*'House Vote Data'!F16 - 'House Vote Data'!F14)</f>
        <v>1483</v>
      </c>
      <c r="D8" s="9" t="n">
        <f aca="false">MIN(1,MAX(0, 'House Vote Data'!G17 + VLOOKUP(A8,'Beta Coefficients'!$A:$C,3,FALSE())*(0.47727465291647-0.49496422142549) ))</f>
        <v>0.222133101054421</v>
      </c>
      <c r="E8" s="12" t="n">
        <f aca="false">ROUND(C8*D8,0)</f>
        <v>329</v>
      </c>
      <c r="F8" s="12" t="n">
        <f aca="false">ROUND(C8*(1-D8),0)</f>
        <v>1154</v>
      </c>
      <c r="G8" s="8" t="str">
        <f aca="false">IF(D8&gt;0.5,"Democrat","Republican")</f>
        <v>Republican</v>
      </c>
    </row>
    <row r="9" customFormat="false" ht="15" hidden="false" customHeight="true" outlineLevel="0" collapsed="false">
      <c r="A9" s="8" t="s">
        <v>61</v>
      </c>
      <c r="B9" s="8" t="s">
        <v>57</v>
      </c>
      <c r="C9" s="12" t="n">
        <f aca="false">MAX(0, 2*'House Vote Data'!F20 - 'House Vote Data'!F18)</f>
        <v>111</v>
      </c>
      <c r="D9" s="9" t="n">
        <f aca="false">MIN(1,MAX(0, 'House Vote Data'!G21 + VLOOKUP(A9,'Beta Coefficients'!$A:$C,3,FALSE())*(0.47727465291647-0.49496422142549) ))</f>
        <v>0.288043056555616</v>
      </c>
      <c r="E9" s="12" t="n">
        <f aca="false">ROUND(C9*D9,0)</f>
        <v>32</v>
      </c>
      <c r="F9" s="12" t="n">
        <f aca="false">ROUND(C9*(1-D9),0)</f>
        <v>79</v>
      </c>
      <c r="G9" s="8" t="str">
        <f aca="false">IF(D9&gt;0.5,"Democrat","Republican")</f>
        <v>Republican</v>
      </c>
    </row>
    <row r="10" customFormat="false" ht="15" hidden="false" customHeight="true" outlineLevel="0" collapsed="false">
      <c r="A10" s="8" t="s">
        <v>62</v>
      </c>
      <c r="B10" s="8" t="s">
        <v>57</v>
      </c>
      <c r="C10" s="12" t="n">
        <f aca="false">MAX(0, 2*'House Vote Data'!F24 - 'House Vote Data'!F22)</f>
        <v>2258</v>
      </c>
      <c r="D10" s="9" t="n">
        <f aca="false">MIN(1,MAX(0, 'House Vote Data'!G25 + VLOOKUP(A10,'Beta Coefficients'!$A:$C,3,FALSE())*(0.47727465291647-0.49496422142549) ))</f>
        <v>0.25100756087382</v>
      </c>
      <c r="E10" s="12" t="n">
        <f aca="false">ROUND(C10*D10,0)</f>
        <v>567</v>
      </c>
      <c r="F10" s="12" t="n">
        <f aca="false">ROUND(C10*(1-D10),0)</f>
        <v>1691</v>
      </c>
      <c r="G10" s="8" t="str">
        <f aca="false">IF(D10&gt;0.5,"Democrat","Republican")</f>
        <v>Republican</v>
      </c>
    </row>
    <row r="11" customFormat="false" ht="15" hidden="false" customHeight="true" outlineLevel="0" collapsed="false">
      <c r="A11" s="8" t="s">
        <v>63</v>
      </c>
      <c r="B11" s="8" t="s">
        <v>57</v>
      </c>
      <c r="C11" s="12" t="n">
        <f aca="false">MAX(0, 2*'House Vote Data'!F28 - 'House Vote Data'!F26)</f>
        <v>2411</v>
      </c>
      <c r="D11" s="9" t="n">
        <f aca="false">MIN(1,MAX(0, 'House Vote Data'!G29 + VLOOKUP(A11,'Beta Coefficients'!$A:$C,3,FALSE())*(0.47727465291647-0.49496422142549) ))</f>
        <v>0.393652543184237</v>
      </c>
      <c r="E11" s="12" t="n">
        <f aca="false">ROUND(C11*D11,0)</f>
        <v>949</v>
      </c>
      <c r="F11" s="12" t="n">
        <f aca="false">ROUND(C11*(1-D11),0)</f>
        <v>1462</v>
      </c>
      <c r="G11" s="8" t="str">
        <f aca="false">IF(D11&gt;0.5,"Democrat","Republican")</f>
        <v>Republican</v>
      </c>
    </row>
    <row r="12" customFormat="false" ht="15" hidden="false" customHeight="true" outlineLevel="0" collapsed="false">
      <c r="A12" s="8" t="s">
        <v>64</v>
      </c>
      <c r="B12" s="8" t="s">
        <v>57</v>
      </c>
      <c r="C12" s="12" t="n">
        <f aca="false">MAX(0, 2*'House Vote Data'!F32 - 'House Vote Data'!F30)</f>
        <v>912</v>
      </c>
      <c r="D12" s="9" t="n">
        <f aca="false">MIN(1,MAX(0, 'House Vote Data'!G33 + VLOOKUP(A12,'Beta Coefficients'!$A:$C,3,FALSE())*(0.47727465291647-0.49496422142549) ))</f>
        <v>0.320898306380558</v>
      </c>
      <c r="E12" s="12" t="n">
        <f aca="false">ROUND(C12*D12,0)</f>
        <v>293</v>
      </c>
      <c r="F12" s="12" t="n">
        <f aca="false">ROUND(C12*(1-D12),0)</f>
        <v>619</v>
      </c>
      <c r="G12" s="8" t="str">
        <f aca="false">IF(D12&gt;0.5,"Democrat","Republican")</f>
        <v>Republican</v>
      </c>
    </row>
    <row r="13" customFormat="false" ht="15" hidden="false" customHeight="true" outlineLevel="0" collapsed="false">
      <c r="A13" s="8" t="s">
        <v>65</v>
      </c>
      <c r="B13" s="8" t="s">
        <v>57</v>
      </c>
      <c r="C13" s="12" t="n">
        <f aca="false">MAX(0, 2*'House Vote Data'!F36 - 'House Vote Data'!F34)</f>
        <v>1078</v>
      </c>
      <c r="D13" s="9" t="n">
        <f aca="false">MIN(1,MAX(0, 'House Vote Data'!G37 + VLOOKUP(A13,'Beta Coefficients'!$A:$C,3,FALSE())*(0.47727465291647-0.49496422142549) ))</f>
        <v>0.354841848331088</v>
      </c>
      <c r="E13" s="12" t="n">
        <f aca="false">ROUND(C13*D13,0)</f>
        <v>383</v>
      </c>
      <c r="F13" s="12" t="n">
        <f aca="false">ROUND(C13*(1-D13),0)</f>
        <v>695</v>
      </c>
      <c r="G13" s="8" t="str">
        <f aca="false">IF(D13&gt;0.5,"Democrat","Republican")</f>
        <v>Republican</v>
      </c>
    </row>
    <row r="14" customFormat="false" ht="15" hidden="false" customHeight="true" outlineLevel="0" collapsed="false">
      <c r="A14" s="8" t="s">
        <v>66</v>
      </c>
      <c r="B14" s="8" t="s">
        <v>57</v>
      </c>
      <c r="C14" s="12" t="n">
        <f aca="false">MAX(0, 2*'House Vote Data'!F40 - 'House Vote Data'!F38)</f>
        <v>142</v>
      </c>
      <c r="D14" s="9" t="n">
        <f aca="false">MIN(1,MAX(0, 'House Vote Data'!G41 + VLOOKUP(A14,'Beta Coefficients'!$A:$C,3,FALSE())*(0.47727465291647-0.49496422142549) ))</f>
        <v>0.237807422750417</v>
      </c>
      <c r="E14" s="12" t="n">
        <f aca="false">ROUND(C14*D14,0)</f>
        <v>34</v>
      </c>
      <c r="F14" s="12" t="n">
        <f aca="false">ROUND(C14*(1-D14),0)</f>
        <v>108</v>
      </c>
      <c r="G14" s="8" t="str">
        <f aca="false">IF(D14&gt;0.5,"Democrat","Republican")</f>
        <v>Republican</v>
      </c>
    </row>
    <row r="15" customFormat="false" ht="15" hidden="false" customHeight="true" outlineLevel="0" collapsed="false">
      <c r="A15" s="8" t="s">
        <v>67</v>
      </c>
      <c r="B15" s="8" t="s">
        <v>57</v>
      </c>
      <c r="C15" s="12" t="n">
        <f aca="false">MAX(0, 2*'House Vote Data'!F44 - 'House Vote Data'!F42)</f>
        <v>278</v>
      </c>
      <c r="D15" s="9" t="n">
        <f aca="false">MIN(1,MAX(0, 'House Vote Data'!G45 + VLOOKUP(A15,'Beta Coefficients'!$A:$C,3,FALSE())*(0.47727465291647-0.49496422142549) ))</f>
        <v>0.210762483350085</v>
      </c>
      <c r="E15" s="12" t="n">
        <f aca="false">ROUND(C15*D15,0)</f>
        <v>59</v>
      </c>
      <c r="F15" s="12" t="n">
        <f aca="false">ROUND(C15*(1-D15),0)</f>
        <v>219</v>
      </c>
      <c r="G15" s="8" t="str">
        <f aca="false">IF(D15&gt;0.5,"Democrat","Republican")</f>
        <v>Republican</v>
      </c>
    </row>
    <row r="16" customFormat="false" ht="15" hidden="false" customHeight="true" outlineLevel="0" collapsed="false">
      <c r="A16" s="8" t="s">
        <v>68</v>
      </c>
      <c r="B16" s="8" t="s">
        <v>57</v>
      </c>
      <c r="C16" s="12" t="n">
        <f aca="false">MAX(0, 2*'House Vote Data'!F48 - 'House Vote Data'!F46)</f>
        <v>1900</v>
      </c>
      <c r="D16" s="9" t="n">
        <f aca="false">MIN(1,MAX(0, 'House Vote Data'!G49 + VLOOKUP(A16,'Beta Coefficients'!$A:$C,3,FALSE())*(0.47727465291647-0.49496422142549) ))</f>
        <v>0.348339961581853</v>
      </c>
      <c r="E16" s="12" t="n">
        <f aca="false">ROUND(C16*D16,0)</f>
        <v>662</v>
      </c>
      <c r="F16" s="12" t="n">
        <f aca="false">ROUND(C16*(1-D16),0)</f>
        <v>1238</v>
      </c>
      <c r="G16" s="8" t="str">
        <f aca="false">IF(D16&gt;0.5,"Democrat","Republican")</f>
        <v>Republican</v>
      </c>
    </row>
    <row r="17" customFormat="false" ht="15" hidden="false" customHeight="true" outlineLevel="0" collapsed="false">
      <c r="A17" s="8" t="s">
        <v>69</v>
      </c>
      <c r="B17" s="8" t="s">
        <v>57</v>
      </c>
      <c r="C17" s="12" t="n">
        <f aca="false">MAX(0, 2*'House Vote Data'!F52 - 'House Vote Data'!F50)</f>
        <v>1604</v>
      </c>
      <c r="D17" s="9" t="n">
        <f aca="false">MIN(1,MAX(0, 'House Vote Data'!G53 + VLOOKUP(A17,'Beta Coefficients'!$A:$C,3,FALSE())*(0.47727465291647-0.49496422142549) ))</f>
        <v>0.24736146946354</v>
      </c>
      <c r="E17" s="12" t="n">
        <f aca="false">ROUND(C17*D17,0)</f>
        <v>397</v>
      </c>
      <c r="F17" s="12" t="n">
        <f aca="false">ROUND(C17*(1-D17),0)</f>
        <v>1207</v>
      </c>
      <c r="G17" s="8" t="str">
        <f aca="false">IF(D17&gt;0.5,"Democrat","Republican")</f>
        <v>Republican</v>
      </c>
    </row>
    <row r="18" customFormat="false" ht="15" hidden="false" customHeight="true" outlineLevel="0" collapsed="false">
      <c r="A18" s="8" t="s">
        <v>70</v>
      </c>
      <c r="B18" s="8" t="s">
        <v>57</v>
      </c>
      <c r="C18" s="12" t="n">
        <f aca="false">MAX(0, 2*'House Vote Data'!F56 - 'House Vote Data'!F54)</f>
        <v>2076</v>
      </c>
      <c r="D18" s="9" t="n">
        <f aca="false">MIN(1,MAX(0, 'House Vote Data'!G57 + VLOOKUP(A18,'Beta Coefficients'!$A:$C,3,FALSE())*(0.47727465291647-0.49496422142549) ))</f>
        <v>0.258263142763385</v>
      </c>
      <c r="E18" s="12" t="n">
        <f aca="false">ROUND(C18*D18,0)</f>
        <v>536</v>
      </c>
      <c r="F18" s="12" t="n">
        <f aca="false">ROUND(C18*(1-D18),0)</f>
        <v>1540</v>
      </c>
      <c r="G18" s="8" t="str">
        <f aca="false">IF(D18&gt;0.5,"Democrat","Republican")</f>
        <v>Republican</v>
      </c>
    </row>
    <row r="19" customFormat="false" ht="15" hidden="false" customHeight="true" outlineLevel="0" collapsed="false">
      <c r="A19" s="8" t="s">
        <v>71</v>
      </c>
      <c r="B19" s="8" t="s">
        <v>57</v>
      </c>
      <c r="C19" s="12" t="n">
        <f aca="false">MAX(0, 2*'House Vote Data'!F60 - 'House Vote Data'!F58)</f>
        <v>1342</v>
      </c>
      <c r="D19" s="9" t="n">
        <f aca="false">MIN(1,MAX(0, 'House Vote Data'!G61 + VLOOKUP(A19,'Beta Coefficients'!$A:$C,3,FALSE())*(0.47727465291647-0.49496422142549) ))</f>
        <v>0.340340339858239</v>
      </c>
      <c r="E19" s="12" t="n">
        <f aca="false">ROUND(C19*D19,0)</f>
        <v>457</v>
      </c>
      <c r="F19" s="12" t="n">
        <f aca="false">ROUND(C19*(1-D19),0)</f>
        <v>885</v>
      </c>
      <c r="G19" s="8" t="str">
        <f aca="false">IF(D19&gt;0.5,"Democrat","Republican")</f>
        <v>Republican</v>
      </c>
    </row>
    <row r="20" customFormat="false" ht="15" hidden="false" customHeight="true" outlineLevel="0" collapsed="false">
      <c r="A20" s="8" t="s">
        <v>72</v>
      </c>
      <c r="B20" s="8" t="s">
        <v>57</v>
      </c>
      <c r="C20" s="12" t="n">
        <f aca="false">MAX(0, 2*'House Vote Data'!F64 - 'House Vote Data'!F62)</f>
        <v>597</v>
      </c>
      <c r="D20" s="9" t="n">
        <f aca="false">MIN(1,MAX(0, 'House Vote Data'!G65 + VLOOKUP(A20,'Beta Coefficients'!$A:$C,3,FALSE())*(0.47727465291647-0.49496422142549) ))</f>
        <v>0.192151937072093</v>
      </c>
      <c r="E20" s="12" t="n">
        <f aca="false">ROUND(C20*D20,0)</f>
        <v>115</v>
      </c>
      <c r="F20" s="12" t="n">
        <f aca="false">ROUND(C20*(1-D20),0)</f>
        <v>482</v>
      </c>
      <c r="G20" s="8" t="str">
        <f aca="false">IF(D20&gt;0.5,"Democrat","Republican")</f>
        <v>Republican</v>
      </c>
    </row>
    <row r="21" customFormat="false" ht="15" hidden="false" customHeight="true" outlineLevel="0" collapsed="false">
      <c r="A21" s="8" t="s">
        <v>73</v>
      </c>
      <c r="B21" s="8" t="s">
        <v>57</v>
      </c>
      <c r="C21" s="12" t="n">
        <f aca="false">MAX(0, 2*'House Vote Data'!F68 - 'House Vote Data'!F66)</f>
        <v>2153</v>
      </c>
      <c r="D21" s="9" t="n">
        <f aca="false">MIN(1,MAX(0, 'House Vote Data'!G69 + VLOOKUP(A21,'Beta Coefficients'!$A:$C,3,FALSE())*(0.47727465291647-0.49496422142549) ))</f>
        <v>0.331169467720125</v>
      </c>
      <c r="E21" s="12" t="n">
        <f aca="false">ROUND(C21*D21,0)</f>
        <v>713</v>
      </c>
      <c r="F21" s="12" t="n">
        <f aca="false">ROUND(C21*(1-D21),0)</f>
        <v>1440</v>
      </c>
      <c r="G21" s="8" t="str">
        <f aca="false">IF(D21&gt;0.5,"Democrat","Republican")</f>
        <v>Republican</v>
      </c>
    </row>
    <row r="22" customFormat="false" ht="15" hidden="false" customHeight="true" outlineLevel="0" collapsed="false">
      <c r="A22" s="8" t="s">
        <v>74</v>
      </c>
      <c r="B22" s="8" t="s">
        <v>57</v>
      </c>
      <c r="C22" s="12" t="n">
        <f aca="false">MAX(0, 2*'House Vote Data'!F72 - 'House Vote Data'!F70)</f>
        <v>209</v>
      </c>
      <c r="D22" s="9" t="n">
        <f aca="false">MIN(1,MAX(0, 'House Vote Data'!G73 + VLOOKUP(A22,'Beta Coefficients'!$A:$C,3,FALSE())*(0.47727465291647-0.49496422142549) ))</f>
        <v>0.293656763430072</v>
      </c>
      <c r="E22" s="12" t="n">
        <f aca="false">ROUND(C22*D22,0)</f>
        <v>61</v>
      </c>
      <c r="F22" s="12" t="n">
        <f aca="false">ROUND(C22*(1-D22),0)</f>
        <v>148</v>
      </c>
      <c r="G22" s="8" t="str">
        <f aca="false">IF(D22&gt;0.5,"Democrat","Republican")</f>
        <v>Republican</v>
      </c>
    </row>
    <row r="23" customFormat="false" ht="15" hidden="false" customHeight="true" outlineLevel="0" collapsed="false">
      <c r="A23" s="8" t="s">
        <v>75</v>
      </c>
      <c r="B23" s="8" t="s">
        <v>57</v>
      </c>
      <c r="C23" s="12" t="n">
        <f aca="false">MAX(0, 2*'House Vote Data'!F76 - 'House Vote Data'!F74)</f>
        <v>5115</v>
      </c>
      <c r="D23" s="9" t="n">
        <f aca="false">MIN(1,MAX(0, 'House Vote Data'!G77 + VLOOKUP(A23,'Beta Coefficients'!$A:$C,3,FALSE())*(0.47727465291647-0.49496422142549) ))</f>
        <v>0.332336382038169</v>
      </c>
      <c r="E23" s="12" t="n">
        <f aca="false">ROUND(C23*D23,0)</f>
        <v>1700</v>
      </c>
      <c r="F23" s="12" t="n">
        <f aca="false">ROUND(C23*(1-D23),0)</f>
        <v>3415</v>
      </c>
      <c r="G23" s="8" t="str">
        <f aca="false">IF(D23&gt;0.5,"Democrat","Republican")</f>
        <v>Republican</v>
      </c>
    </row>
    <row r="24" customFormat="false" ht="15" hidden="false" customHeight="true" outlineLevel="0" collapsed="false">
      <c r="A24" s="8" t="s">
        <v>76</v>
      </c>
      <c r="B24" s="8" t="s">
        <v>57</v>
      </c>
      <c r="C24" s="12" t="n">
        <f aca="false">MAX(0, 2*'House Vote Data'!F80 - 'House Vote Data'!F78)</f>
        <v>1334</v>
      </c>
      <c r="D24" s="9" t="n">
        <f aca="false">MIN(1,MAX(0, 'House Vote Data'!G81 + VLOOKUP(A24,'Beta Coefficients'!$A:$C,3,FALSE())*(0.47727465291647-0.49496422142549) ))</f>
        <v>0.375518907830654</v>
      </c>
      <c r="E24" s="12" t="n">
        <f aca="false">ROUND(C24*D24,0)</f>
        <v>501</v>
      </c>
      <c r="F24" s="12" t="n">
        <f aca="false">ROUND(C24*(1-D24),0)</f>
        <v>833</v>
      </c>
      <c r="G24" s="8" t="str">
        <f aca="false">IF(D24&gt;0.5,"Democrat","Republican")</f>
        <v>Republican</v>
      </c>
    </row>
    <row r="25" customFormat="false" ht="15" hidden="false" customHeight="true" outlineLevel="0" collapsed="false">
      <c r="A25" s="8" t="s">
        <v>77</v>
      </c>
      <c r="B25" s="8" t="s">
        <v>57</v>
      </c>
      <c r="C25" s="12" t="n">
        <f aca="false">MAX(0, 2*'House Vote Data'!F84 - 'House Vote Data'!F82)</f>
        <v>2513</v>
      </c>
      <c r="D25" s="9" t="n">
        <f aca="false">MIN(1,MAX(0, 'House Vote Data'!G85 + VLOOKUP(A25,'Beta Coefficients'!$A:$C,3,FALSE())*(0.47727465291647-0.49496422142549) ))</f>
        <v>0.259965470434891</v>
      </c>
      <c r="E25" s="12" t="n">
        <f aca="false">ROUND(C25*D25,0)</f>
        <v>653</v>
      </c>
      <c r="F25" s="12" t="n">
        <f aca="false">ROUND(C25*(1-D25),0)</f>
        <v>1860</v>
      </c>
      <c r="G25" s="8" t="str">
        <f aca="false">IF(D25&gt;0.5,"Democrat","Republican")</f>
        <v>Republican</v>
      </c>
    </row>
    <row r="26" customFormat="false" ht="15" hidden="false" customHeight="true" outlineLevel="0" collapsed="false">
      <c r="A26" s="8" t="s">
        <v>78</v>
      </c>
      <c r="B26" s="8" t="s">
        <v>57</v>
      </c>
      <c r="C26" s="12" t="n">
        <f aca="false">MAX(0, 2*'House Vote Data'!F88 - 'House Vote Data'!F86)</f>
        <v>955</v>
      </c>
      <c r="D26" s="9" t="n">
        <f aca="false">MIN(1,MAX(0, 'House Vote Data'!G89 + VLOOKUP(A26,'Beta Coefficients'!$A:$C,3,FALSE())*(0.47727465291647-0.49496422142549) ))</f>
        <v>0.272795772005256</v>
      </c>
      <c r="E26" s="12" t="n">
        <f aca="false">ROUND(C26*D26,0)</f>
        <v>261</v>
      </c>
      <c r="F26" s="12" t="n">
        <f aca="false">ROUND(C26*(1-D26),0)</f>
        <v>694</v>
      </c>
      <c r="G26" s="8" t="str">
        <f aca="false">IF(D26&gt;0.5,"Democrat","Republican")</f>
        <v>Republican</v>
      </c>
    </row>
    <row r="27" customFormat="false" ht="15" hidden="false" customHeight="true" outlineLevel="0" collapsed="false">
      <c r="A27" s="8" t="s">
        <v>79</v>
      </c>
      <c r="B27" s="8" t="s">
        <v>57</v>
      </c>
      <c r="C27" s="12" t="n">
        <f aca="false">MAX(0, 2*'House Vote Data'!F92 - 'House Vote Data'!F90)</f>
        <v>102</v>
      </c>
      <c r="D27" s="9" t="n">
        <f aca="false">MIN(1,MAX(0, 'House Vote Data'!G93 + VLOOKUP(A27,'Beta Coefficients'!$A:$C,3,FALSE())*(0.47727465291647-0.49496422142549) ))</f>
        <v>0.293227400763347</v>
      </c>
      <c r="E27" s="12" t="n">
        <f aca="false">ROUND(C27*D27,0)</f>
        <v>30</v>
      </c>
      <c r="F27" s="12" t="n">
        <f aca="false">ROUND(C27*(1-D27),0)</f>
        <v>72</v>
      </c>
      <c r="G27" s="8" t="str">
        <f aca="false">IF(D27&gt;0.5,"Democrat","Republican")</f>
        <v>Republican</v>
      </c>
    </row>
    <row r="28" customFormat="false" ht="15" hidden="false" customHeight="true" outlineLevel="0" collapsed="false">
      <c r="A28" s="8" t="s">
        <v>80</v>
      </c>
      <c r="B28" s="8" t="s">
        <v>81</v>
      </c>
      <c r="C28" s="12" t="n">
        <f aca="false">MAX(0, 2*'House Vote Data'!F96 - 'House Vote Data'!F94)</f>
        <v>1166</v>
      </c>
      <c r="D28" s="9" t="n">
        <f aca="false">MIN(1,MAX(0, 'House Vote Data'!G97 + VLOOKUP(A28,'Beta Coefficients'!$A:$C,3,FALSE())*(0.47727465291647-0.49496422142549) ))</f>
        <v>0.403907969810735</v>
      </c>
      <c r="E28" s="12" t="n">
        <f aca="false">ROUND(C28*D28,0)</f>
        <v>471</v>
      </c>
      <c r="F28" s="12" t="n">
        <f aca="false">ROUND(C28*(1-D28),0)</f>
        <v>695</v>
      </c>
      <c r="G28" s="8" t="str">
        <f aca="false">IF(D28&gt;0.5,"Democrat","Republican")</f>
        <v>Republican</v>
      </c>
    </row>
    <row r="29" customFormat="false" ht="15" hidden="false" customHeight="true" outlineLevel="0" collapsed="false">
      <c r="A29" s="8" t="s">
        <v>82</v>
      </c>
      <c r="B29" s="8" t="s">
        <v>81</v>
      </c>
      <c r="C29" s="12" t="n">
        <f aca="false">MAX(0, 2*'House Vote Data'!F100 - 'House Vote Data'!F98)</f>
        <v>22542</v>
      </c>
      <c r="D29" s="9" t="n">
        <f aca="false">MIN(1,MAX(0, 'House Vote Data'!G101 + VLOOKUP(A29,'Beta Coefficients'!$A:$C,3,FALSE())*(0.47727465291647-0.49496422142549) ))</f>
        <v>0.61402277874925</v>
      </c>
      <c r="E29" s="12" t="n">
        <f aca="false">ROUND(C29*D29,0)</f>
        <v>13841</v>
      </c>
      <c r="F29" s="12" t="n">
        <f aca="false">ROUND(C29*(1-D29),0)</f>
        <v>8701</v>
      </c>
      <c r="G29" s="8" t="str">
        <f aca="false">IF(D29&gt;0.5,"Democrat","Republican")</f>
        <v>Democrat</v>
      </c>
    </row>
    <row r="30" customFormat="false" ht="15" hidden="false" customHeight="true" outlineLevel="0" collapsed="false">
      <c r="A30" s="8" t="s">
        <v>83</v>
      </c>
      <c r="B30" s="8" t="s">
        <v>81</v>
      </c>
      <c r="C30" s="12" t="n">
        <f aca="false">MAX(0, 2*'House Vote Data'!F104 - 'House Vote Data'!F102)</f>
        <v>8782</v>
      </c>
      <c r="D30" s="9" t="n">
        <f aca="false">MIN(1,MAX(0, 'House Vote Data'!G105 + VLOOKUP(A30,'Beta Coefficients'!$A:$C,3,FALSE())*(0.47727465291647-0.49496422142549) ))</f>
        <v>0.614212631602068</v>
      </c>
      <c r="E30" s="12" t="n">
        <f aca="false">ROUND(C30*D30,0)</f>
        <v>5394</v>
      </c>
      <c r="F30" s="12" t="n">
        <f aca="false">ROUND(C30*(1-D30),0)</f>
        <v>3388</v>
      </c>
      <c r="G30" s="8" t="str">
        <f aca="false">IF(D30&gt;0.5,"Democrat","Republican")</f>
        <v>Democrat</v>
      </c>
    </row>
    <row r="31" customFormat="false" ht="15" hidden="false" customHeight="true" outlineLevel="0" collapsed="false">
      <c r="A31" s="8" t="s">
        <v>84</v>
      </c>
      <c r="B31" s="8" t="s">
        <v>81</v>
      </c>
      <c r="C31" s="12" t="n">
        <f aca="false">MAX(0, 2*'House Vote Data'!F108 - 'House Vote Data'!F106)</f>
        <v>2262</v>
      </c>
      <c r="D31" s="9" t="n">
        <f aca="false">MIN(1,MAX(0, 'House Vote Data'!G109 + VLOOKUP(A31,'Beta Coefficients'!$A:$C,3,FALSE())*(0.47727465291647-0.49496422142549) ))</f>
        <v>0.479181807235984</v>
      </c>
      <c r="E31" s="12" t="n">
        <f aca="false">ROUND(C31*D31,0)</f>
        <v>1084</v>
      </c>
      <c r="F31" s="12" t="n">
        <f aca="false">ROUND(C31*(1-D31),0)</f>
        <v>1178</v>
      </c>
      <c r="G31" s="8" t="str">
        <f aca="false">IF(D31&gt;0.5,"Democrat","Republican")</f>
        <v>Republican</v>
      </c>
    </row>
    <row r="32" customFormat="false" ht="15" hidden="false" customHeight="true" outlineLevel="0" collapsed="false">
      <c r="A32" s="8" t="s">
        <v>85</v>
      </c>
      <c r="B32" s="8" t="s">
        <v>81</v>
      </c>
      <c r="C32" s="12" t="n">
        <f aca="false">MAX(0, 2*'House Vote Data'!F112 - 'House Vote Data'!F110)</f>
        <v>1479</v>
      </c>
      <c r="D32" s="9" t="n">
        <f aca="false">MIN(1,MAX(0, 'House Vote Data'!G113 + VLOOKUP(A32,'Beta Coefficients'!$A:$C,3,FALSE())*(0.47727465291647-0.49496422142549) ))</f>
        <v>0.448806101730133</v>
      </c>
      <c r="E32" s="12" t="n">
        <f aca="false">ROUND(C32*D32,0)</f>
        <v>664</v>
      </c>
      <c r="F32" s="12" t="n">
        <f aca="false">ROUND(C32*(1-D32),0)</f>
        <v>815</v>
      </c>
      <c r="G32" s="8" t="str">
        <f aca="false">IF(D32&gt;0.5,"Democrat","Republican")</f>
        <v>Republican</v>
      </c>
    </row>
    <row r="33" customFormat="false" ht="15" hidden="false" customHeight="true" outlineLevel="0" collapsed="false">
      <c r="A33" s="8" t="s">
        <v>86</v>
      </c>
      <c r="B33" s="8" t="s">
        <v>81</v>
      </c>
      <c r="C33" s="12" t="n">
        <f aca="false">MAX(0, 2*'House Vote Data'!F116 - 'House Vote Data'!F114)</f>
        <v>1419</v>
      </c>
      <c r="D33" s="9" t="n">
        <f aca="false">MIN(1,MAX(0, 'House Vote Data'!G117 + VLOOKUP(A33,'Beta Coefficients'!$A:$C,3,FALSE())*(0.47727465291647-0.49496422142549) ))</f>
        <v>0.471567568311137</v>
      </c>
      <c r="E33" s="12" t="n">
        <f aca="false">ROUND(C33*D33,0)</f>
        <v>669</v>
      </c>
      <c r="F33" s="12" t="n">
        <f aca="false">ROUND(C33*(1-D33),0)</f>
        <v>750</v>
      </c>
      <c r="G33" s="8" t="str">
        <f aca="false">IF(D33&gt;0.5,"Democrat","Republican")</f>
        <v>Republican</v>
      </c>
    </row>
    <row r="34" customFormat="false" ht="15" hidden="false" customHeight="true" outlineLevel="0" collapsed="false">
      <c r="A34" s="8" t="s">
        <v>87</v>
      </c>
      <c r="B34" s="8" t="s">
        <v>81</v>
      </c>
      <c r="C34" s="12" t="n">
        <f aca="false">MAX(0, 2*'House Vote Data'!F120 - 'House Vote Data'!F118)</f>
        <v>5779</v>
      </c>
      <c r="D34" s="9" t="n">
        <f aca="false">MIN(1,MAX(0, 'House Vote Data'!G121 + VLOOKUP(A34,'Beta Coefficients'!$A:$C,3,FALSE())*(0.47727465291647-0.49496422142549) ))</f>
        <v>0.517931628627245</v>
      </c>
      <c r="E34" s="12" t="n">
        <f aca="false">ROUND(C34*D34,0)</f>
        <v>2993</v>
      </c>
      <c r="F34" s="12" t="n">
        <f aca="false">ROUND(C34*(1-D34),0)</f>
        <v>2786</v>
      </c>
      <c r="G34" s="8" t="str">
        <f aca="false">IF(D34&gt;0.5,"Democrat","Republican")</f>
        <v>Democrat</v>
      </c>
    </row>
    <row r="35" customFormat="false" ht="15" hidden="false" customHeight="true" outlineLevel="0" collapsed="false">
      <c r="A35" s="8" t="s">
        <v>88</v>
      </c>
      <c r="B35" s="8" t="s">
        <v>81</v>
      </c>
      <c r="C35" s="12" t="n">
        <f aca="false">MAX(0, 2*'House Vote Data'!F124 - 'House Vote Data'!F122)</f>
        <v>1558</v>
      </c>
      <c r="D35" s="9" t="n">
        <f aca="false">MIN(1,MAX(0, 'House Vote Data'!G125 + VLOOKUP(A35,'Beta Coefficients'!$A:$C,3,FALSE())*(0.47727465291647-0.49496422142549) ))</f>
        <v>0.622404087715453</v>
      </c>
      <c r="E35" s="12" t="n">
        <f aca="false">ROUND(C35*D35,0)</f>
        <v>970</v>
      </c>
      <c r="F35" s="12" t="n">
        <f aca="false">ROUND(C35*(1-D35),0)</f>
        <v>588</v>
      </c>
      <c r="G35" s="8" t="str">
        <f aca="false">IF(D35&gt;0.5,"Democrat","Republican")</f>
        <v>Democrat</v>
      </c>
    </row>
    <row r="36" customFormat="false" ht="15" hidden="false" customHeight="true" outlineLevel="0" collapsed="false">
      <c r="A36" s="8" t="s">
        <v>89</v>
      </c>
      <c r="B36" s="8" t="s">
        <v>81</v>
      </c>
      <c r="C36" s="12" t="n">
        <f aca="false">MAX(0, 2*'House Vote Data'!F128 - 'House Vote Data'!F126)</f>
        <v>442</v>
      </c>
      <c r="D36" s="9" t="n">
        <f aca="false">MIN(1,MAX(0, 'House Vote Data'!G129 + VLOOKUP(A36,'Beta Coefficients'!$A:$C,3,FALSE())*(0.47727465291647-0.49496422142549) ))</f>
        <v>0.51309195962269</v>
      </c>
      <c r="E36" s="12" t="n">
        <f aca="false">ROUND(C36*D36,0)</f>
        <v>227</v>
      </c>
      <c r="F36" s="12" t="n">
        <f aca="false">ROUND(C36*(1-D36),0)</f>
        <v>215</v>
      </c>
      <c r="G36" s="8" t="str">
        <f aca="false">IF(D36&gt;0.5,"Democrat","Republican")</f>
        <v>Democrat</v>
      </c>
    </row>
    <row r="37" customFormat="false" ht="15" hidden="false" customHeight="true" outlineLevel="0" collapsed="false">
      <c r="A37" s="8" t="s">
        <v>90</v>
      </c>
      <c r="B37" s="8" t="s">
        <v>81</v>
      </c>
      <c r="C37" s="12" t="n">
        <f aca="false">MAX(0, 2*'House Vote Data'!F132 - 'House Vote Data'!F130)</f>
        <v>1826</v>
      </c>
      <c r="D37" s="9" t="n">
        <f aca="false">MIN(1,MAX(0, 'House Vote Data'!G133 + VLOOKUP(A37,'Beta Coefficients'!$A:$C,3,FALSE())*(0.47727465291647-0.49496422142549) ))</f>
        <v>0.288353127231698</v>
      </c>
      <c r="E37" s="12" t="n">
        <f aca="false">ROUND(C37*D37,0)</f>
        <v>527</v>
      </c>
      <c r="F37" s="12" t="n">
        <f aca="false">ROUND(C37*(1-D37),0)</f>
        <v>1299</v>
      </c>
      <c r="G37" s="8" t="str">
        <f aca="false">IF(D37&gt;0.5,"Democrat","Republican")</f>
        <v>Republican</v>
      </c>
    </row>
    <row r="38" customFormat="false" ht="15" hidden="false" customHeight="true" outlineLevel="0" collapsed="false">
      <c r="A38" s="8" t="s">
        <v>91</v>
      </c>
      <c r="B38" s="8" t="s">
        <v>81</v>
      </c>
      <c r="C38" s="12" t="n">
        <f aca="false">MAX(0, 2*'House Vote Data'!F136 - 'House Vote Data'!F134)</f>
        <v>17824</v>
      </c>
      <c r="D38" s="9" t="n">
        <f aca="false">MIN(1,MAX(0, 'House Vote Data'!G137 + VLOOKUP(A38,'Beta Coefficients'!$A:$C,3,FALSE())*(0.47727465291647-0.49496422142549) ))</f>
        <v>0.486199888547184</v>
      </c>
      <c r="E38" s="12" t="n">
        <f aca="false">ROUND(C38*D38,0)</f>
        <v>8666</v>
      </c>
      <c r="F38" s="12" t="n">
        <f aca="false">ROUND(C38*(1-D38),0)</f>
        <v>9158</v>
      </c>
      <c r="G38" s="8" t="str">
        <f aca="false">IF(D38&gt;0.5,"Democrat","Republican")</f>
        <v>Republican</v>
      </c>
    </row>
    <row r="39" customFormat="false" ht="15" hidden="false" customHeight="true" outlineLevel="0" collapsed="false">
      <c r="A39" s="8" t="s">
        <v>92</v>
      </c>
      <c r="B39" s="8" t="s">
        <v>81</v>
      </c>
      <c r="C39" s="12" t="n">
        <f aca="false">MAX(0, 2*'House Vote Data'!F140 - 'House Vote Data'!F138)</f>
        <v>2470</v>
      </c>
      <c r="D39" s="9" t="n">
        <f aca="false">MIN(1,MAX(0, 'House Vote Data'!G141 + VLOOKUP(A39,'Beta Coefficients'!$A:$C,3,FALSE())*(0.47727465291647-0.49496422142549) ))</f>
        <v>0.371822693065406</v>
      </c>
      <c r="E39" s="12" t="n">
        <f aca="false">ROUND(C39*D39,0)</f>
        <v>918</v>
      </c>
      <c r="F39" s="12" t="n">
        <f aca="false">ROUND(C39*(1-D39),0)</f>
        <v>1552</v>
      </c>
      <c r="G39" s="8" t="str">
        <f aca="false">IF(D39&gt;0.5,"Democrat","Republican")</f>
        <v>Republican</v>
      </c>
    </row>
    <row r="40" customFormat="false" ht="15" hidden="false" customHeight="true" outlineLevel="0" collapsed="false">
      <c r="A40" s="8" t="s">
        <v>93</v>
      </c>
      <c r="B40" s="8" t="s">
        <v>81</v>
      </c>
      <c r="C40" s="12" t="n">
        <f aca="false">MAX(0, 2*'House Vote Data'!F144 - 'House Vote Data'!F142)</f>
        <v>1343</v>
      </c>
      <c r="D40" s="9" t="n">
        <f aca="false">MIN(1,MAX(0, 'House Vote Data'!G145 + VLOOKUP(A40,'Beta Coefficients'!$A:$C,3,FALSE())*(0.47727465291647-0.49496422142549) ))</f>
        <v>0.344219405842888</v>
      </c>
      <c r="E40" s="12" t="n">
        <f aca="false">ROUND(C40*D40,0)</f>
        <v>462</v>
      </c>
      <c r="F40" s="12" t="n">
        <f aca="false">ROUND(C40*(1-D40),0)</f>
        <v>881</v>
      </c>
      <c r="G40" s="8" t="str">
        <f aca="false">IF(D40&gt;0.5,"Democrat","Republican")</f>
        <v>Republican</v>
      </c>
    </row>
    <row r="41" customFormat="false" ht="15" hidden="false" customHeight="true" outlineLevel="0" collapsed="false">
      <c r="A41" s="8" t="s">
        <v>94</v>
      </c>
      <c r="B41" s="8" t="s">
        <v>81</v>
      </c>
      <c r="C41" s="12" t="n">
        <f aca="false">MAX(0, 2*'House Vote Data'!F148 - 'House Vote Data'!F146)</f>
        <v>2450</v>
      </c>
      <c r="D41" s="9" t="n">
        <f aca="false">MIN(1,MAX(0, 'House Vote Data'!G149 + VLOOKUP(A41,'Beta Coefficients'!$A:$C,3,FALSE())*(0.47727465291647-0.49496422142549) ))</f>
        <v>0.305440319264992</v>
      </c>
      <c r="E41" s="12" t="n">
        <f aca="false">ROUND(C41*D41,0)</f>
        <v>748</v>
      </c>
      <c r="F41" s="12" t="n">
        <f aca="false">ROUND(C41*(1-D41),0)</f>
        <v>1702</v>
      </c>
      <c r="G41" s="8" t="str">
        <f aca="false">IF(D41&gt;0.5,"Democrat","Republican")</f>
        <v>Republican</v>
      </c>
    </row>
    <row r="42" customFormat="false" ht="15" hidden="false" customHeight="true" outlineLevel="0" collapsed="false">
      <c r="A42" s="8" t="s">
        <v>95</v>
      </c>
      <c r="B42" s="8" t="s">
        <v>81</v>
      </c>
      <c r="C42" s="12" t="n">
        <f aca="false">MAX(0, 2*'House Vote Data'!F152 - 'House Vote Data'!F150)</f>
        <v>1557</v>
      </c>
      <c r="D42" s="9" t="n">
        <f aca="false">MIN(1,MAX(0, 'House Vote Data'!G153 + VLOOKUP(A42,'Beta Coefficients'!$A:$C,3,FALSE())*(0.47727465291647-0.49496422142549) ))</f>
        <v>0.524384701060992</v>
      </c>
      <c r="E42" s="12" t="n">
        <f aca="false">ROUND(C42*D42,0)</f>
        <v>816</v>
      </c>
      <c r="F42" s="12" t="n">
        <f aca="false">ROUND(C42*(1-D42),0)</f>
        <v>741</v>
      </c>
      <c r="G42" s="8" t="str">
        <f aca="false">IF(D42&gt;0.5,"Democrat","Republican")</f>
        <v>Democrat</v>
      </c>
    </row>
    <row r="43" customFormat="false" ht="15" hidden="false" customHeight="true" outlineLevel="0" collapsed="false">
      <c r="A43" s="8" t="s">
        <v>96</v>
      </c>
      <c r="B43" s="8" t="s">
        <v>81</v>
      </c>
      <c r="C43" s="12" t="n">
        <f aca="false">MAX(0, 2*'House Vote Data'!F156 - 'House Vote Data'!F154)</f>
        <v>8805</v>
      </c>
      <c r="D43" s="9" t="n">
        <f aca="false">MIN(1,MAX(0, 'House Vote Data'!G157 + VLOOKUP(A43,'Beta Coefficients'!$A:$C,3,FALSE())*(0.47727465291647-0.49496422142549) ))</f>
        <v>0.396447724675847</v>
      </c>
      <c r="E43" s="12" t="n">
        <f aca="false">ROUND(C43*D43,0)</f>
        <v>3491</v>
      </c>
      <c r="F43" s="12" t="n">
        <f aca="false">ROUND(C43*(1-D43),0)</f>
        <v>5314</v>
      </c>
      <c r="G43" s="8" t="str">
        <f aca="false">IF(D43&gt;0.5,"Democrat","Republican")</f>
        <v>Republican</v>
      </c>
    </row>
    <row r="44" customFormat="false" ht="15" hidden="false" customHeight="true" outlineLevel="0" collapsed="false">
      <c r="A44" s="8" t="s">
        <v>97</v>
      </c>
      <c r="B44" s="8" t="s">
        <v>81</v>
      </c>
      <c r="C44" s="12" t="n">
        <f aca="false">MAX(0, 2*'House Vote Data'!F160 - 'House Vote Data'!F158)</f>
        <v>6947</v>
      </c>
      <c r="D44" s="9" t="n">
        <f aca="false">MIN(1,MAX(0, 'House Vote Data'!G161 + VLOOKUP(A44,'Beta Coefficients'!$A:$C,3,FALSE())*(0.47727465291647-0.49496422142549) ))</f>
        <v>0.486901318633026</v>
      </c>
      <c r="E44" s="12" t="n">
        <f aca="false">ROUND(C44*D44,0)</f>
        <v>3383</v>
      </c>
      <c r="F44" s="12" t="n">
        <f aca="false">ROUND(C44*(1-D44),0)</f>
        <v>3564</v>
      </c>
      <c r="G44" s="8" t="str">
        <f aca="false">IF(D44&gt;0.5,"Democrat","Republican")</f>
        <v>Republican</v>
      </c>
    </row>
    <row r="45" customFormat="false" ht="15" hidden="false" customHeight="true" outlineLevel="0" collapsed="false">
      <c r="A45" s="8" t="s">
        <v>98</v>
      </c>
      <c r="B45" s="8" t="s">
        <v>81</v>
      </c>
      <c r="C45" s="12" t="n">
        <f aca="false">MAX(0, 2*'House Vote Data'!F164 - 'House Vote Data'!F162)</f>
        <v>1539</v>
      </c>
      <c r="D45" s="9" t="n">
        <f aca="false">MIN(1,MAX(0, 'House Vote Data'!G165 + VLOOKUP(A45,'Beta Coefficients'!$A:$C,3,FALSE())*(0.47727465291647-0.49496422142549) ))</f>
        <v>0.380296973447892</v>
      </c>
      <c r="E45" s="12" t="n">
        <f aca="false">ROUND(C45*D45,0)</f>
        <v>585</v>
      </c>
      <c r="F45" s="12" t="n">
        <f aca="false">ROUND(C45*(1-D45),0)</f>
        <v>954</v>
      </c>
      <c r="G45" s="8" t="str">
        <f aca="false">IF(D45&gt;0.5,"Democrat","Republican")</f>
        <v>Republican</v>
      </c>
    </row>
    <row r="46" customFormat="false" ht="15" hidden="false" customHeight="true" outlineLevel="0" collapsed="false">
      <c r="A46" s="8" t="s">
        <v>99</v>
      </c>
      <c r="B46" s="8" t="s">
        <v>81</v>
      </c>
      <c r="C46" s="12" t="n">
        <f aca="false">MAX(0, 2*'House Vote Data'!F168 - 'House Vote Data'!F166)</f>
        <v>11390</v>
      </c>
      <c r="D46" s="9" t="n">
        <f aca="false">MIN(1,MAX(0, 'House Vote Data'!G169 + VLOOKUP(A46,'Beta Coefficients'!$A:$C,3,FALSE())*(0.47727465291647-0.49496422142549) ))</f>
        <v>0.518905803616147</v>
      </c>
      <c r="E46" s="12" t="n">
        <f aca="false">ROUND(C46*D46,0)</f>
        <v>5910</v>
      </c>
      <c r="F46" s="12" t="n">
        <f aca="false">ROUND(C46*(1-D46),0)</f>
        <v>5480</v>
      </c>
      <c r="G46" s="8" t="str">
        <f aca="false">IF(D46&gt;0.5,"Democrat","Republican")</f>
        <v>Democrat</v>
      </c>
    </row>
    <row r="47" customFormat="false" ht="15" hidden="false" customHeight="true" outlineLevel="0" collapsed="false">
      <c r="A47" s="8" t="s">
        <v>100</v>
      </c>
      <c r="B47" s="8" t="s">
        <v>81</v>
      </c>
      <c r="C47" s="12" t="n">
        <f aca="false">MAX(0, 2*'House Vote Data'!F172 - 'House Vote Data'!F170)</f>
        <v>12900</v>
      </c>
      <c r="D47" s="9" t="n">
        <f aca="false">MIN(1,MAX(0, 'House Vote Data'!G173 + VLOOKUP(A47,'Beta Coefficients'!$A:$C,3,FALSE())*(0.47727465291647-0.49496422142549) ))</f>
        <v>0.504244309425308</v>
      </c>
      <c r="E47" s="12" t="n">
        <f aca="false">ROUND(C47*D47,0)</f>
        <v>6505</v>
      </c>
      <c r="F47" s="12" t="n">
        <f aca="false">ROUND(C47*(1-D47),0)</f>
        <v>6395</v>
      </c>
      <c r="G47" s="8" t="str">
        <f aca="false">IF(D47&gt;0.5,"Democrat","Republican")</f>
        <v>Democrat</v>
      </c>
    </row>
    <row r="48" customFormat="false" ht="15" hidden="false" customHeight="true" outlineLevel="0" collapsed="false">
      <c r="A48" s="8" t="s">
        <v>101</v>
      </c>
      <c r="B48" s="8" t="s">
        <v>81</v>
      </c>
      <c r="C48" s="12" t="n">
        <f aca="false">MAX(0, 2*'House Vote Data'!F176 - 'House Vote Data'!F174)</f>
        <v>5327</v>
      </c>
      <c r="D48" s="9" t="n">
        <f aca="false">MIN(1,MAX(0, 'House Vote Data'!G177 + VLOOKUP(A48,'Beta Coefficients'!$A:$C,3,FALSE())*(0.47727465291647-0.49496422142549) ))</f>
        <v>0.418641115793653</v>
      </c>
      <c r="E48" s="12" t="n">
        <f aca="false">ROUND(C48*D48,0)</f>
        <v>2230</v>
      </c>
      <c r="F48" s="12" t="n">
        <f aca="false">ROUND(C48*(1-D48),0)</f>
        <v>3097</v>
      </c>
      <c r="G48" s="8" t="str">
        <f aca="false">IF(D48&gt;0.5,"Democrat","Republican")</f>
        <v>Republican</v>
      </c>
    </row>
    <row r="49" customFormat="false" ht="15" hidden="false" customHeight="true" outlineLevel="0" collapsed="false">
      <c r="A49" s="8" t="s">
        <v>102</v>
      </c>
      <c r="B49" s="8" t="s">
        <v>81</v>
      </c>
      <c r="C49" s="12" t="n">
        <f aca="false">MAX(0, 2*'House Vote Data'!F180 - 'House Vote Data'!F178)</f>
        <v>10130</v>
      </c>
      <c r="D49" s="9" t="n">
        <f aca="false">MIN(1,MAX(0, 'House Vote Data'!G181 + VLOOKUP(A49,'Beta Coefficients'!$A:$C,3,FALSE())*(0.47727465291647-0.49496422142549) ))</f>
        <v>0.480453668244427</v>
      </c>
      <c r="E49" s="12" t="n">
        <f aca="false">ROUND(C49*D49,0)</f>
        <v>4867</v>
      </c>
      <c r="F49" s="12" t="n">
        <f aca="false">ROUND(C49*(1-D49),0)</f>
        <v>5263</v>
      </c>
      <c r="G49" s="8" t="str">
        <f aca="false">IF(D49&gt;0.5,"Democrat","Republican")</f>
        <v>Republican</v>
      </c>
    </row>
    <row r="50" customFormat="false" ht="15" hidden="false" customHeight="true" outlineLevel="0" collapsed="false">
      <c r="A50" s="8" t="s">
        <v>103</v>
      </c>
      <c r="B50" s="8" t="s">
        <v>81</v>
      </c>
      <c r="C50" s="12" t="n">
        <f aca="false">MAX(0, 2*'House Vote Data'!F184 - 'House Vote Data'!F182)</f>
        <v>3545</v>
      </c>
      <c r="D50" s="9" t="n">
        <f aca="false">MIN(1,MAX(0, 'House Vote Data'!G185 + VLOOKUP(A50,'Beta Coefficients'!$A:$C,3,FALSE())*(0.47727465291647-0.49496422142549) ))</f>
        <v>0.306162112977856</v>
      </c>
      <c r="E50" s="12" t="n">
        <f aca="false">ROUND(C50*D50,0)</f>
        <v>1085</v>
      </c>
      <c r="F50" s="12" t="n">
        <f aca="false">ROUND(C50*(1-D50),0)</f>
        <v>2460</v>
      </c>
      <c r="G50" s="8" t="str">
        <f aca="false">IF(D50&gt;0.5,"Democrat","Republican")</f>
        <v>Republican</v>
      </c>
    </row>
    <row r="51" customFormat="false" ht="15" hidden="false" customHeight="true" outlineLevel="0" collapsed="false">
      <c r="A51" s="8" t="s">
        <v>104</v>
      </c>
      <c r="B51" s="8" t="s">
        <v>81</v>
      </c>
      <c r="C51" s="12" t="n">
        <f aca="false">MAX(0, 2*'House Vote Data'!F188 - 'House Vote Data'!F186)</f>
        <v>3043</v>
      </c>
      <c r="D51" s="9" t="n">
        <f aca="false">MIN(1,MAX(0, 'House Vote Data'!G189 + VLOOKUP(A51,'Beta Coefficients'!$A:$C,3,FALSE())*(0.47727465291647-0.49496422142549) ))</f>
        <v>0.341965644290404</v>
      </c>
      <c r="E51" s="12" t="n">
        <f aca="false">ROUND(C51*D51,0)</f>
        <v>1041</v>
      </c>
      <c r="F51" s="12" t="n">
        <f aca="false">ROUND(C51*(1-D51),0)</f>
        <v>2002</v>
      </c>
      <c r="G51" s="8" t="str">
        <f aca="false">IF(D51&gt;0.5,"Democrat","Republican")</f>
        <v>Republican</v>
      </c>
    </row>
    <row r="52" customFormat="false" ht="15" hidden="false" customHeight="true" outlineLevel="0" collapsed="false">
      <c r="A52" s="8" t="s">
        <v>105</v>
      </c>
      <c r="B52" s="8" t="s">
        <v>81</v>
      </c>
      <c r="C52" s="12" t="n">
        <f aca="false">MAX(0, 2*'House Vote Data'!F192 - 'House Vote Data'!F190)</f>
        <v>11319</v>
      </c>
      <c r="D52" s="9" t="n">
        <f aca="false">MIN(1,MAX(0, 'House Vote Data'!G193 + VLOOKUP(A52,'Beta Coefficients'!$A:$C,3,FALSE())*(0.47727465291647-0.49496422142549) ))</f>
        <v>0.492051297295314</v>
      </c>
      <c r="E52" s="12" t="n">
        <f aca="false">ROUND(C52*D52,0)</f>
        <v>5570</v>
      </c>
      <c r="F52" s="12" t="n">
        <f aca="false">ROUND(C52*(1-D52),0)</f>
        <v>5749</v>
      </c>
      <c r="G52" s="8" t="str">
        <f aca="false">IF(D52&gt;0.5,"Democrat","Republican")</f>
        <v>Republican</v>
      </c>
    </row>
    <row r="53" customFormat="false" ht="15" hidden="false" customHeight="true" outlineLevel="0" collapsed="false">
      <c r="A53" s="8" t="s">
        <v>106</v>
      </c>
      <c r="B53" s="8" t="s">
        <v>107</v>
      </c>
      <c r="C53" s="12" t="n">
        <f aca="false">MAX(0, 2*'House Vote Data'!F196 - 'House Vote Data'!F194)</f>
        <v>1408</v>
      </c>
      <c r="D53" s="9" t="n">
        <f aca="false">MIN(1,MAX(0, 'House Vote Data'!G197 + VLOOKUP(A53,'Beta Coefficients'!$A:$C,3,FALSE())*(0.47727465291647-0.49496422142549) ))</f>
        <v>0.280406155880439</v>
      </c>
      <c r="E53" s="12" t="n">
        <f aca="false">ROUND(C53*D53,0)</f>
        <v>395</v>
      </c>
      <c r="F53" s="12" t="n">
        <f aca="false">ROUND(C53*(1-D53),0)</f>
        <v>1013</v>
      </c>
      <c r="G53" s="8" t="str">
        <f aca="false">IF(D53&gt;0.5,"Democrat","Republican")</f>
        <v>Republican</v>
      </c>
    </row>
    <row r="54" customFormat="false" ht="15" hidden="false" customHeight="true" outlineLevel="0" collapsed="false">
      <c r="A54" s="8" t="s">
        <v>108</v>
      </c>
      <c r="B54" s="8" t="s">
        <v>107</v>
      </c>
      <c r="C54" s="12" t="n">
        <f aca="false">MAX(0, 2*'House Vote Data'!F200 - 'House Vote Data'!F198)</f>
        <v>3530</v>
      </c>
      <c r="D54" s="9" t="n">
        <f aca="false">MIN(1,MAX(0, 'House Vote Data'!G201 + VLOOKUP(A54,'Beta Coefficients'!$A:$C,3,FALSE())*(0.47727465291647-0.49496422142549) ))</f>
        <v>0.299617644328641</v>
      </c>
      <c r="E54" s="12" t="n">
        <f aca="false">ROUND(C54*D54,0)</f>
        <v>1058</v>
      </c>
      <c r="F54" s="12" t="n">
        <f aca="false">ROUND(C54*(1-D54),0)</f>
        <v>2472</v>
      </c>
      <c r="G54" s="8" t="str">
        <f aca="false">IF(D54&gt;0.5,"Democrat","Republican")</f>
        <v>Republican</v>
      </c>
    </row>
    <row r="55" customFormat="false" ht="15" hidden="false" customHeight="true" outlineLevel="0" collapsed="false">
      <c r="A55" s="8" t="s">
        <v>109</v>
      </c>
      <c r="B55" s="8" t="s">
        <v>107</v>
      </c>
      <c r="C55" s="12" t="n">
        <f aca="false">MAX(0, 2*'House Vote Data'!F204 - 'House Vote Data'!F202)</f>
        <v>337</v>
      </c>
      <c r="D55" s="9" t="n">
        <f aca="false">MIN(1,MAX(0, 'House Vote Data'!G205 + VLOOKUP(A55,'Beta Coefficients'!$A:$C,3,FALSE())*(0.47727465291647-0.49496422142549) ))</f>
        <v>0.319464178792166</v>
      </c>
      <c r="E55" s="12" t="n">
        <f aca="false">ROUND(C55*D55,0)</f>
        <v>108</v>
      </c>
      <c r="F55" s="12" t="n">
        <f aca="false">ROUND(C55*(1-D55),0)</f>
        <v>229</v>
      </c>
      <c r="G55" s="8" t="str">
        <f aca="false">IF(D55&gt;0.5,"Democrat","Republican")</f>
        <v>Republican</v>
      </c>
    </row>
    <row r="56" customFormat="false" ht="15" hidden="false" customHeight="true" outlineLevel="0" collapsed="false">
      <c r="A56" s="8" t="s">
        <v>110</v>
      </c>
      <c r="B56" s="8" t="s">
        <v>111</v>
      </c>
      <c r="C56" s="12" t="n">
        <f aca="false">MAX(0, 2*'House Vote Data'!F208 - 'House Vote Data'!F206)</f>
        <v>3096</v>
      </c>
      <c r="D56" s="9" t="n">
        <f aca="false">MIN(1,MAX(0, 'House Vote Data'!G209 + VLOOKUP(A56,'Beta Coefficients'!$A:$C,3,FALSE())*(0.47727465291647-0.49496422142549) ))</f>
        <v>0.426981998957182</v>
      </c>
      <c r="E56" s="12" t="n">
        <f aca="false">ROUND(C56*D56,0)</f>
        <v>1322</v>
      </c>
      <c r="F56" s="12" t="n">
        <f aca="false">ROUND(C56*(1-D56),0)</f>
        <v>1774</v>
      </c>
      <c r="G56" s="8" t="str">
        <f aca="false">IF(D56&gt;0.5,"Democrat","Republican")</f>
        <v>Republican</v>
      </c>
    </row>
    <row r="57" customFormat="false" ht="15" hidden="false" customHeight="true" outlineLevel="0" collapsed="false">
      <c r="A57" s="8" t="s">
        <v>112</v>
      </c>
      <c r="B57" s="8" t="s">
        <v>111</v>
      </c>
      <c r="C57" s="12" t="n">
        <f aca="false">MAX(0, 2*'House Vote Data'!F212 - 'House Vote Data'!F210)</f>
        <v>1833</v>
      </c>
      <c r="D57" s="9" t="n">
        <f aca="false">MIN(1,MAX(0, 'House Vote Data'!G213 + VLOOKUP(A57,'Beta Coefficients'!$A:$C,3,FALSE())*(0.47727465291647-0.49496422142549) ))</f>
        <v>0.385443520370824</v>
      </c>
      <c r="E57" s="12" t="n">
        <f aca="false">ROUND(C57*D57,0)</f>
        <v>707</v>
      </c>
      <c r="F57" s="12" t="n">
        <f aca="false">ROUND(C57*(1-D57),0)</f>
        <v>1126</v>
      </c>
      <c r="G57" s="8" t="str">
        <f aca="false">IF(D57&gt;0.5,"Democrat","Republican")</f>
        <v>Republican</v>
      </c>
    </row>
    <row r="58" customFormat="false" ht="15" hidden="false" customHeight="true" outlineLevel="0" collapsed="false">
      <c r="A58" s="8" t="s">
        <v>113</v>
      </c>
      <c r="B58" s="8" t="s">
        <v>111</v>
      </c>
      <c r="C58" s="12" t="n">
        <f aca="false">MAX(0, 2*'House Vote Data'!F216 - 'House Vote Data'!F214)</f>
        <v>1132</v>
      </c>
      <c r="D58" s="9" t="n">
        <f aca="false">MIN(1,MAX(0, 'House Vote Data'!G217 + VLOOKUP(A58,'Beta Coefficients'!$A:$C,3,FALSE())*(0.47727465291647-0.49496422142549) ))</f>
        <v>0.454401892071511</v>
      </c>
      <c r="E58" s="12" t="n">
        <f aca="false">ROUND(C58*D58,0)</f>
        <v>514</v>
      </c>
      <c r="F58" s="12" t="n">
        <f aca="false">ROUND(C58*(1-D58),0)</f>
        <v>618</v>
      </c>
      <c r="G58" s="8" t="str">
        <f aca="false">IF(D58&gt;0.5,"Democrat","Republican")</f>
        <v>Republican</v>
      </c>
    </row>
    <row r="59" customFormat="false" ht="15" hidden="false" customHeight="true" outlineLevel="0" collapsed="false">
      <c r="A59" s="8" t="s">
        <v>83</v>
      </c>
      <c r="B59" s="8" t="s">
        <v>111</v>
      </c>
      <c r="C59" s="12" t="n">
        <f aca="false">MAX(0, 2*'House Vote Data'!F220 - 'House Vote Data'!F218)</f>
        <v>19136</v>
      </c>
      <c r="D59" s="9" t="n">
        <f aca="false">MIN(1,MAX(0, 'House Vote Data'!G221 + VLOOKUP(A59,'Beta Coefficients'!$A:$C,3,FALSE())*(0.47727465291647-0.49496422142549) ))</f>
        <v>0.649649582934038</v>
      </c>
      <c r="E59" s="12" t="n">
        <f aca="false">ROUND(C59*D59,0)</f>
        <v>12432</v>
      </c>
      <c r="F59" s="12" t="n">
        <f aca="false">ROUND(C59*(1-D59),0)</f>
        <v>6704</v>
      </c>
      <c r="G59" s="8" t="str">
        <f aca="false">IF(D59&gt;0.5,"Democrat","Republican")</f>
        <v>Democrat</v>
      </c>
    </row>
    <row r="60" customFormat="false" ht="15" hidden="false" customHeight="true" outlineLevel="0" collapsed="false">
      <c r="A60" s="8" t="s">
        <v>114</v>
      </c>
      <c r="B60" s="8" t="s">
        <v>111</v>
      </c>
      <c r="C60" s="12" t="n">
        <f aca="false">MAX(0, 2*'House Vote Data'!F224 - 'House Vote Data'!F222)</f>
        <v>14237</v>
      </c>
      <c r="D60" s="9" t="n">
        <f aca="false">MIN(1,MAX(0, 'House Vote Data'!G225 + VLOOKUP(A60,'Beta Coefficients'!$A:$C,3,FALSE())*(0.47727465291647-0.49496422142549) ))</f>
        <v>0.53042929528684</v>
      </c>
      <c r="E60" s="12" t="n">
        <f aca="false">ROUND(C60*D60,0)</f>
        <v>7552</v>
      </c>
      <c r="F60" s="12" t="n">
        <f aca="false">ROUND(C60*(1-D60),0)</f>
        <v>6685</v>
      </c>
      <c r="G60" s="8" t="str">
        <f aca="false">IF(D60&gt;0.5,"Democrat","Republican")</f>
        <v>Democrat</v>
      </c>
    </row>
    <row r="61" customFormat="false" ht="15" hidden="false" customHeight="true" outlineLevel="0" collapsed="false">
      <c r="A61" s="8" t="s">
        <v>115</v>
      </c>
      <c r="B61" s="8" t="s">
        <v>111</v>
      </c>
      <c r="C61" s="12" t="n">
        <f aca="false">MAX(0, 2*'House Vote Data'!F228 - 'House Vote Data'!F226)</f>
        <v>5285</v>
      </c>
      <c r="D61" s="9" t="n">
        <f aca="false">MIN(1,MAX(0, 'House Vote Data'!G229 + VLOOKUP(A61,'Beta Coefficients'!$A:$C,3,FALSE())*(0.47727465291647-0.49496422142549) ))</f>
        <v>0.379578141972636</v>
      </c>
      <c r="E61" s="12" t="n">
        <f aca="false">ROUND(C61*D61,0)</f>
        <v>2006</v>
      </c>
      <c r="F61" s="12" t="n">
        <f aca="false">ROUND(C61*(1-D61),0)</f>
        <v>3279</v>
      </c>
      <c r="G61" s="8" t="str">
        <f aca="false">IF(D61&gt;0.5,"Democrat","Republican")</f>
        <v>Republican</v>
      </c>
    </row>
    <row r="62" customFormat="false" ht="15" hidden="false" customHeight="true" outlineLevel="0" collapsed="false">
      <c r="A62" s="8" t="s">
        <v>116</v>
      </c>
      <c r="B62" s="8" t="s">
        <v>111</v>
      </c>
      <c r="C62" s="12" t="n">
        <f aca="false">MAX(0, 2*'House Vote Data'!F232 - 'House Vote Data'!F230)</f>
        <v>106</v>
      </c>
      <c r="D62" s="9" t="n">
        <f aca="false">MIN(1,MAX(0, 'House Vote Data'!G233 + VLOOKUP(A62,'Beta Coefficients'!$A:$C,3,FALSE())*(0.47727465291647-0.49496422142549) ))</f>
        <v>0.265705243456596</v>
      </c>
      <c r="E62" s="12" t="n">
        <f aca="false">ROUND(C62*D62,0)</f>
        <v>28</v>
      </c>
      <c r="F62" s="12" t="n">
        <f aca="false">ROUND(C62*(1-D62),0)</f>
        <v>78</v>
      </c>
      <c r="G62" s="8" t="str">
        <f aca="false">IF(D62&gt;0.5,"Democrat","Republican")</f>
        <v>Republican</v>
      </c>
    </row>
    <row r="63" customFormat="false" ht="15" hidden="false" customHeight="true" outlineLevel="0" collapsed="false">
      <c r="A63" s="8" t="s">
        <v>117</v>
      </c>
      <c r="B63" s="8" t="s">
        <v>111</v>
      </c>
      <c r="C63" s="12" t="n">
        <f aca="false">MAX(0, 2*'House Vote Data'!F236 - 'House Vote Data'!F234)</f>
        <v>3043</v>
      </c>
      <c r="D63" s="9" t="n">
        <f aca="false">MIN(1,MAX(0, 'House Vote Data'!G237 + VLOOKUP(A63,'Beta Coefficients'!$A:$C,3,FALSE())*(0.47727465291647-0.49496422142549) ))</f>
        <v>0.429177064680551</v>
      </c>
      <c r="E63" s="12" t="n">
        <f aca="false">ROUND(C63*D63,0)</f>
        <v>1306</v>
      </c>
      <c r="F63" s="12" t="n">
        <f aca="false">ROUND(C63*(1-D63),0)</f>
        <v>1737</v>
      </c>
      <c r="G63" s="8" t="str">
        <f aca="false">IF(D63&gt;0.5,"Democrat","Republican")</f>
        <v>Republican</v>
      </c>
    </row>
    <row r="64" customFormat="false" ht="15" hidden="false" customHeight="true" outlineLevel="0" collapsed="false">
      <c r="A64" s="8" t="s">
        <v>118</v>
      </c>
      <c r="B64" s="8" t="s">
        <v>111</v>
      </c>
      <c r="C64" s="12" t="n">
        <f aca="false">MAX(0, 2*'House Vote Data'!F240 - 'House Vote Data'!F238)</f>
        <v>369</v>
      </c>
      <c r="D64" s="9" t="n">
        <f aca="false">MIN(1,MAX(0, 'House Vote Data'!G241 + VLOOKUP(A64,'Beta Coefficients'!$A:$C,3,FALSE())*(0.47727465291647-0.49496422142549) ))</f>
        <v>0.405355799301752</v>
      </c>
      <c r="E64" s="12" t="n">
        <f aca="false">ROUND(C64*D64,0)</f>
        <v>150</v>
      </c>
      <c r="F64" s="12" t="n">
        <f aca="false">ROUND(C64*(1-D64),0)</f>
        <v>219</v>
      </c>
      <c r="G64" s="8" t="str">
        <f aca="false">IF(D64&gt;0.5,"Democrat","Republican")</f>
        <v>Republican</v>
      </c>
    </row>
    <row r="65" customFormat="false" ht="15" hidden="false" customHeight="true" outlineLevel="0" collapsed="false">
      <c r="A65" s="8" t="s">
        <v>119</v>
      </c>
      <c r="B65" s="8" t="s">
        <v>111</v>
      </c>
      <c r="C65" s="12" t="n">
        <f aca="false">MAX(0, 2*'House Vote Data'!F244 - 'House Vote Data'!F242)</f>
        <v>7544</v>
      </c>
      <c r="D65" s="9" t="n">
        <f aca="false">MIN(1,MAX(0, 'House Vote Data'!G245 + VLOOKUP(A65,'Beta Coefficients'!$A:$C,3,FALSE())*(0.47727465291647-0.49496422142549) ))</f>
        <v>0.668495301625982</v>
      </c>
      <c r="E65" s="12" t="n">
        <f aca="false">ROUND(C65*D65,0)</f>
        <v>5043</v>
      </c>
      <c r="F65" s="12" t="n">
        <f aca="false">ROUND(C65*(1-D65),0)</f>
        <v>2501</v>
      </c>
      <c r="G65" s="8" t="str">
        <f aca="false">IF(D65&gt;0.5,"Democrat","Republican")</f>
        <v>Democrat</v>
      </c>
    </row>
    <row r="66" customFormat="false" ht="15" hidden="false" customHeight="true" outlineLevel="0" collapsed="false">
      <c r="A66" s="8" t="s">
        <v>120</v>
      </c>
      <c r="B66" s="8" t="s">
        <v>111</v>
      </c>
      <c r="C66" s="12" t="n">
        <f aca="false">MAX(0, 2*'House Vote Data'!F248 - 'House Vote Data'!F246)</f>
        <v>9298</v>
      </c>
      <c r="D66" s="9" t="n">
        <f aca="false">MIN(1,MAX(0, 'House Vote Data'!G249 + VLOOKUP(A66,'Beta Coefficients'!$A:$C,3,FALSE())*(0.47727465291647-0.49496422142549) ))</f>
        <v>0.502817009676402</v>
      </c>
      <c r="E66" s="12" t="n">
        <f aca="false">ROUND(C66*D66,0)</f>
        <v>4675</v>
      </c>
      <c r="F66" s="12" t="n">
        <f aca="false">ROUND(C66*(1-D66),0)</f>
        <v>4623</v>
      </c>
      <c r="G66" s="8" t="str">
        <f aca="false">IF(D66&gt;0.5,"Democrat","Republican")</f>
        <v>Democrat</v>
      </c>
    </row>
    <row r="67" customFormat="false" ht="15" hidden="false" customHeight="true" outlineLevel="0" collapsed="false">
      <c r="A67" s="8" t="s">
        <v>121</v>
      </c>
      <c r="B67" s="8" t="s">
        <v>111</v>
      </c>
      <c r="C67" s="12" t="n">
        <f aca="false">MAX(0, 2*'House Vote Data'!F252 - 'House Vote Data'!F250)</f>
        <v>870</v>
      </c>
      <c r="D67" s="9" t="n">
        <f aca="false">MIN(1,MAX(0, 'House Vote Data'!G253 + VLOOKUP(A67,'Beta Coefficients'!$A:$C,3,FALSE())*(0.47727465291647-0.49496422142549) ))</f>
        <v>0.571831365580757</v>
      </c>
      <c r="E67" s="12" t="n">
        <f aca="false">ROUND(C67*D67,0)</f>
        <v>497</v>
      </c>
      <c r="F67" s="12" t="n">
        <f aca="false">ROUND(C67*(1-D67),0)</f>
        <v>373</v>
      </c>
      <c r="G67" s="8" t="str">
        <f aca="false">IF(D67&gt;0.5,"Democrat","Republican")</f>
        <v>Democrat</v>
      </c>
    </row>
    <row r="68" customFormat="false" ht="15" hidden="false" customHeight="true" outlineLevel="0" collapsed="false">
      <c r="A68" s="8" t="s">
        <v>122</v>
      </c>
      <c r="B68" s="8" t="s">
        <v>111</v>
      </c>
      <c r="C68" s="12" t="n">
        <f aca="false">MAX(0, 2*'House Vote Data'!F256 - 'House Vote Data'!F254)</f>
        <v>171</v>
      </c>
      <c r="D68" s="9" t="n">
        <f aca="false">MIN(1,MAX(0, 'House Vote Data'!G257 + VLOOKUP(A68,'Beta Coefficients'!$A:$C,3,FALSE())*(0.47727465291647-0.49496422142549) ))</f>
        <v>0.468105321660966</v>
      </c>
      <c r="E68" s="12" t="n">
        <f aca="false">ROUND(C68*D68,0)</f>
        <v>80</v>
      </c>
      <c r="F68" s="12" t="n">
        <f aca="false">ROUND(C68*(1-D68),0)</f>
        <v>91</v>
      </c>
      <c r="G68" s="8" t="str">
        <f aca="false">IF(D68&gt;0.5,"Democrat","Republican")</f>
        <v>Republican</v>
      </c>
    </row>
    <row r="69" customFormat="false" ht="15" hidden="false" customHeight="true" outlineLevel="0" collapsed="false">
      <c r="A69" s="8" t="s">
        <v>89</v>
      </c>
      <c r="B69" s="8" t="s">
        <v>111</v>
      </c>
      <c r="C69" s="12" t="n">
        <f aca="false">MAX(0, 2*'House Vote Data'!F260 - 'House Vote Data'!F258)</f>
        <v>7221</v>
      </c>
      <c r="D69" s="9" t="n">
        <f aca="false">MIN(1,MAX(0, 'House Vote Data'!G261 + VLOOKUP(A69,'Beta Coefficients'!$A:$C,3,FALSE())*(0.47727465291647-0.49496422142549) ))</f>
        <v>0.523819503224264</v>
      </c>
      <c r="E69" s="12" t="n">
        <f aca="false">ROUND(C69*D69,0)</f>
        <v>3783</v>
      </c>
      <c r="F69" s="12" t="n">
        <f aca="false">ROUND(C69*(1-D69),0)</f>
        <v>3438</v>
      </c>
      <c r="G69" s="8" t="str">
        <f aca="false">IF(D69&gt;0.5,"Democrat","Republican")</f>
        <v>Democrat</v>
      </c>
    </row>
    <row r="70" customFormat="false" ht="15" hidden="false" customHeight="true" outlineLevel="0" collapsed="false">
      <c r="A70" s="8" t="s">
        <v>123</v>
      </c>
      <c r="B70" s="8" t="s">
        <v>111</v>
      </c>
      <c r="C70" s="12" t="n">
        <f aca="false">MAX(0, 2*'House Vote Data'!F264 - 'House Vote Data'!F262)</f>
        <v>2934</v>
      </c>
      <c r="D70" s="9" t="n">
        <f aca="false">MIN(1,MAX(0, 'House Vote Data'!G265 + VLOOKUP(A70,'Beta Coefficients'!$A:$C,3,FALSE())*(0.47727465291647-0.49496422142549) ))</f>
        <v>0.478838923374685</v>
      </c>
      <c r="E70" s="12" t="n">
        <f aca="false">ROUND(C70*D70,0)</f>
        <v>1405</v>
      </c>
      <c r="F70" s="12" t="n">
        <f aca="false">ROUND(C70*(1-D70),0)</f>
        <v>1529</v>
      </c>
      <c r="G70" s="8" t="str">
        <f aca="false">IF(D70&gt;0.5,"Democrat","Republican")</f>
        <v>Republican</v>
      </c>
    </row>
    <row r="71" customFormat="false" ht="15" hidden="false" customHeight="true" outlineLevel="0" collapsed="false">
      <c r="A71" s="8" t="s">
        <v>81</v>
      </c>
      <c r="B71" s="8" t="s">
        <v>111</v>
      </c>
      <c r="C71" s="12" t="n">
        <f aca="false">MAX(0, 2*'House Vote Data'!F268 - 'House Vote Data'!F266)</f>
        <v>5961</v>
      </c>
      <c r="D71" s="9" t="n">
        <f aca="false">MIN(1,MAX(0, 'House Vote Data'!G269 + VLOOKUP(A71,'Beta Coefficients'!$A:$C,3,FALSE())*(0.47727465291647-0.49496422142549) ))</f>
        <v>0.322435463323681</v>
      </c>
      <c r="E71" s="12" t="n">
        <f aca="false">ROUND(C71*D71,0)</f>
        <v>1922</v>
      </c>
      <c r="F71" s="12" t="n">
        <f aca="false">ROUND(C71*(1-D71),0)</f>
        <v>4039</v>
      </c>
      <c r="G71" s="8" t="str">
        <f aca="false">IF(D71&gt;0.5,"Democrat","Republican")</f>
        <v>Republican</v>
      </c>
    </row>
    <row r="72" customFormat="false" ht="15" hidden="false" customHeight="true" outlineLevel="0" collapsed="false">
      <c r="A72" s="8" t="s">
        <v>124</v>
      </c>
      <c r="B72" s="8" t="s">
        <v>111</v>
      </c>
      <c r="C72" s="12" t="n">
        <f aca="false">MAX(0, 2*'House Vote Data'!F272 - 'House Vote Data'!F270)</f>
        <v>1648</v>
      </c>
      <c r="D72" s="9" t="n">
        <f aca="false">MIN(1,MAX(0, 'House Vote Data'!G273 + VLOOKUP(A72,'Beta Coefficients'!$A:$C,3,FALSE())*(0.47727465291647-0.49496422142549) ))</f>
        <v>0.304701525411166</v>
      </c>
      <c r="E72" s="12" t="n">
        <f aca="false">ROUND(C72*D72,0)</f>
        <v>502</v>
      </c>
      <c r="F72" s="12" t="n">
        <f aca="false">ROUND(C72*(1-D72),0)</f>
        <v>1146</v>
      </c>
      <c r="G72" s="8" t="str">
        <f aca="false">IF(D72&gt;0.5,"Democrat","Republican")</f>
        <v>Republican</v>
      </c>
    </row>
    <row r="73" customFormat="false" ht="15" hidden="false" customHeight="true" outlineLevel="0" collapsed="false">
      <c r="A73" s="8" t="s">
        <v>125</v>
      </c>
      <c r="B73" s="8" t="s">
        <v>111</v>
      </c>
      <c r="C73" s="12" t="n">
        <f aca="false">MAX(0, 2*'House Vote Data'!F276 - 'House Vote Data'!F274)</f>
        <v>4428</v>
      </c>
      <c r="D73" s="9" t="n">
        <f aca="false">MIN(1,MAX(0, 'House Vote Data'!G277 + VLOOKUP(A73,'Beta Coefficients'!$A:$C,3,FALSE())*(0.47727465291647-0.49496422142549) ))</f>
        <v>0.446968344212555</v>
      </c>
      <c r="E73" s="12" t="n">
        <f aca="false">ROUND(C73*D73,0)</f>
        <v>1979</v>
      </c>
      <c r="F73" s="12" t="n">
        <f aca="false">ROUND(C73*(1-D73),0)</f>
        <v>2449</v>
      </c>
      <c r="G73" s="8" t="str">
        <f aca="false">IF(D73&gt;0.5,"Democrat","Republican")</f>
        <v>Republican</v>
      </c>
    </row>
    <row r="74" customFormat="false" ht="15" hidden="false" customHeight="true" outlineLevel="0" collapsed="false">
      <c r="A74" s="8" t="s">
        <v>126</v>
      </c>
      <c r="B74" s="8" t="s">
        <v>111</v>
      </c>
      <c r="C74" s="12" t="n">
        <f aca="false">MAX(0, 2*'House Vote Data'!F280 - 'House Vote Data'!F278)</f>
        <v>6690</v>
      </c>
      <c r="D74" s="9" t="n">
        <f aca="false">MIN(1,MAX(0, 'House Vote Data'!G281 + VLOOKUP(A74,'Beta Coefficients'!$A:$C,3,FALSE())*(0.47727465291647-0.49496422142549) ))</f>
        <v>0.466527051759565</v>
      </c>
      <c r="E74" s="12" t="n">
        <f aca="false">ROUND(C74*D74,0)</f>
        <v>3121</v>
      </c>
      <c r="F74" s="12" t="n">
        <f aca="false">ROUND(C74*(1-D74),0)</f>
        <v>3569</v>
      </c>
      <c r="G74" s="8" t="str">
        <f aca="false">IF(D74&gt;0.5,"Democrat","Republican")</f>
        <v>Republican</v>
      </c>
    </row>
    <row r="75" customFormat="false" ht="15" hidden="false" customHeight="true" outlineLevel="0" collapsed="false">
      <c r="A75" s="8" t="s">
        <v>127</v>
      </c>
      <c r="B75" s="8" t="s">
        <v>111</v>
      </c>
      <c r="C75" s="12" t="n">
        <f aca="false">MAX(0, 2*'House Vote Data'!F284 - 'House Vote Data'!F282)</f>
        <v>5588</v>
      </c>
      <c r="D75" s="9" t="n">
        <f aca="false">MIN(1,MAX(0, 'House Vote Data'!G285 + VLOOKUP(A75,'Beta Coefficients'!$A:$C,3,FALSE())*(0.47727465291647-0.49496422142549) ))</f>
        <v>0.317867619311658</v>
      </c>
      <c r="E75" s="12" t="n">
        <f aca="false">ROUND(C75*D75,0)</f>
        <v>1776</v>
      </c>
      <c r="F75" s="12" t="n">
        <f aca="false">ROUND(C75*(1-D75),0)</f>
        <v>3812</v>
      </c>
      <c r="G75" s="8" t="str">
        <f aca="false">IF(D75&gt;0.5,"Democrat","Republican")</f>
        <v>Republican</v>
      </c>
    </row>
    <row r="76" customFormat="false" ht="15" hidden="false" customHeight="true" outlineLevel="0" collapsed="false">
      <c r="A76" s="8" t="s">
        <v>128</v>
      </c>
      <c r="B76" s="8" t="s">
        <v>111</v>
      </c>
      <c r="C76" s="12" t="n">
        <f aca="false">MAX(0, 2*'House Vote Data'!F288 - 'House Vote Data'!F286)</f>
        <v>2794</v>
      </c>
      <c r="D76" s="9" t="n">
        <f aca="false">MIN(1,MAX(0, 'House Vote Data'!G289 + VLOOKUP(A76,'Beta Coefficients'!$A:$C,3,FALSE())*(0.47727465291647-0.49496422142549) ))</f>
        <v>0.467360363798095</v>
      </c>
      <c r="E76" s="12" t="n">
        <f aca="false">ROUND(C76*D76,0)</f>
        <v>1306</v>
      </c>
      <c r="F76" s="12" t="n">
        <f aca="false">ROUND(C76*(1-D76),0)</f>
        <v>1488</v>
      </c>
      <c r="G76" s="8" t="str">
        <f aca="false">IF(D76&gt;0.5,"Democrat","Republican")</f>
        <v>Republican</v>
      </c>
    </row>
    <row r="77" customFormat="false" ht="15" hidden="false" customHeight="true" outlineLevel="0" collapsed="false">
      <c r="A77" s="8" t="s">
        <v>129</v>
      </c>
      <c r="B77" s="8" t="s">
        <v>111</v>
      </c>
      <c r="C77" s="12" t="n">
        <f aca="false">MAX(0, 2*'House Vote Data'!F292 - 'House Vote Data'!F290)</f>
        <v>1499</v>
      </c>
      <c r="D77" s="9" t="n">
        <f aca="false">MIN(1,MAX(0, 'House Vote Data'!G293 + VLOOKUP(A77,'Beta Coefficients'!$A:$C,3,FALSE())*(0.47727465291647-0.49496422142549) ))</f>
        <v>0.47334577464528</v>
      </c>
      <c r="E77" s="12" t="n">
        <f aca="false">ROUND(C77*D77,0)</f>
        <v>710</v>
      </c>
      <c r="F77" s="12" t="n">
        <f aca="false">ROUND(C77*(1-D77),0)</f>
        <v>789</v>
      </c>
      <c r="G77" s="8" t="str">
        <f aca="false">IF(D77&gt;0.5,"Democrat","Republican")</f>
        <v>Republican</v>
      </c>
    </row>
    <row r="78" customFormat="false" ht="15" hidden="false" customHeight="true" outlineLevel="0" collapsed="false">
      <c r="A78" s="8" t="s">
        <v>111</v>
      </c>
      <c r="B78" s="8" t="s">
        <v>111</v>
      </c>
      <c r="C78" s="12" t="n">
        <f aca="false">MAX(0, 2*'House Vote Data'!F296 - 'House Vote Data'!F294)</f>
        <v>4570</v>
      </c>
      <c r="D78" s="9" t="n">
        <f aca="false">MIN(1,MAX(0, 'House Vote Data'!G297 + VLOOKUP(A78,'Beta Coefficients'!$A:$C,3,FALSE())*(0.47727465291647-0.49496422142549) ))</f>
        <v>0.435908488573811</v>
      </c>
      <c r="E78" s="12" t="n">
        <f aca="false">ROUND(C78*D78,0)</f>
        <v>1992</v>
      </c>
      <c r="F78" s="12" t="n">
        <f aca="false">ROUND(C78*(1-D78),0)</f>
        <v>2578</v>
      </c>
      <c r="G78" s="8" t="str">
        <f aca="false">IF(D78&gt;0.5,"Democrat","Republican")</f>
        <v>Republican</v>
      </c>
    </row>
    <row r="79" customFormat="false" ht="15" hidden="false" customHeight="true" outlineLevel="0" collapsed="false">
      <c r="A79" s="8" t="s">
        <v>130</v>
      </c>
      <c r="B79" s="8" t="s">
        <v>111</v>
      </c>
      <c r="C79" s="12" t="n">
        <f aca="false">MAX(0, 2*'House Vote Data'!F300 - 'House Vote Data'!F298)</f>
        <v>11727</v>
      </c>
      <c r="D79" s="9" t="n">
        <f aca="false">MIN(1,MAX(0, 'House Vote Data'!G301 + VLOOKUP(A79,'Beta Coefficients'!$A:$C,3,FALSE())*(0.47727465291647-0.49496422142549) ))</f>
        <v>0.492525104713837</v>
      </c>
      <c r="E79" s="12" t="n">
        <f aca="false">ROUND(C79*D79,0)</f>
        <v>5776</v>
      </c>
      <c r="F79" s="12" t="n">
        <f aca="false">ROUND(C79*(1-D79),0)</f>
        <v>5951</v>
      </c>
      <c r="G79" s="8" t="str">
        <f aca="false">IF(D79&gt;0.5,"Democrat","Republican")</f>
        <v>Republican</v>
      </c>
    </row>
    <row r="80" customFormat="false" ht="15" hidden="false" customHeight="true" outlineLevel="0" collapsed="false">
      <c r="A80" s="8" t="s">
        <v>131</v>
      </c>
      <c r="B80" s="8" t="s">
        <v>111</v>
      </c>
      <c r="C80" s="12" t="n">
        <f aca="false">MAX(0, 2*'House Vote Data'!F304 - 'House Vote Data'!F302)</f>
        <v>1409</v>
      </c>
      <c r="D80" s="9" t="n">
        <f aca="false">MIN(1,MAX(0, 'House Vote Data'!G305 + VLOOKUP(A80,'Beta Coefficients'!$A:$C,3,FALSE())*(0.47727465291647-0.49496422142549) ))</f>
        <v>0.356332740080723</v>
      </c>
      <c r="E80" s="12" t="n">
        <f aca="false">ROUND(C80*D80,0)</f>
        <v>502</v>
      </c>
      <c r="F80" s="12" t="n">
        <f aca="false">ROUND(C80*(1-D80),0)</f>
        <v>907</v>
      </c>
      <c r="G80" s="8" t="str">
        <f aca="false">IF(D80&gt;0.5,"Democrat","Republican")</f>
        <v>Republican</v>
      </c>
    </row>
    <row r="81" customFormat="false" ht="15" hidden="false" customHeight="true" outlineLevel="0" collapsed="false">
      <c r="A81" s="8" t="s">
        <v>132</v>
      </c>
      <c r="B81" s="8" t="s">
        <v>111</v>
      </c>
      <c r="C81" s="12" t="n">
        <f aca="false">MAX(0, 2*'House Vote Data'!F308 - 'House Vote Data'!F306)</f>
        <v>3601</v>
      </c>
      <c r="D81" s="9" t="n">
        <f aca="false">MIN(1,MAX(0, 'House Vote Data'!G309 + VLOOKUP(A81,'Beta Coefficients'!$A:$C,3,FALSE())*(0.47727465291647-0.49496422142549) ))</f>
        <v>0.324003435201773</v>
      </c>
      <c r="E81" s="12" t="n">
        <f aca="false">ROUND(C81*D81,0)</f>
        <v>1167</v>
      </c>
      <c r="F81" s="12" t="n">
        <f aca="false">ROUND(C81*(1-D81),0)</f>
        <v>2434</v>
      </c>
      <c r="G81" s="8" t="str">
        <f aca="false">IF(D81&gt;0.5,"Democrat","Republican")</f>
        <v>Republican</v>
      </c>
    </row>
    <row r="82" customFormat="false" ht="15" hidden="false" customHeight="true" outlineLevel="0" collapsed="false">
      <c r="A82" s="8" t="s">
        <v>133</v>
      </c>
      <c r="B82" s="8" t="s">
        <v>111</v>
      </c>
      <c r="C82" s="12" t="n">
        <f aca="false">MAX(0, 2*'House Vote Data'!F312 - 'House Vote Data'!F310)</f>
        <v>222</v>
      </c>
      <c r="D82" s="9" t="n">
        <f aca="false">MIN(1,MAX(0, 'House Vote Data'!G313 + VLOOKUP(A82,'Beta Coefficients'!$A:$C,3,FALSE())*(0.47727465291647-0.49496422142549) ))</f>
        <v>0.340132384368471</v>
      </c>
      <c r="E82" s="12" t="n">
        <f aca="false">ROUND(C82*D82,0)</f>
        <v>76</v>
      </c>
      <c r="F82" s="12" t="n">
        <f aca="false">ROUND(C82*(1-D82),0)</f>
        <v>146</v>
      </c>
      <c r="G82" s="8" t="str">
        <f aca="false">IF(D82&gt;0.5,"Democrat","Republican")</f>
        <v>Republican</v>
      </c>
    </row>
    <row r="83" customFormat="false" ht="15" hidden="false" customHeight="true" outlineLevel="0" collapsed="false">
      <c r="A83" s="8" t="s">
        <v>134</v>
      </c>
      <c r="B83" s="8" t="s">
        <v>111</v>
      </c>
      <c r="C83" s="12" t="n">
        <f aca="false">MAX(0, 2*'House Vote Data'!F316 - 'House Vote Data'!F314)</f>
        <v>774</v>
      </c>
      <c r="D83" s="9" t="n">
        <f aca="false">MIN(1,MAX(0, 'House Vote Data'!G317 + VLOOKUP(A83,'Beta Coefficients'!$A:$C,3,FALSE())*(0.47727465291647-0.49496422142549) ))</f>
        <v>0.34031172805094</v>
      </c>
      <c r="E83" s="12" t="n">
        <f aca="false">ROUND(C83*D83,0)</f>
        <v>263</v>
      </c>
      <c r="F83" s="12" t="n">
        <f aca="false">ROUND(C83*(1-D83),0)</f>
        <v>511</v>
      </c>
      <c r="G83" s="8" t="str">
        <f aca="false">IF(D83&gt;0.5,"Democrat","Republican")</f>
        <v>Republican</v>
      </c>
    </row>
    <row r="84" customFormat="false" ht="15" hidden="false" customHeight="true" outlineLevel="0" collapsed="false">
      <c r="A84" s="8" t="s">
        <v>135</v>
      </c>
      <c r="B84" s="8" t="s">
        <v>111</v>
      </c>
      <c r="C84" s="12" t="n">
        <f aca="false">MAX(0, 2*'House Vote Data'!F320 - 'House Vote Data'!F318)</f>
        <v>460</v>
      </c>
      <c r="D84" s="9" t="n">
        <f aca="false">MIN(1,MAX(0, 'House Vote Data'!G321 + VLOOKUP(A84,'Beta Coefficients'!$A:$C,3,FALSE())*(0.47727465291647-0.49496422142549) ))</f>
        <v>0.383068336281139</v>
      </c>
      <c r="E84" s="12" t="n">
        <f aca="false">ROUND(C84*D84,0)</f>
        <v>176</v>
      </c>
      <c r="F84" s="12" t="n">
        <f aca="false">ROUND(C84*(1-D84),0)</f>
        <v>284</v>
      </c>
      <c r="G84" s="8" t="str">
        <f aca="false">IF(D84&gt;0.5,"Democrat","Republican")</f>
        <v>Republican</v>
      </c>
    </row>
    <row r="85" customFormat="false" ht="15" hidden="false" customHeight="true" outlineLevel="0" collapsed="false">
      <c r="A85" s="8" t="s">
        <v>136</v>
      </c>
      <c r="B85" s="8" t="s">
        <v>111</v>
      </c>
      <c r="C85" s="12" t="n">
        <f aca="false">MAX(0, 2*'House Vote Data'!F324 - 'House Vote Data'!F322)</f>
        <v>677</v>
      </c>
      <c r="D85" s="9" t="n">
        <f aca="false">MIN(1,MAX(0, 'House Vote Data'!G325 + VLOOKUP(A85,'Beta Coefficients'!$A:$C,3,FALSE())*(0.47727465291647-0.49496422142549) ))</f>
        <v>0.410347805980856</v>
      </c>
      <c r="E85" s="12" t="n">
        <f aca="false">ROUND(C85*D85,0)</f>
        <v>278</v>
      </c>
      <c r="F85" s="12" t="n">
        <f aca="false">ROUND(C85*(1-D85),0)</f>
        <v>399</v>
      </c>
      <c r="G85" s="8" t="str">
        <f aca="false">IF(D85&gt;0.5,"Democrat","Republican")</f>
        <v>Republican</v>
      </c>
    </row>
    <row r="86" customFormat="false" ht="15" hidden="false" customHeight="true" outlineLevel="0" collapsed="false">
      <c r="A86" s="8" t="s">
        <v>137</v>
      </c>
      <c r="B86" s="8" t="s">
        <v>111</v>
      </c>
      <c r="C86" s="12" t="n">
        <f aca="false">MAX(0, 2*'House Vote Data'!F328 - 'House Vote Data'!F326)</f>
        <v>3574</v>
      </c>
      <c r="D86" s="9" t="n">
        <f aca="false">MIN(1,MAX(0, 'House Vote Data'!G329 + VLOOKUP(A86,'Beta Coefficients'!$A:$C,3,FALSE())*(0.47727465291647-0.49496422142549) ))</f>
        <v>0.292129199509422</v>
      </c>
      <c r="E86" s="12" t="n">
        <f aca="false">ROUND(C86*D86,0)</f>
        <v>1044</v>
      </c>
      <c r="F86" s="12" t="n">
        <f aca="false">ROUND(C86*(1-D86),0)</f>
        <v>2530</v>
      </c>
      <c r="G86" s="8" t="str">
        <f aca="false">IF(D86&gt;0.5,"Democrat","Republican")</f>
        <v>Republican</v>
      </c>
    </row>
    <row r="87" customFormat="false" ht="15" hidden="false" customHeight="true" outlineLevel="0" collapsed="false">
      <c r="A87" s="8" t="s">
        <v>138</v>
      </c>
      <c r="B87" s="8" t="s">
        <v>111</v>
      </c>
      <c r="C87" s="12" t="n">
        <f aca="false">MAX(0, 2*'House Vote Data'!F332 - 'House Vote Data'!F330)</f>
        <v>3803</v>
      </c>
      <c r="D87" s="9" t="n">
        <f aca="false">MIN(1,MAX(0, 'House Vote Data'!G333 + VLOOKUP(A87,'Beta Coefficients'!$A:$C,3,FALSE())*(0.47727465291647-0.49496422142549) ))</f>
        <v>0.464269782359475</v>
      </c>
      <c r="E87" s="12" t="n">
        <f aca="false">ROUND(C87*D87,0)</f>
        <v>1766</v>
      </c>
      <c r="F87" s="12" t="n">
        <f aca="false">ROUND(C87*(1-D87),0)</f>
        <v>2037</v>
      </c>
      <c r="G87" s="8" t="str">
        <f aca="false">IF(D87&gt;0.5,"Democrat","Republican")</f>
        <v>Republican</v>
      </c>
    </row>
    <row r="88" customFormat="false" ht="15" hidden="false" customHeight="true" outlineLevel="0" collapsed="false">
      <c r="A88" s="8" t="s">
        <v>139</v>
      </c>
      <c r="B88" s="8" t="s">
        <v>111</v>
      </c>
      <c r="C88" s="12" t="n">
        <f aca="false">MAX(0, 2*'House Vote Data'!F336 - 'House Vote Data'!F334)</f>
        <v>854</v>
      </c>
      <c r="D88" s="9" t="n">
        <f aca="false">MIN(1,MAX(0, 'House Vote Data'!G337 + VLOOKUP(A88,'Beta Coefficients'!$A:$C,3,FALSE())*(0.47727465291647-0.49496422142549) ))</f>
        <v>0.370569819756667</v>
      </c>
      <c r="E88" s="12" t="n">
        <f aca="false">ROUND(C88*D88,0)</f>
        <v>316</v>
      </c>
      <c r="F88" s="12" t="n">
        <f aca="false">ROUND(C88*(1-D88),0)</f>
        <v>538</v>
      </c>
      <c r="G88" s="8" t="str">
        <f aca="false">IF(D88&gt;0.5,"Democrat","Republican")</f>
        <v>Republican</v>
      </c>
    </row>
    <row r="89" customFormat="false" ht="15" hidden="false" customHeight="true" outlineLevel="0" collapsed="false">
      <c r="A89" s="8" t="s">
        <v>103</v>
      </c>
      <c r="B89" s="8" t="s">
        <v>111</v>
      </c>
      <c r="C89" s="12" t="n">
        <f aca="false">MAX(0, 2*'House Vote Data'!F340 - 'House Vote Data'!F338)</f>
        <v>2884</v>
      </c>
      <c r="D89" s="9" t="n">
        <f aca="false">MIN(1,MAX(0, 'House Vote Data'!G341 + VLOOKUP(A89,'Beta Coefficients'!$A:$C,3,FALSE())*(0.47727465291647-0.49496422142549) ))</f>
        <v>0.31712818314248</v>
      </c>
      <c r="E89" s="12" t="n">
        <f aca="false">ROUND(C89*D89,0)</f>
        <v>915</v>
      </c>
      <c r="F89" s="12" t="n">
        <f aca="false">ROUND(C89*(1-D89),0)</f>
        <v>1969</v>
      </c>
      <c r="G89" s="8" t="str">
        <f aca="false">IF(D89&gt;0.5,"Democrat","Republican")</f>
        <v>Republican</v>
      </c>
    </row>
    <row r="90" customFormat="false" ht="15" hidden="false" customHeight="true" outlineLevel="0" collapsed="false">
      <c r="A90" s="8" t="s">
        <v>140</v>
      </c>
      <c r="B90" s="8" t="s">
        <v>111</v>
      </c>
      <c r="C90" s="12" t="n">
        <f aca="false">MAX(0, 2*'House Vote Data'!F344 - 'House Vote Data'!F342)</f>
        <v>473</v>
      </c>
      <c r="D90" s="9" t="n">
        <f aca="false">MIN(1,MAX(0, 'House Vote Data'!G345 + VLOOKUP(A90,'Beta Coefficients'!$A:$C,3,FALSE())*(0.47727465291647-0.49496422142549) ))</f>
        <v>0.438058860854933</v>
      </c>
      <c r="E90" s="12" t="n">
        <f aca="false">ROUND(C90*D90,0)</f>
        <v>207</v>
      </c>
      <c r="F90" s="12" t="n">
        <f aca="false">ROUND(C90*(1-D90),0)</f>
        <v>266</v>
      </c>
      <c r="G90" s="8" t="str">
        <f aca="false">IF(D90&gt;0.5,"Democrat","Republican")</f>
        <v>Republican</v>
      </c>
    </row>
    <row r="91" customFormat="false" ht="15" hidden="false" customHeight="true" outlineLevel="0" collapsed="false">
      <c r="A91" s="8" t="s">
        <v>141</v>
      </c>
      <c r="B91" s="8" t="s">
        <v>111</v>
      </c>
      <c r="C91" s="12" t="n">
        <f aca="false">MAX(0, 2*'House Vote Data'!F348 - 'House Vote Data'!F346)</f>
        <v>3802</v>
      </c>
      <c r="D91" s="9" t="n">
        <f aca="false">MIN(1,MAX(0, 'House Vote Data'!G349 + VLOOKUP(A91,'Beta Coefficients'!$A:$C,3,FALSE())*(0.47727465291647-0.49496422142549) ))</f>
        <v>0.422021375906936</v>
      </c>
      <c r="E91" s="12" t="n">
        <f aca="false">ROUND(C91*D91,0)</f>
        <v>1605</v>
      </c>
      <c r="F91" s="12" t="n">
        <f aca="false">ROUND(C91*(1-D91),0)</f>
        <v>2197</v>
      </c>
      <c r="G91" s="8" t="str">
        <f aca="false">IF(D91&gt;0.5,"Democrat","Republican")</f>
        <v>Republican</v>
      </c>
    </row>
    <row r="92" customFormat="false" ht="15" hidden="false" customHeight="true" outlineLevel="0" collapsed="false">
      <c r="A92" s="8" t="s">
        <v>142</v>
      </c>
      <c r="B92" s="8" t="s">
        <v>111</v>
      </c>
      <c r="C92" s="12" t="n">
        <f aca="false">MAX(0, 2*'House Vote Data'!F352 - 'House Vote Data'!F350)</f>
        <v>2529</v>
      </c>
      <c r="D92" s="9" t="n">
        <f aca="false">MIN(1,MAX(0, 'House Vote Data'!G353 + VLOOKUP(A92,'Beta Coefficients'!$A:$C,3,FALSE())*(0.47727465291647-0.49496422142549) ))</f>
        <v>0.527609533748458</v>
      </c>
      <c r="E92" s="12" t="n">
        <f aca="false">ROUND(C92*D92,0)</f>
        <v>1334</v>
      </c>
      <c r="F92" s="12" t="n">
        <f aca="false">ROUND(C92*(1-D92),0)</f>
        <v>1195</v>
      </c>
      <c r="G92" s="8" t="str">
        <f aca="false">IF(D92&gt;0.5,"Democrat","Republican")</f>
        <v>Democrat</v>
      </c>
    </row>
    <row r="93" customFormat="false" ht="15" hidden="false" customHeight="true" outlineLevel="0" collapsed="false">
      <c r="A93" s="8" t="s">
        <v>143</v>
      </c>
      <c r="B93" s="8" t="s">
        <v>111</v>
      </c>
      <c r="C93" s="12" t="n">
        <f aca="false">MAX(0, 2*'House Vote Data'!F356 - 'House Vote Data'!F354)</f>
        <v>1391</v>
      </c>
      <c r="D93" s="9" t="n">
        <f aca="false">MIN(1,MAX(0, 'House Vote Data'!G357 + VLOOKUP(A93,'Beta Coefficients'!$A:$C,3,FALSE())*(0.47727465291647-0.49496422142549) ))</f>
        <v>0.404378631326402</v>
      </c>
      <c r="E93" s="12" t="n">
        <f aca="false">ROUND(C93*D93,0)</f>
        <v>562</v>
      </c>
      <c r="F93" s="12" t="n">
        <f aca="false">ROUND(C93*(1-D93),0)</f>
        <v>829</v>
      </c>
      <c r="G93" s="8" t="str">
        <f aca="false">IF(D93&gt;0.5,"Democrat","Republican")</f>
        <v>Republican</v>
      </c>
    </row>
    <row r="95" customFormat="false" ht="15" hidden="false" customHeight="true" outlineLevel="0" collapsed="false">
      <c r="A95" s="7" t="s">
        <v>222</v>
      </c>
      <c r="E95" s="20" t="n">
        <f aca="false">SUM(E5:E93)</f>
        <v>154545</v>
      </c>
      <c r="F95" s="20" t="n">
        <f aca="false">SUM(F5:F93)</f>
        <v>175923</v>
      </c>
    </row>
    <row r="96" customFormat="false" ht="15" hidden="false" customHeight="true" outlineLevel="0" collapsed="false">
      <c r="A96" s="7" t="s">
        <v>223</v>
      </c>
      <c r="B96" s="21" t="n">
        <f aca="false">E95/(E95+F95)</f>
        <v>0.467654962053815</v>
      </c>
    </row>
    <row r="97" customFormat="false" ht="15" hidden="false" customHeight="true" outlineLevel="0" collapsed="false">
      <c r="A97" s="7" t="s">
        <v>224</v>
      </c>
      <c r="B97" s="22" t="str">
        <f aca="false">IF(B96&gt;0.5,"Democrat","Republican")</f>
        <v>Republican</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4"/>
    <col collapsed="false" customWidth="true" hidden="false" outlineLevel="0" max="3" min="3" style="1" width="18"/>
    <col collapsed="false" customWidth="true" hidden="false" outlineLevel="0" max="6" min="4" style="1" width="16"/>
    <col collapsed="false" customWidth="true" hidden="false" outlineLevel="0" max="7" min="7" style="1" width="14"/>
  </cols>
  <sheetData>
    <row r="1" customFormat="false" ht="15.75" hidden="false" customHeight="true" outlineLevel="0" collapsed="false">
      <c r="A1" s="10" t="s">
        <v>227</v>
      </c>
      <c r="B1" s="10"/>
      <c r="C1" s="10"/>
      <c r="D1" s="10"/>
      <c r="E1" s="10"/>
      <c r="F1" s="10"/>
      <c r="G1" s="10"/>
    </row>
    <row r="2" customFormat="false" ht="30" hidden="false" customHeight="true" outlineLevel="0" collapsed="false">
      <c r="A2" s="23" t="s">
        <v>228</v>
      </c>
      <c r="B2" s="23"/>
      <c r="C2" s="23"/>
      <c r="D2" s="23"/>
      <c r="E2" s="23"/>
      <c r="F2" s="23"/>
      <c r="G2" s="23"/>
    </row>
    <row r="4" customFormat="false" ht="15" hidden="false" customHeight="true" outlineLevel="0" collapsed="false">
      <c r="A4" s="7" t="s">
        <v>45</v>
      </c>
      <c r="B4" s="7" t="s">
        <v>46</v>
      </c>
      <c r="C4" s="7" t="s">
        <v>217</v>
      </c>
      <c r="D4" s="7" t="s">
        <v>218</v>
      </c>
      <c r="E4" s="7" t="s">
        <v>219</v>
      </c>
      <c r="F4" s="7" t="s">
        <v>220</v>
      </c>
      <c r="G4" s="7" t="s">
        <v>221</v>
      </c>
    </row>
    <row r="5" customFormat="false" ht="15" hidden="false" customHeight="true" outlineLevel="0" collapsed="false">
      <c r="A5" s="8" t="s">
        <v>56</v>
      </c>
      <c r="B5" s="8" t="s">
        <v>57</v>
      </c>
      <c r="C5" s="12" t="n">
        <f aca="false">MAX(0, 2*'House Vote Data'!F4 - 'House Vote Data'!F2)</f>
        <v>391</v>
      </c>
      <c r="D5" s="9" t="n">
        <f aca="false">MIN(1,MAX(0,(9.61305205058266+0.0975170284451048*'Registration &amp; ACS Data'!D5*100+10.5394333816381*'Registration &amp; ACS Data'!E5+(-4.68820196176703)*0+0.76741697617948*('House Vote Data'!G5*100))/100))</f>
        <v>0.40803848631336</v>
      </c>
      <c r="E5" s="12" t="n">
        <f aca="false">ROUND(C5*D5,0)</f>
        <v>160</v>
      </c>
      <c r="F5" s="12" t="n">
        <f aca="false">ROUND(C5*(1-D5),0)</f>
        <v>231</v>
      </c>
      <c r="G5" s="8" t="str">
        <f aca="false">IF(D5&gt;0.5,"Democrat","Republican")</f>
        <v>Republican</v>
      </c>
    </row>
    <row r="6" customFormat="false" ht="15" hidden="false" customHeight="true" outlineLevel="0" collapsed="false">
      <c r="A6" s="8" t="s">
        <v>58</v>
      </c>
      <c r="B6" s="8" t="s">
        <v>57</v>
      </c>
      <c r="C6" s="12" t="n">
        <f aca="false">MAX(0, 2*'House Vote Data'!F8 - 'House Vote Data'!F6)</f>
        <v>341</v>
      </c>
      <c r="D6" s="9" t="n">
        <f aca="false">MIN(1,MAX(0,(9.61305205058266+0.0975170284451048*'Registration &amp; ACS Data'!D9*100+10.5394333816381*'Registration &amp; ACS Data'!E9+(-4.68820196176703)*0+0.76741697617948*('House Vote Data'!G9*100))/100))</f>
        <v>0.30210975341383</v>
      </c>
      <c r="E6" s="12" t="n">
        <f aca="false">ROUND(C6*D6,0)</f>
        <v>103</v>
      </c>
      <c r="F6" s="12" t="n">
        <f aca="false">ROUND(C6*(1-D6),0)</f>
        <v>238</v>
      </c>
      <c r="G6" s="8" t="str">
        <f aca="false">IF(D6&gt;0.5,"Democrat","Republican")</f>
        <v>Republican</v>
      </c>
    </row>
    <row r="7" customFormat="false" ht="15" hidden="false" customHeight="true" outlineLevel="0" collapsed="false">
      <c r="A7" s="8" t="s">
        <v>59</v>
      </c>
      <c r="B7" s="8" t="s">
        <v>57</v>
      </c>
      <c r="C7" s="12" t="n">
        <f aca="false">MAX(0, 2*'House Vote Data'!F12 - 'House Vote Data'!F10)</f>
        <v>411</v>
      </c>
      <c r="D7" s="9" t="n">
        <f aca="false">MIN(1,MAX(0,(9.61305205058266+0.0975170284451048*'Registration &amp; ACS Data'!D13*100+10.5394333816381*'Registration &amp; ACS Data'!E13+(-4.68820196176703)*0+0.76741697617948*('House Vote Data'!G13*100))/100))</f>
        <v>0.346492756803611</v>
      </c>
      <c r="E7" s="12" t="n">
        <f aca="false">ROUND(C7*D7,0)</f>
        <v>142</v>
      </c>
      <c r="F7" s="12" t="n">
        <f aca="false">ROUND(C7*(1-D7),0)</f>
        <v>269</v>
      </c>
      <c r="G7" s="8" t="str">
        <f aca="false">IF(D7&gt;0.5,"Democrat","Republican")</f>
        <v>Republican</v>
      </c>
    </row>
    <row r="8" customFormat="false" ht="15" hidden="false" customHeight="true" outlineLevel="0" collapsed="false">
      <c r="A8" s="8" t="s">
        <v>60</v>
      </c>
      <c r="B8" s="8" t="s">
        <v>57</v>
      </c>
      <c r="C8" s="12" t="n">
        <f aca="false">MAX(0, 2*'House Vote Data'!F16 - 'House Vote Data'!F14)</f>
        <v>1483</v>
      </c>
      <c r="D8" s="9" t="n">
        <f aca="false">MIN(1,MAX(0,(9.61305205058266+0.0975170284451048*'Registration &amp; ACS Data'!D17*100+10.5394333816381*'Registration &amp; ACS Data'!E17+(-4.68820196176703)*0+0.76741697617948*('House Vote Data'!G17*100))/100))</f>
        <v>0.280769534821004</v>
      </c>
      <c r="E8" s="12" t="n">
        <f aca="false">ROUND(C8*D8,0)</f>
        <v>416</v>
      </c>
      <c r="F8" s="12" t="n">
        <f aca="false">ROUND(C8*(1-D8),0)</f>
        <v>1067</v>
      </c>
      <c r="G8" s="8" t="str">
        <f aca="false">IF(D8&gt;0.5,"Democrat","Republican")</f>
        <v>Republican</v>
      </c>
    </row>
    <row r="9" customFormat="false" ht="15" hidden="false" customHeight="true" outlineLevel="0" collapsed="false">
      <c r="A9" s="8" t="s">
        <v>61</v>
      </c>
      <c r="B9" s="8" t="s">
        <v>57</v>
      </c>
      <c r="C9" s="12" t="n">
        <f aca="false">MAX(0, 2*'House Vote Data'!F20 - 'House Vote Data'!F18)</f>
        <v>111</v>
      </c>
      <c r="D9" s="9" t="n">
        <f aca="false">MIN(1,MAX(0,(9.61305205058266+0.0975170284451048*'Registration &amp; ACS Data'!D21*100+10.5394333816381*'Registration &amp; ACS Data'!E21+(-4.68820196176703)*0+0.76741697617948*('House Vote Data'!G21*100))/100))</f>
        <v>0.348216709780123</v>
      </c>
      <c r="E9" s="12" t="n">
        <f aca="false">ROUND(C9*D9,0)</f>
        <v>39</v>
      </c>
      <c r="F9" s="12" t="n">
        <f aca="false">ROUND(C9*(1-D9),0)</f>
        <v>72</v>
      </c>
      <c r="G9" s="8" t="str">
        <f aca="false">IF(D9&gt;0.5,"Democrat","Republican")</f>
        <v>Republican</v>
      </c>
    </row>
    <row r="10" customFormat="false" ht="15" hidden="false" customHeight="true" outlineLevel="0" collapsed="false">
      <c r="A10" s="8" t="s">
        <v>62</v>
      </c>
      <c r="B10" s="8" t="s">
        <v>57</v>
      </c>
      <c r="C10" s="12" t="n">
        <f aca="false">MAX(0, 2*'House Vote Data'!F24 - 'House Vote Data'!F22)</f>
        <v>2258</v>
      </c>
      <c r="D10" s="9" t="n">
        <f aca="false">MIN(1,MAX(0,(9.61305205058266+0.0975170284451048*'Registration &amp; ACS Data'!D25*100+10.5394333816381*'Registration &amp; ACS Data'!E25+(-4.68820196176703)*0+0.76741697617948*('House Vote Data'!G25*100))/100))</f>
        <v>0.301444798811162</v>
      </c>
      <c r="E10" s="12" t="n">
        <f aca="false">ROUND(C10*D10,0)</f>
        <v>681</v>
      </c>
      <c r="F10" s="12" t="n">
        <f aca="false">ROUND(C10*(1-D10),0)</f>
        <v>1577</v>
      </c>
      <c r="G10" s="8" t="str">
        <f aca="false">IF(D10&gt;0.5,"Democrat","Republican")</f>
        <v>Republican</v>
      </c>
    </row>
    <row r="11" customFormat="false" ht="15" hidden="false" customHeight="true" outlineLevel="0" collapsed="false">
      <c r="A11" s="8" t="s">
        <v>63</v>
      </c>
      <c r="B11" s="8" t="s">
        <v>57</v>
      </c>
      <c r="C11" s="12" t="n">
        <f aca="false">MAX(0, 2*'House Vote Data'!F28 - 'House Vote Data'!F26)</f>
        <v>2411</v>
      </c>
      <c r="D11" s="9" t="n">
        <f aca="false">MIN(1,MAX(0,(9.61305205058266+0.0975170284451048*'Registration &amp; ACS Data'!D29*100+10.5394333816381*'Registration &amp; ACS Data'!E29+(-4.68820196176703)*0+0.76741697617948*('House Vote Data'!G29*100))/100))</f>
        <v>0.450394309585335</v>
      </c>
      <c r="E11" s="12" t="n">
        <f aca="false">ROUND(C11*D11,0)</f>
        <v>1086</v>
      </c>
      <c r="F11" s="12" t="n">
        <f aca="false">ROUND(C11*(1-D11),0)</f>
        <v>1325</v>
      </c>
      <c r="G11" s="8" t="str">
        <f aca="false">IF(D11&gt;0.5,"Democrat","Republican")</f>
        <v>Republican</v>
      </c>
    </row>
    <row r="12" customFormat="false" ht="15" hidden="false" customHeight="true" outlineLevel="0" collapsed="false">
      <c r="A12" s="8" t="s">
        <v>64</v>
      </c>
      <c r="B12" s="8" t="s">
        <v>57</v>
      </c>
      <c r="C12" s="12" t="n">
        <f aca="false">MAX(0, 2*'House Vote Data'!F32 - 'House Vote Data'!F30)</f>
        <v>912</v>
      </c>
      <c r="D12" s="9" t="n">
        <f aca="false">MIN(1,MAX(0,(9.61305205058266+0.0975170284451048*'Registration &amp; ACS Data'!D33*100+10.5394333816381*'Registration &amp; ACS Data'!E33+(-4.68820196176703)*0+0.76741697617948*('House Vote Data'!G33*100))/100))</f>
        <v>0.360181891079405</v>
      </c>
      <c r="E12" s="12" t="n">
        <f aca="false">ROUND(C12*D12,0)</f>
        <v>328</v>
      </c>
      <c r="F12" s="12" t="n">
        <f aca="false">ROUND(C12*(1-D12),0)</f>
        <v>584</v>
      </c>
      <c r="G12" s="8" t="str">
        <f aca="false">IF(D12&gt;0.5,"Democrat","Republican")</f>
        <v>Republican</v>
      </c>
    </row>
    <row r="13" customFormat="false" ht="15" hidden="false" customHeight="true" outlineLevel="0" collapsed="false">
      <c r="A13" s="8" t="s">
        <v>65</v>
      </c>
      <c r="B13" s="8" t="s">
        <v>57</v>
      </c>
      <c r="C13" s="12" t="n">
        <f aca="false">MAX(0, 2*'House Vote Data'!F36 - 'House Vote Data'!F34)</f>
        <v>1078</v>
      </c>
      <c r="D13" s="9" t="n">
        <f aca="false">MIN(1,MAX(0,(9.61305205058266+0.0975170284451048*'Registration &amp; ACS Data'!D37*100+10.5394333816381*'Registration &amp; ACS Data'!E37+(-4.68820196176703)*0+0.76741697617948*('House Vote Data'!G37*100))/100))</f>
        <v>0.411575516591932</v>
      </c>
      <c r="E13" s="12" t="n">
        <f aca="false">ROUND(C13*D13,0)</f>
        <v>444</v>
      </c>
      <c r="F13" s="12" t="n">
        <f aca="false">ROUND(C13*(1-D13),0)</f>
        <v>634</v>
      </c>
      <c r="G13" s="8" t="str">
        <f aca="false">IF(D13&gt;0.5,"Democrat","Republican")</f>
        <v>Republican</v>
      </c>
    </row>
    <row r="14" customFormat="false" ht="15" hidden="false" customHeight="true" outlineLevel="0" collapsed="false">
      <c r="A14" s="8" t="s">
        <v>66</v>
      </c>
      <c r="B14" s="8" t="s">
        <v>57</v>
      </c>
      <c r="C14" s="12" t="n">
        <f aca="false">MAX(0, 2*'House Vote Data'!F40 - 'House Vote Data'!F38)</f>
        <v>142</v>
      </c>
      <c r="D14" s="9" t="n">
        <f aca="false">MIN(1,MAX(0,(9.61305205058266+0.0975170284451048*'Registration &amp; ACS Data'!D41*100+10.5394333816381*'Registration &amp; ACS Data'!E41+(-4.68820196176703)*0+0.76741697617948*('House Vote Data'!G41*100))/100))</f>
        <v>0.276541671041379</v>
      </c>
      <c r="E14" s="12" t="n">
        <f aca="false">ROUND(C14*D14,0)</f>
        <v>39</v>
      </c>
      <c r="F14" s="12" t="n">
        <f aca="false">ROUND(C14*(1-D14),0)</f>
        <v>103</v>
      </c>
      <c r="G14" s="8" t="str">
        <f aca="false">IF(D14&gt;0.5,"Democrat","Republican")</f>
        <v>Republican</v>
      </c>
    </row>
    <row r="15" customFormat="false" ht="15" hidden="false" customHeight="true" outlineLevel="0" collapsed="false">
      <c r="A15" s="8" t="s">
        <v>67</v>
      </c>
      <c r="B15" s="8" t="s">
        <v>57</v>
      </c>
      <c r="C15" s="12" t="n">
        <f aca="false">MAX(0, 2*'House Vote Data'!F44 - 'House Vote Data'!F42)</f>
        <v>278</v>
      </c>
      <c r="D15" s="9" t="n">
        <f aca="false">MIN(1,MAX(0,(9.61305205058266+0.0975170284451048*'Registration &amp; ACS Data'!D45*100+10.5394333816381*'Registration &amp; ACS Data'!E45+(-4.68820196176703)*0+0.76741697617948*('House Vote Data'!G45*100))/100))</f>
        <v>0.218878147820643</v>
      </c>
      <c r="E15" s="12" t="n">
        <f aca="false">ROUND(C15*D15,0)</f>
        <v>61</v>
      </c>
      <c r="F15" s="12" t="n">
        <f aca="false">ROUND(C15*(1-D15),0)</f>
        <v>217</v>
      </c>
      <c r="G15" s="8" t="str">
        <f aca="false">IF(D15&gt;0.5,"Democrat","Republican")</f>
        <v>Republican</v>
      </c>
    </row>
    <row r="16" customFormat="false" ht="15" hidden="false" customHeight="true" outlineLevel="0" collapsed="false">
      <c r="A16" s="8" t="s">
        <v>68</v>
      </c>
      <c r="B16" s="8" t="s">
        <v>57</v>
      </c>
      <c r="C16" s="12" t="n">
        <f aca="false">MAX(0, 2*'House Vote Data'!F48 - 'House Vote Data'!F46)</f>
        <v>1900</v>
      </c>
      <c r="D16" s="9" t="n">
        <f aca="false">MIN(1,MAX(0,(9.61305205058266+0.0975170284451048*'Registration &amp; ACS Data'!D49*100+10.5394333816381*'Registration &amp; ACS Data'!E49+(-4.68820196176703)*0+0.76741697617948*('House Vote Data'!G49*100))/100))</f>
        <v>0.39809845691376</v>
      </c>
      <c r="E16" s="12" t="n">
        <f aca="false">ROUND(C16*D16,0)</f>
        <v>756</v>
      </c>
      <c r="F16" s="12" t="n">
        <f aca="false">ROUND(C16*(1-D16),0)</f>
        <v>1144</v>
      </c>
      <c r="G16" s="8" t="str">
        <f aca="false">IF(D16&gt;0.5,"Democrat","Republican")</f>
        <v>Republican</v>
      </c>
    </row>
    <row r="17" customFormat="false" ht="15" hidden="false" customHeight="true" outlineLevel="0" collapsed="false">
      <c r="A17" s="8" t="s">
        <v>69</v>
      </c>
      <c r="B17" s="8" t="s">
        <v>57</v>
      </c>
      <c r="C17" s="12" t="n">
        <f aca="false">MAX(0, 2*'House Vote Data'!F52 - 'House Vote Data'!F50)</f>
        <v>1604</v>
      </c>
      <c r="D17" s="9" t="n">
        <f aca="false">MIN(1,MAX(0,(9.61305205058266+0.0975170284451048*'Registration &amp; ACS Data'!D53*100+10.5394333816381*'Registration &amp; ACS Data'!E53+(-4.68820196176703)*0+0.76741697617948*('House Vote Data'!G53*100))/100))</f>
        <v>0.300137843830342</v>
      </c>
      <c r="E17" s="12" t="n">
        <f aca="false">ROUND(C17*D17,0)</f>
        <v>481</v>
      </c>
      <c r="F17" s="12" t="n">
        <f aca="false">ROUND(C17*(1-D17),0)</f>
        <v>1123</v>
      </c>
      <c r="G17" s="8" t="str">
        <f aca="false">IF(D17&gt;0.5,"Democrat","Republican")</f>
        <v>Republican</v>
      </c>
    </row>
    <row r="18" customFormat="false" ht="15" hidden="false" customHeight="true" outlineLevel="0" collapsed="false">
      <c r="A18" s="8" t="s">
        <v>70</v>
      </c>
      <c r="B18" s="8" t="s">
        <v>57</v>
      </c>
      <c r="C18" s="12" t="n">
        <f aca="false">MAX(0, 2*'House Vote Data'!F56 - 'House Vote Data'!F54)</f>
        <v>2076</v>
      </c>
      <c r="D18" s="9" t="n">
        <f aca="false">MIN(1,MAX(0,(9.61305205058266+0.0975170284451048*'Registration &amp; ACS Data'!D57*100+10.5394333816381*'Registration &amp; ACS Data'!E57+(-4.68820196176703)*0+0.76741697617948*('House Vote Data'!G57*100))/100))</f>
        <v>0.312577547099451</v>
      </c>
      <c r="E18" s="12" t="n">
        <f aca="false">ROUND(C18*D18,0)</f>
        <v>649</v>
      </c>
      <c r="F18" s="12" t="n">
        <f aca="false">ROUND(C18*(1-D18),0)</f>
        <v>1427</v>
      </c>
      <c r="G18" s="8" t="str">
        <f aca="false">IF(D18&gt;0.5,"Democrat","Republican")</f>
        <v>Republican</v>
      </c>
    </row>
    <row r="19" customFormat="false" ht="15" hidden="false" customHeight="true" outlineLevel="0" collapsed="false">
      <c r="A19" s="8" t="s">
        <v>71</v>
      </c>
      <c r="B19" s="8" t="s">
        <v>57</v>
      </c>
      <c r="C19" s="12" t="n">
        <f aca="false">MAX(0, 2*'House Vote Data'!F60 - 'House Vote Data'!F58)</f>
        <v>1342</v>
      </c>
      <c r="D19" s="9" t="n">
        <f aca="false">MIN(1,MAX(0,(9.61305205058266+0.0975170284451048*'Registration &amp; ACS Data'!D61*100+10.5394333816381*'Registration &amp; ACS Data'!E61+(-4.68820196176703)*0+0.76741697617948*('House Vote Data'!G61*100))/100))</f>
        <v>0.404686890227131</v>
      </c>
      <c r="E19" s="12" t="n">
        <f aca="false">ROUND(C19*D19,0)</f>
        <v>543</v>
      </c>
      <c r="F19" s="12" t="n">
        <f aca="false">ROUND(C19*(1-D19),0)</f>
        <v>799</v>
      </c>
      <c r="G19" s="8" t="str">
        <f aca="false">IF(D19&gt;0.5,"Democrat","Republican")</f>
        <v>Republican</v>
      </c>
    </row>
    <row r="20" customFormat="false" ht="15" hidden="false" customHeight="true" outlineLevel="0" collapsed="false">
      <c r="A20" s="8" t="s">
        <v>72</v>
      </c>
      <c r="B20" s="8" t="s">
        <v>57</v>
      </c>
      <c r="C20" s="12" t="n">
        <f aca="false">MAX(0, 2*'House Vote Data'!F64 - 'House Vote Data'!F62)</f>
        <v>597</v>
      </c>
      <c r="D20" s="9" t="n">
        <f aca="false">MIN(1,MAX(0,(9.61305205058266+0.0975170284451048*'Registration &amp; ACS Data'!D65*100+10.5394333816381*'Registration &amp; ACS Data'!E65+(-4.68820196176703)*0+0.76741697617948*('House Vote Data'!G65*100))/100))</f>
        <v>0.217028523343991</v>
      </c>
      <c r="E20" s="12" t="n">
        <f aca="false">ROUND(C20*D20,0)</f>
        <v>130</v>
      </c>
      <c r="F20" s="12" t="n">
        <f aca="false">ROUND(C20*(1-D20),0)</f>
        <v>467</v>
      </c>
      <c r="G20" s="8" t="str">
        <f aca="false">IF(D20&gt;0.5,"Democrat","Republican")</f>
        <v>Republican</v>
      </c>
    </row>
    <row r="21" customFormat="false" ht="15" hidden="false" customHeight="true" outlineLevel="0" collapsed="false">
      <c r="A21" s="8" t="s">
        <v>73</v>
      </c>
      <c r="B21" s="8" t="s">
        <v>57</v>
      </c>
      <c r="C21" s="12" t="n">
        <f aca="false">MAX(0, 2*'House Vote Data'!F68 - 'House Vote Data'!F66)</f>
        <v>2153</v>
      </c>
      <c r="D21" s="9" t="n">
        <f aca="false">MIN(1,MAX(0,(9.61305205058266+0.0975170284451048*'Registration &amp; ACS Data'!D69*100+10.5394333816381*'Registration &amp; ACS Data'!E69+(-4.68820196176703)*0+0.76741697617948*('House Vote Data'!G69*100))/100))</f>
        <v>0.378105854892412</v>
      </c>
      <c r="E21" s="12" t="n">
        <f aca="false">ROUND(C21*D21,0)</f>
        <v>814</v>
      </c>
      <c r="F21" s="12" t="n">
        <f aca="false">ROUND(C21*(1-D21),0)</f>
        <v>1339</v>
      </c>
      <c r="G21" s="8" t="str">
        <f aca="false">IF(D21&gt;0.5,"Democrat","Republican")</f>
        <v>Republican</v>
      </c>
    </row>
    <row r="22" customFormat="false" ht="15" hidden="false" customHeight="true" outlineLevel="0" collapsed="false">
      <c r="A22" s="8" t="s">
        <v>74</v>
      </c>
      <c r="B22" s="8" t="s">
        <v>57</v>
      </c>
      <c r="C22" s="12" t="n">
        <f aca="false">MAX(0, 2*'House Vote Data'!F72 - 'House Vote Data'!F70)</f>
        <v>209</v>
      </c>
      <c r="D22" s="9" t="n">
        <f aca="false">MIN(1,MAX(0,(9.61305205058266+0.0975170284451048*'Registration &amp; ACS Data'!D73*100+10.5394333816381*'Registration &amp; ACS Data'!E73+(-4.68820196176703)*0+0.76741697617948*('House Vote Data'!G73*100))/100))</f>
        <v>0.321379915063941</v>
      </c>
      <c r="E22" s="12" t="n">
        <f aca="false">ROUND(C22*D22,0)</f>
        <v>67</v>
      </c>
      <c r="F22" s="12" t="n">
        <f aca="false">ROUND(C22*(1-D22),0)</f>
        <v>142</v>
      </c>
      <c r="G22" s="8" t="str">
        <f aca="false">IF(D22&gt;0.5,"Democrat","Republican")</f>
        <v>Republican</v>
      </c>
    </row>
    <row r="23" customFormat="false" ht="15" hidden="false" customHeight="true" outlineLevel="0" collapsed="false">
      <c r="A23" s="8" t="s">
        <v>75</v>
      </c>
      <c r="B23" s="8" t="s">
        <v>57</v>
      </c>
      <c r="C23" s="12" t="n">
        <f aca="false">MAX(0, 2*'House Vote Data'!F76 - 'House Vote Data'!F74)</f>
        <v>5115</v>
      </c>
      <c r="D23" s="9" t="n">
        <f aca="false">MIN(1,MAX(0,(9.61305205058266+0.0975170284451048*'Registration &amp; ACS Data'!D77*100+10.5394333816381*'Registration &amp; ACS Data'!E77+(-4.68820196176703)*0+0.76741697617948*('House Vote Data'!G77*100))/100))</f>
        <v>0.378115493527832</v>
      </c>
      <c r="E23" s="12" t="n">
        <f aca="false">ROUND(C23*D23,0)</f>
        <v>1934</v>
      </c>
      <c r="F23" s="12" t="n">
        <f aca="false">ROUND(C23*(1-D23),0)</f>
        <v>3181</v>
      </c>
      <c r="G23" s="8" t="str">
        <f aca="false">IF(D23&gt;0.5,"Democrat","Republican")</f>
        <v>Republican</v>
      </c>
    </row>
    <row r="24" customFormat="false" ht="15" hidden="false" customHeight="true" outlineLevel="0" collapsed="false">
      <c r="A24" s="8" t="s">
        <v>76</v>
      </c>
      <c r="B24" s="8" t="s">
        <v>57</v>
      </c>
      <c r="C24" s="12" t="n">
        <f aca="false">MAX(0, 2*'House Vote Data'!F80 - 'House Vote Data'!F78)</f>
        <v>1334</v>
      </c>
      <c r="D24" s="9" t="n">
        <f aca="false">MIN(1,MAX(0,(9.61305205058266+0.0975170284451048*'Registration &amp; ACS Data'!D81*100+10.5394333816381*'Registration &amp; ACS Data'!E81+(-4.68820196176703)*0+0.76741697617948*('House Vote Data'!G81*100))/100))</f>
        <v>0.427286581782998</v>
      </c>
      <c r="E24" s="12" t="n">
        <f aca="false">ROUND(C24*D24,0)</f>
        <v>570</v>
      </c>
      <c r="F24" s="12" t="n">
        <f aca="false">ROUND(C24*(1-D24),0)</f>
        <v>764</v>
      </c>
      <c r="G24" s="8" t="str">
        <f aca="false">IF(D24&gt;0.5,"Democrat","Republican")</f>
        <v>Republican</v>
      </c>
    </row>
    <row r="25" customFormat="false" ht="15" hidden="false" customHeight="true" outlineLevel="0" collapsed="false">
      <c r="A25" s="8" t="s">
        <v>77</v>
      </c>
      <c r="B25" s="8" t="s">
        <v>57</v>
      </c>
      <c r="C25" s="12" t="n">
        <f aca="false">MAX(0, 2*'House Vote Data'!F84 - 'House Vote Data'!F82)</f>
        <v>2513</v>
      </c>
      <c r="D25" s="9" t="n">
        <f aca="false">MIN(1,MAX(0,(9.61305205058266+0.0975170284451048*'Registration &amp; ACS Data'!D85*100+10.5394333816381*'Registration &amp; ACS Data'!E85+(-4.68820196176703)*0+0.76741697617948*('House Vote Data'!G85*100))/100))</f>
        <v>0.305328920593105</v>
      </c>
      <c r="E25" s="12" t="n">
        <f aca="false">ROUND(C25*D25,0)</f>
        <v>767</v>
      </c>
      <c r="F25" s="12" t="n">
        <f aca="false">ROUND(C25*(1-D25),0)</f>
        <v>1746</v>
      </c>
      <c r="G25" s="8" t="str">
        <f aca="false">IF(D25&gt;0.5,"Democrat","Republican")</f>
        <v>Republican</v>
      </c>
    </row>
    <row r="26" customFormat="false" ht="15" hidden="false" customHeight="true" outlineLevel="0" collapsed="false">
      <c r="A26" s="8" t="s">
        <v>78</v>
      </c>
      <c r="B26" s="8" t="s">
        <v>57</v>
      </c>
      <c r="C26" s="12" t="n">
        <f aca="false">MAX(0, 2*'House Vote Data'!F88 - 'House Vote Data'!F86)</f>
        <v>955</v>
      </c>
      <c r="D26" s="9" t="n">
        <f aca="false">MIN(1,MAX(0,(9.61305205058266+0.0975170284451048*'Registration &amp; ACS Data'!D89*100+10.5394333816381*'Registration &amp; ACS Data'!E89+(-4.68820196176703)*0+0.76741697617948*('House Vote Data'!G89*100))/100))</f>
        <v>0.312120682048933</v>
      </c>
      <c r="E26" s="12" t="n">
        <f aca="false">ROUND(C26*D26,0)</f>
        <v>298</v>
      </c>
      <c r="F26" s="12" t="n">
        <f aca="false">ROUND(C26*(1-D26),0)</f>
        <v>657</v>
      </c>
      <c r="G26" s="8" t="str">
        <f aca="false">IF(D26&gt;0.5,"Democrat","Republican")</f>
        <v>Republican</v>
      </c>
    </row>
    <row r="27" customFormat="false" ht="15" hidden="false" customHeight="true" outlineLevel="0" collapsed="false">
      <c r="A27" s="8" t="s">
        <v>79</v>
      </c>
      <c r="B27" s="8" t="s">
        <v>57</v>
      </c>
      <c r="C27" s="12" t="n">
        <f aca="false">MAX(0, 2*'House Vote Data'!F92 - 'House Vote Data'!F90)</f>
        <v>102</v>
      </c>
      <c r="D27" s="9" t="n">
        <f aca="false">MIN(1,MAX(0,(9.61305205058266+0.0975170284451048*'Registration &amp; ACS Data'!D93*100+10.5394333816381*'Registration &amp; ACS Data'!E93+(-4.68820196176703)*0+0.76741697617948*('House Vote Data'!G93*100))/100))</f>
        <v>0.363226659969696</v>
      </c>
      <c r="E27" s="12" t="n">
        <f aca="false">ROUND(C27*D27,0)</f>
        <v>37</v>
      </c>
      <c r="F27" s="12" t="n">
        <f aca="false">ROUND(C27*(1-D27),0)</f>
        <v>65</v>
      </c>
      <c r="G27" s="8" t="str">
        <f aca="false">IF(D27&gt;0.5,"Democrat","Republican")</f>
        <v>Republican</v>
      </c>
    </row>
    <row r="28" customFormat="false" ht="15" hidden="false" customHeight="true" outlineLevel="0" collapsed="false">
      <c r="A28" s="8" t="s">
        <v>80</v>
      </c>
      <c r="B28" s="8" t="s">
        <v>81</v>
      </c>
      <c r="C28" s="12" t="n">
        <f aca="false">MAX(0, 2*'House Vote Data'!F96 - 'House Vote Data'!F94)</f>
        <v>1166</v>
      </c>
      <c r="D28" s="9" t="n">
        <f aca="false">MIN(1,MAX(0,(9.61305205058266+0.0975170284451048*'Registration &amp; ACS Data'!D97*100+10.5394333816381*'Registration &amp; ACS Data'!E97+(-4.68820196176703)*0+0.76741697617948*('House Vote Data'!G97*100))/100))</f>
        <v>0.46609177697687</v>
      </c>
      <c r="E28" s="12" t="n">
        <f aca="false">ROUND(C28*D28,0)</f>
        <v>543</v>
      </c>
      <c r="F28" s="12" t="n">
        <f aca="false">ROUND(C28*(1-D28),0)</f>
        <v>623</v>
      </c>
      <c r="G28" s="8" t="str">
        <f aca="false">IF(D28&gt;0.5,"Democrat","Republican")</f>
        <v>Republican</v>
      </c>
    </row>
    <row r="29" customFormat="false" ht="15" hidden="false" customHeight="true" outlineLevel="0" collapsed="false">
      <c r="A29" s="8" t="s">
        <v>82</v>
      </c>
      <c r="B29" s="8" t="s">
        <v>81</v>
      </c>
      <c r="C29" s="12" t="n">
        <f aca="false">MAX(0, 2*'House Vote Data'!F100 - 'House Vote Data'!F98)</f>
        <v>22542</v>
      </c>
      <c r="D29" s="9" t="n">
        <f aca="false">MIN(1,MAX(0,(9.61305205058266+0.0975170284451048*'Registration &amp; ACS Data'!D101*100+10.5394333816381*'Registration &amp; ACS Data'!E101+(-4.68820196176703)*0+0.76741697617948*('House Vote Data'!G101*100))/100))</f>
        <v>0.645630835741392</v>
      </c>
      <c r="E29" s="12" t="n">
        <f aca="false">ROUND(C29*D29,0)</f>
        <v>14554</v>
      </c>
      <c r="F29" s="12" t="n">
        <f aca="false">ROUND(C29*(1-D29),0)</f>
        <v>7988</v>
      </c>
      <c r="G29" s="8" t="str">
        <f aca="false">IF(D29&gt;0.5,"Democrat","Republican")</f>
        <v>Democrat</v>
      </c>
    </row>
    <row r="30" customFormat="false" ht="15" hidden="false" customHeight="true" outlineLevel="0" collapsed="false">
      <c r="A30" s="8" t="s">
        <v>83</v>
      </c>
      <c r="B30" s="8" t="s">
        <v>81</v>
      </c>
      <c r="C30" s="12" t="n">
        <f aca="false">MAX(0, 2*'House Vote Data'!F104 - 'House Vote Data'!F102)</f>
        <v>8782</v>
      </c>
      <c r="D30" s="9" t="n">
        <f aca="false">MIN(1,MAX(0,(9.61305205058266+0.0975170284451048*'Registration &amp; ACS Data'!D105*100+10.5394333816381*'Registration &amp; ACS Data'!E105+(-4.68820196176703)*0+0.76741697617948*('House Vote Data'!G105*100))/100))</f>
        <v>0.648184294847754</v>
      </c>
      <c r="E30" s="12" t="n">
        <f aca="false">ROUND(C30*D30,0)</f>
        <v>5692</v>
      </c>
      <c r="F30" s="12" t="n">
        <f aca="false">ROUND(C30*(1-D30),0)</f>
        <v>3090</v>
      </c>
      <c r="G30" s="8" t="str">
        <f aca="false">IF(D30&gt;0.5,"Democrat","Republican")</f>
        <v>Democrat</v>
      </c>
    </row>
    <row r="31" customFormat="false" ht="15" hidden="false" customHeight="true" outlineLevel="0" collapsed="false">
      <c r="A31" s="8" t="s">
        <v>84</v>
      </c>
      <c r="B31" s="8" t="s">
        <v>81</v>
      </c>
      <c r="C31" s="12" t="n">
        <f aca="false">MAX(0, 2*'House Vote Data'!F108 - 'House Vote Data'!F106)</f>
        <v>2262</v>
      </c>
      <c r="D31" s="9" t="n">
        <f aca="false">MIN(1,MAX(0,(9.61305205058266+0.0975170284451048*'Registration &amp; ACS Data'!D109*100+10.5394333816381*'Registration &amp; ACS Data'!E109+(-4.68820196176703)*0+0.76741697617948*('House Vote Data'!G109*100))/100))</f>
        <v>0.531233279092133</v>
      </c>
      <c r="E31" s="12" t="n">
        <f aca="false">ROUND(C31*D31,0)</f>
        <v>1202</v>
      </c>
      <c r="F31" s="12" t="n">
        <f aca="false">ROUND(C31*(1-D31),0)</f>
        <v>1060</v>
      </c>
      <c r="G31" s="8" t="str">
        <f aca="false">IF(D31&gt;0.5,"Democrat","Republican")</f>
        <v>Democrat</v>
      </c>
    </row>
    <row r="32" customFormat="false" ht="15" hidden="false" customHeight="true" outlineLevel="0" collapsed="false">
      <c r="A32" s="8" t="s">
        <v>85</v>
      </c>
      <c r="B32" s="8" t="s">
        <v>81</v>
      </c>
      <c r="C32" s="12" t="n">
        <f aca="false">MAX(0, 2*'House Vote Data'!F112 - 'House Vote Data'!F110)</f>
        <v>1479</v>
      </c>
      <c r="D32" s="9" t="n">
        <f aca="false">MIN(1,MAX(0,(9.61305205058266+0.0975170284451048*'Registration &amp; ACS Data'!D113*100+10.5394333816381*'Registration &amp; ACS Data'!E113+(-4.68820196176703)*0+0.76741697617948*('House Vote Data'!G113*100))/100))</f>
        <v>0.486385898872637</v>
      </c>
      <c r="E32" s="12" t="n">
        <f aca="false">ROUND(C32*D32,0)</f>
        <v>719</v>
      </c>
      <c r="F32" s="12" t="n">
        <f aca="false">ROUND(C32*(1-D32),0)</f>
        <v>760</v>
      </c>
      <c r="G32" s="8" t="str">
        <f aca="false">IF(D32&gt;0.5,"Democrat","Republican")</f>
        <v>Republican</v>
      </c>
    </row>
    <row r="33" customFormat="false" ht="15" hidden="false" customHeight="true" outlineLevel="0" collapsed="false">
      <c r="A33" s="8" t="s">
        <v>86</v>
      </c>
      <c r="B33" s="8" t="s">
        <v>81</v>
      </c>
      <c r="C33" s="12" t="n">
        <f aca="false">MAX(0, 2*'House Vote Data'!F116 - 'House Vote Data'!F114)</f>
        <v>1419</v>
      </c>
      <c r="D33" s="9" t="n">
        <f aca="false">MIN(1,MAX(0,(9.61305205058266+0.0975170284451048*'Registration &amp; ACS Data'!D117*100+10.5394333816381*'Registration &amp; ACS Data'!E117+(-4.68820196176703)*0+0.76741697617948*('House Vote Data'!G117*100))/100))</f>
        <v>0.509692638286407</v>
      </c>
      <c r="E33" s="12" t="n">
        <f aca="false">ROUND(C33*D33,0)</f>
        <v>723</v>
      </c>
      <c r="F33" s="12" t="n">
        <f aca="false">ROUND(C33*(1-D33),0)</f>
        <v>696</v>
      </c>
      <c r="G33" s="8" t="str">
        <f aca="false">IF(D33&gt;0.5,"Democrat","Republican")</f>
        <v>Democrat</v>
      </c>
    </row>
    <row r="34" customFormat="false" ht="15" hidden="false" customHeight="true" outlineLevel="0" collapsed="false">
      <c r="A34" s="8" t="s">
        <v>87</v>
      </c>
      <c r="B34" s="8" t="s">
        <v>81</v>
      </c>
      <c r="C34" s="12" t="n">
        <f aca="false">MAX(0, 2*'House Vote Data'!F120 - 'House Vote Data'!F118)</f>
        <v>5779</v>
      </c>
      <c r="D34" s="9" t="n">
        <f aca="false">MIN(1,MAX(0,(9.61305205058266+0.0975170284451048*'Registration &amp; ACS Data'!D121*100+10.5394333816381*'Registration &amp; ACS Data'!E121+(-4.68820196176703)*0+0.76741697617948*('House Vote Data'!G121*100))/100))</f>
        <v>0.543194352419658</v>
      </c>
      <c r="E34" s="12" t="n">
        <f aca="false">ROUND(C34*D34,0)</f>
        <v>3139</v>
      </c>
      <c r="F34" s="12" t="n">
        <f aca="false">ROUND(C34*(1-D34),0)</f>
        <v>2640</v>
      </c>
      <c r="G34" s="8" t="str">
        <f aca="false">IF(D34&gt;0.5,"Democrat","Republican")</f>
        <v>Democrat</v>
      </c>
    </row>
    <row r="35" customFormat="false" ht="15" hidden="false" customHeight="true" outlineLevel="0" collapsed="false">
      <c r="A35" s="8" t="s">
        <v>88</v>
      </c>
      <c r="B35" s="8" t="s">
        <v>81</v>
      </c>
      <c r="C35" s="12" t="n">
        <f aca="false">MAX(0, 2*'House Vote Data'!F124 - 'House Vote Data'!F122)</f>
        <v>1558</v>
      </c>
      <c r="D35" s="9" t="n">
        <f aca="false">MIN(1,MAX(0,(9.61305205058266+0.0975170284451048*'Registration &amp; ACS Data'!D125*100+10.5394333816381*'Registration &amp; ACS Data'!E125+(-4.68820196176703)*0+0.76741697617948*('House Vote Data'!G125*100))/100))</f>
        <v>0.652221865310407</v>
      </c>
      <c r="E35" s="12" t="n">
        <f aca="false">ROUND(C35*D35,0)</f>
        <v>1016</v>
      </c>
      <c r="F35" s="12" t="n">
        <f aca="false">ROUND(C35*(1-D35),0)</f>
        <v>542</v>
      </c>
      <c r="G35" s="8" t="str">
        <f aca="false">IF(D35&gt;0.5,"Democrat","Republican")</f>
        <v>Democrat</v>
      </c>
    </row>
    <row r="36" customFormat="false" ht="15" hidden="false" customHeight="true" outlineLevel="0" collapsed="false">
      <c r="A36" s="8" t="s">
        <v>89</v>
      </c>
      <c r="B36" s="8" t="s">
        <v>81</v>
      </c>
      <c r="C36" s="12" t="n">
        <f aca="false">MAX(0, 2*'House Vote Data'!F128 - 'House Vote Data'!F126)</f>
        <v>442</v>
      </c>
      <c r="D36" s="9" t="n">
        <f aca="false">MIN(1,MAX(0,(9.61305205058266+0.0975170284451048*'Registration &amp; ACS Data'!D129*100+10.5394333816381*'Registration &amp; ACS Data'!E129+(-4.68820196176703)*0+0.76741697617948*('House Vote Data'!G129*100))/100))</f>
        <v>0.542113587791376</v>
      </c>
      <c r="E36" s="12" t="n">
        <f aca="false">ROUND(C36*D36,0)</f>
        <v>240</v>
      </c>
      <c r="F36" s="12" t="n">
        <f aca="false">ROUND(C36*(1-D36),0)</f>
        <v>202</v>
      </c>
      <c r="G36" s="8" t="str">
        <f aca="false">IF(D36&gt;0.5,"Democrat","Republican")</f>
        <v>Democrat</v>
      </c>
    </row>
    <row r="37" customFormat="false" ht="15" hidden="false" customHeight="true" outlineLevel="0" collapsed="false">
      <c r="A37" s="8" t="s">
        <v>90</v>
      </c>
      <c r="B37" s="8" t="s">
        <v>81</v>
      </c>
      <c r="C37" s="12" t="n">
        <f aca="false">MAX(0, 2*'House Vote Data'!F132 - 'House Vote Data'!F130)</f>
        <v>1826</v>
      </c>
      <c r="D37" s="9" t="n">
        <f aca="false">MIN(1,MAX(0,(9.61305205058266+0.0975170284451048*'Registration &amp; ACS Data'!D133*100+10.5394333816381*'Registration &amp; ACS Data'!E133+(-4.68820196176703)*0+0.76741697617948*('House Vote Data'!G133*100))/100))</f>
        <v>0.331313855168384</v>
      </c>
      <c r="E37" s="12" t="n">
        <f aca="false">ROUND(C37*D37,0)</f>
        <v>605</v>
      </c>
      <c r="F37" s="12" t="n">
        <f aca="false">ROUND(C37*(1-D37),0)</f>
        <v>1221</v>
      </c>
      <c r="G37" s="8" t="str">
        <f aca="false">IF(D37&gt;0.5,"Democrat","Republican")</f>
        <v>Republican</v>
      </c>
    </row>
    <row r="38" customFormat="false" ht="15" hidden="false" customHeight="true" outlineLevel="0" collapsed="false">
      <c r="A38" s="8" t="s">
        <v>91</v>
      </c>
      <c r="B38" s="8" t="s">
        <v>81</v>
      </c>
      <c r="C38" s="12" t="n">
        <f aca="false">MAX(0, 2*'House Vote Data'!F136 - 'House Vote Data'!F134)</f>
        <v>17824</v>
      </c>
      <c r="D38" s="9" t="n">
        <f aca="false">MIN(1,MAX(0,(9.61305205058266+0.0975170284451048*'Registration &amp; ACS Data'!D137*100+10.5394333816381*'Registration &amp; ACS Data'!E137+(-4.68820196176703)*0+0.76741697617948*('House Vote Data'!G137*100))/100))</f>
        <v>0.528165930903719</v>
      </c>
      <c r="E38" s="12" t="n">
        <f aca="false">ROUND(C38*D38,0)</f>
        <v>9414</v>
      </c>
      <c r="F38" s="12" t="n">
        <f aca="false">ROUND(C38*(1-D38),0)</f>
        <v>8410</v>
      </c>
      <c r="G38" s="8" t="str">
        <f aca="false">IF(D38&gt;0.5,"Democrat","Republican")</f>
        <v>Democrat</v>
      </c>
    </row>
    <row r="39" customFormat="false" ht="15" hidden="false" customHeight="true" outlineLevel="0" collapsed="false">
      <c r="A39" s="8" t="s">
        <v>92</v>
      </c>
      <c r="B39" s="8" t="s">
        <v>81</v>
      </c>
      <c r="C39" s="12" t="n">
        <f aca="false">MAX(0, 2*'House Vote Data'!F140 - 'House Vote Data'!F138)</f>
        <v>2470</v>
      </c>
      <c r="D39" s="9" t="n">
        <f aca="false">MIN(1,MAX(0,(9.61305205058266+0.0975170284451048*'Registration &amp; ACS Data'!D141*100+10.5394333816381*'Registration &amp; ACS Data'!E141+(-4.68820196176703)*0+0.76741697617948*('House Vote Data'!G141*100))/100))</f>
        <v>0.406839655545882</v>
      </c>
      <c r="E39" s="12" t="n">
        <f aca="false">ROUND(C39*D39,0)</f>
        <v>1005</v>
      </c>
      <c r="F39" s="12" t="n">
        <f aca="false">ROUND(C39*(1-D39),0)</f>
        <v>1465</v>
      </c>
      <c r="G39" s="8" t="str">
        <f aca="false">IF(D39&gt;0.5,"Democrat","Republican")</f>
        <v>Republican</v>
      </c>
    </row>
    <row r="40" customFormat="false" ht="15" hidden="false" customHeight="true" outlineLevel="0" collapsed="false">
      <c r="A40" s="8" t="s">
        <v>93</v>
      </c>
      <c r="B40" s="8" t="s">
        <v>81</v>
      </c>
      <c r="C40" s="12" t="n">
        <f aca="false">MAX(0, 2*'House Vote Data'!F144 - 'House Vote Data'!F142)</f>
        <v>1343</v>
      </c>
      <c r="D40" s="9" t="n">
        <f aca="false">MIN(1,MAX(0,(9.61305205058266+0.0975170284451048*'Registration &amp; ACS Data'!D145*100+10.5394333816381*'Registration &amp; ACS Data'!E145+(-4.68820196176703)*0+0.76741697617948*('House Vote Data'!G145*100))/100))</f>
        <v>0.388255811484413</v>
      </c>
      <c r="E40" s="12" t="n">
        <f aca="false">ROUND(C40*D40,0)</f>
        <v>521</v>
      </c>
      <c r="F40" s="12" t="n">
        <f aca="false">ROUND(C40*(1-D40),0)</f>
        <v>822</v>
      </c>
      <c r="G40" s="8" t="str">
        <f aca="false">IF(D40&gt;0.5,"Democrat","Republican")</f>
        <v>Republican</v>
      </c>
    </row>
    <row r="41" customFormat="false" ht="15" hidden="false" customHeight="true" outlineLevel="0" collapsed="false">
      <c r="A41" s="8" t="s">
        <v>94</v>
      </c>
      <c r="B41" s="8" t="s">
        <v>81</v>
      </c>
      <c r="C41" s="12" t="n">
        <f aca="false">MAX(0, 2*'House Vote Data'!F148 - 'House Vote Data'!F146)</f>
        <v>2450</v>
      </c>
      <c r="D41" s="9" t="n">
        <f aca="false">MIN(1,MAX(0,(9.61305205058266+0.0975170284451048*'Registration &amp; ACS Data'!D149*100+10.5394333816381*'Registration &amp; ACS Data'!E149+(-4.68820196176703)*0+0.76741697617948*('House Vote Data'!G149*100))/100))</f>
        <v>0.337262887822018</v>
      </c>
      <c r="E41" s="12" t="n">
        <f aca="false">ROUND(C41*D41,0)</f>
        <v>826</v>
      </c>
      <c r="F41" s="12" t="n">
        <f aca="false">ROUND(C41*(1-D41),0)</f>
        <v>1624</v>
      </c>
      <c r="G41" s="8" t="str">
        <f aca="false">IF(D41&gt;0.5,"Democrat","Republican")</f>
        <v>Republican</v>
      </c>
    </row>
    <row r="42" customFormat="false" ht="15" hidden="false" customHeight="true" outlineLevel="0" collapsed="false">
      <c r="A42" s="8" t="s">
        <v>95</v>
      </c>
      <c r="B42" s="8" t="s">
        <v>81</v>
      </c>
      <c r="C42" s="12" t="n">
        <f aca="false">MAX(0, 2*'House Vote Data'!F152 - 'House Vote Data'!F150)</f>
        <v>1557</v>
      </c>
      <c r="D42" s="9" t="n">
        <f aca="false">MIN(1,MAX(0,(9.61305205058266+0.0975170284451048*'Registration &amp; ACS Data'!D153*100+10.5394333816381*'Registration &amp; ACS Data'!E153+(-4.68820196176703)*0+0.76741697617948*('House Vote Data'!G153*100))/100))</f>
        <v>0.539354380350666</v>
      </c>
      <c r="E42" s="12" t="n">
        <f aca="false">ROUND(C42*D42,0)</f>
        <v>840</v>
      </c>
      <c r="F42" s="12" t="n">
        <f aca="false">ROUND(C42*(1-D42),0)</f>
        <v>717</v>
      </c>
      <c r="G42" s="8" t="str">
        <f aca="false">IF(D42&gt;0.5,"Democrat","Republican")</f>
        <v>Democrat</v>
      </c>
    </row>
    <row r="43" customFormat="false" ht="15" hidden="false" customHeight="true" outlineLevel="0" collapsed="false">
      <c r="A43" s="8" t="s">
        <v>96</v>
      </c>
      <c r="B43" s="8" t="s">
        <v>81</v>
      </c>
      <c r="C43" s="12" t="n">
        <f aca="false">MAX(0, 2*'House Vote Data'!F156 - 'House Vote Data'!F154)</f>
        <v>8805</v>
      </c>
      <c r="D43" s="9" t="n">
        <f aca="false">MIN(1,MAX(0,(9.61305205058266+0.0975170284451048*'Registration &amp; ACS Data'!D157*100+10.5394333816381*'Registration &amp; ACS Data'!E157+(-4.68820196176703)*0+0.76741697617948*('House Vote Data'!G157*100))/100))</f>
        <v>0.433229990179675</v>
      </c>
      <c r="E43" s="12" t="n">
        <f aca="false">ROUND(C43*D43,0)</f>
        <v>3815</v>
      </c>
      <c r="F43" s="12" t="n">
        <f aca="false">ROUND(C43*(1-D43),0)</f>
        <v>4990</v>
      </c>
      <c r="G43" s="8" t="str">
        <f aca="false">IF(D43&gt;0.5,"Democrat","Republican")</f>
        <v>Republican</v>
      </c>
    </row>
    <row r="44" customFormat="false" ht="15" hidden="false" customHeight="true" outlineLevel="0" collapsed="false">
      <c r="A44" s="8" t="s">
        <v>97</v>
      </c>
      <c r="B44" s="8" t="s">
        <v>81</v>
      </c>
      <c r="C44" s="12" t="n">
        <f aca="false">MAX(0, 2*'House Vote Data'!F160 - 'House Vote Data'!F158)</f>
        <v>6947</v>
      </c>
      <c r="D44" s="9" t="n">
        <f aca="false">MIN(1,MAX(0,(9.61305205058266+0.0975170284451048*'Registration &amp; ACS Data'!D161*100+10.5394333816381*'Registration &amp; ACS Data'!E161+(-4.68820196176703)*0+0.76741697617948*('House Vote Data'!G161*100))/100))</f>
        <v>0.517072159616186</v>
      </c>
      <c r="E44" s="12" t="n">
        <f aca="false">ROUND(C44*D44,0)</f>
        <v>3592</v>
      </c>
      <c r="F44" s="12" t="n">
        <f aca="false">ROUND(C44*(1-D44),0)</f>
        <v>3355</v>
      </c>
      <c r="G44" s="8" t="str">
        <f aca="false">IF(D44&gt;0.5,"Democrat","Republican")</f>
        <v>Democrat</v>
      </c>
    </row>
    <row r="45" customFormat="false" ht="15" hidden="false" customHeight="true" outlineLevel="0" collapsed="false">
      <c r="A45" s="8" t="s">
        <v>98</v>
      </c>
      <c r="B45" s="8" t="s">
        <v>81</v>
      </c>
      <c r="C45" s="12" t="n">
        <f aca="false">MAX(0, 2*'House Vote Data'!F164 - 'House Vote Data'!F162)</f>
        <v>1539</v>
      </c>
      <c r="D45" s="9" t="n">
        <f aca="false">MIN(1,MAX(0,(9.61305205058266+0.0975170284451048*'Registration &amp; ACS Data'!D165*100+10.5394333816381*'Registration &amp; ACS Data'!E165+(-4.68820196176703)*0+0.76741697617948*('House Vote Data'!G165*100))/100))</f>
        <v>0.41502474226788</v>
      </c>
      <c r="E45" s="12" t="n">
        <f aca="false">ROUND(C45*D45,0)</f>
        <v>639</v>
      </c>
      <c r="F45" s="12" t="n">
        <f aca="false">ROUND(C45*(1-D45),0)</f>
        <v>900</v>
      </c>
      <c r="G45" s="8" t="str">
        <f aca="false">IF(D45&gt;0.5,"Democrat","Republican")</f>
        <v>Republican</v>
      </c>
    </row>
    <row r="46" customFormat="false" ht="15" hidden="false" customHeight="true" outlineLevel="0" collapsed="false">
      <c r="A46" s="8" t="s">
        <v>99</v>
      </c>
      <c r="B46" s="8" t="s">
        <v>81</v>
      </c>
      <c r="C46" s="12" t="n">
        <f aca="false">MAX(0, 2*'House Vote Data'!F168 - 'House Vote Data'!F166)</f>
        <v>11390</v>
      </c>
      <c r="D46" s="9" t="n">
        <f aca="false">MIN(1,MAX(0,(9.61305205058266+0.0975170284451048*'Registration &amp; ACS Data'!D169*100+10.5394333816381*'Registration &amp; ACS Data'!E169+(-4.68820196176703)*0+0.76741697617948*('House Vote Data'!G169*100))/100))</f>
        <v>0.559908986247076</v>
      </c>
      <c r="E46" s="12" t="n">
        <f aca="false">ROUND(C46*D46,0)</f>
        <v>6377</v>
      </c>
      <c r="F46" s="12" t="n">
        <f aca="false">ROUND(C46*(1-D46),0)</f>
        <v>5013</v>
      </c>
      <c r="G46" s="8" t="str">
        <f aca="false">IF(D46&gt;0.5,"Democrat","Republican")</f>
        <v>Democrat</v>
      </c>
    </row>
    <row r="47" customFormat="false" ht="15" hidden="false" customHeight="true" outlineLevel="0" collapsed="false">
      <c r="A47" s="8" t="s">
        <v>100</v>
      </c>
      <c r="B47" s="8" t="s">
        <v>81</v>
      </c>
      <c r="C47" s="12" t="n">
        <f aca="false">MAX(0, 2*'House Vote Data'!F172 - 'House Vote Data'!F170)</f>
        <v>12900</v>
      </c>
      <c r="D47" s="9" t="n">
        <f aca="false">MIN(1,MAX(0,(9.61305205058266+0.0975170284451048*'Registration &amp; ACS Data'!D173*100+10.5394333816381*'Registration &amp; ACS Data'!E173+(-4.68820196176703)*0+0.76741697617948*('House Vote Data'!G173*100))/100))</f>
        <v>0.549537063913131</v>
      </c>
      <c r="E47" s="12" t="n">
        <f aca="false">ROUND(C47*D47,0)</f>
        <v>7089</v>
      </c>
      <c r="F47" s="12" t="n">
        <f aca="false">ROUND(C47*(1-D47),0)</f>
        <v>5811</v>
      </c>
      <c r="G47" s="8" t="str">
        <f aca="false">IF(D47&gt;0.5,"Democrat","Republican")</f>
        <v>Democrat</v>
      </c>
    </row>
    <row r="48" customFormat="false" ht="15" hidden="false" customHeight="true" outlineLevel="0" collapsed="false">
      <c r="A48" s="8" t="s">
        <v>101</v>
      </c>
      <c r="B48" s="8" t="s">
        <v>81</v>
      </c>
      <c r="C48" s="12" t="n">
        <f aca="false">MAX(0, 2*'House Vote Data'!F176 - 'House Vote Data'!F174)</f>
        <v>5327</v>
      </c>
      <c r="D48" s="9" t="n">
        <f aca="false">MIN(1,MAX(0,(9.61305205058266+0.0975170284451048*'Registration &amp; ACS Data'!D177*100+10.5394333816381*'Registration &amp; ACS Data'!E177+(-4.68820196176703)*0+0.76741697617948*('House Vote Data'!G177*100))/100))</f>
        <v>0.458051087309538</v>
      </c>
      <c r="E48" s="12" t="n">
        <f aca="false">ROUND(C48*D48,0)</f>
        <v>2440</v>
      </c>
      <c r="F48" s="12" t="n">
        <f aca="false">ROUND(C48*(1-D48),0)</f>
        <v>2887</v>
      </c>
      <c r="G48" s="8" t="str">
        <f aca="false">IF(D48&gt;0.5,"Democrat","Republican")</f>
        <v>Republican</v>
      </c>
    </row>
    <row r="49" customFormat="false" ht="15" hidden="false" customHeight="true" outlineLevel="0" collapsed="false">
      <c r="A49" s="8" t="s">
        <v>102</v>
      </c>
      <c r="B49" s="8" t="s">
        <v>81</v>
      </c>
      <c r="C49" s="12" t="n">
        <f aca="false">MAX(0, 2*'House Vote Data'!F180 - 'House Vote Data'!F178)</f>
        <v>10130</v>
      </c>
      <c r="D49" s="9" t="n">
        <f aca="false">MIN(1,MAX(0,(9.61305205058266+0.0975170284451048*'Registration &amp; ACS Data'!D181*100+10.5394333816381*'Registration &amp; ACS Data'!E181+(-4.68820196176703)*0+0.76741697617948*('House Vote Data'!G181*100))/100))</f>
        <v>0.518793474080652</v>
      </c>
      <c r="E49" s="12" t="n">
        <f aca="false">ROUND(C49*D49,0)</f>
        <v>5255</v>
      </c>
      <c r="F49" s="12" t="n">
        <f aca="false">ROUND(C49*(1-D49),0)</f>
        <v>4875</v>
      </c>
      <c r="G49" s="8" t="str">
        <f aca="false">IF(D49&gt;0.5,"Democrat","Republican")</f>
        <v>Democrat</v>
      </c>
    </row>
    <row r="50" customFormat="false" ht="15" hidden="false" customHeight="true" outlineLevel="0" collapsed="false">
      <c r="A50" s="8" t="s">
        <v>103</v>
      </c>
      <c r="B50" s="8" t="s">
        <v>81</v>
      </c>
      <c r="C50" s="12" t="n">
        <f aca="false">MAX(0, 2*'House Vote Data'!F184 - 'House Vote Data'!F182)</f>
        <v>3545</v>
      </c>
      <c r="D50" s="9" t="n">
        <f aca="false">MIN(1,MAX(0,(9.61305205058266+0.0975170284451048*'Registration &amp; ACS Data'!D185*100+10.5394333816381*'Registration &amp; ACS Data'!E185+(-4.68820196176703)*0+0.76741697617948*('House Vote Data'!G185*100))/100))</f>
        <v>0.341176011222392</v>
      </c>
      <c r="E50" s="12" t="n">
        <f aca="false">ROUND(C50*D50,0)</f>
        <v>1209</v>
      </c>
      <c r="F50" s="12" t="n">
        <f aca="false">ROUND(C50*(1-D50),0)</f>
        <v>2336</v>
      </c>
      <c r="G50" s="8" t="str">
        <f aca="false">IF(D50&gt;0.5,"Democrat","Republican")</f>
        <v>Republican</v>
      </c>
    </row>
    <row r="51" customFormat="false" ht="15" hidden="false" customHeight="true" outlineLevel="0" collapsed="false">
      <c r="A51" s="8" t="s">
        <v>104</v>
      </c>
      <c r="B51" s="8" t="s">
        <v>81</v>
      </c>
      <c r="C51" s="12" t="n">
        <f aca="false">MAX(0, 2*'House Vote Data'!F188 - 'House Vote Data'!F186)</f>
        <v>3043</v>
      </c>
      <c r="D51" s="9" t="n">
        <f aca="false">MIN(1,MAX(0,(9.61305205058266+0.0975170284451048*'Registration &amp; ACS Data'!D189*100+10.5394333816381*'Registration &amp; ACS Data'!E189+(-4.68820196176703)*0+0.76741697617948*('House Vote Data'!G189*100))/100))</f>
        <v>0.377354390309575</v>
      </c>
      <c r="E51" s="12" t="n">
        <f aca="false">ROUND(C51*D51,0)</f>
        <v>1148</v>
      </c>
      <c r="F51" s="12" t="n">
        <f aca="false">ROUND(C51*(1-D51),0)</f>
        <v>1895</v>
      </c>
      <c r="G51" s="8" t="str">
        <f aca="false">IF(D51&gt;0.5,"Democrat","Republican")</f>
        <v>Republican</v>
      </c>
    </row>
    <row r="52" customFormat="false" ht="15" hidden="false" customHeight="true" outlineLevel="0" collapsed="false">
      <c r="A52" s="8" t="s">
        <v>105</v>
      </c>
      <c r="B52" s="8" t="s">
        <v>81</v>
      </c>
      <c r="C52" s="12" t="n">
        <f aca="false">MAX(0, 2*'House Vote Data'!F192 - 'House Vote Data'!F190)</f>
        <v>11319</v>
      </c>
      <c r="D52" s="9" t="n">
        <f aca="false">MIN(1,MAX(0,(9.61305205058266+0.0975170284451048*'Registration &amp; ACS Data'!D193*100+10.5394333816381*'Registration &amp; ACS Data'!E193+(-4.68820196176703)*0+0.76741697617948*('House Vote Data'!G193*100))/100))</f>
        <v>0.52899760606253</v>
      </c>
      <c r="E52" s="12" t="n">
        <f aca="false">ROUND(C52*D52,0)</f>
        <v>5988</v>
      </c>
      <c r="F52" s="12" t="n">
        <f aca="false">ROUND(C52*(1-D52),0)</f>
        <v>5331</v>
      </c>
      <c r="G52" s="8" t="str">
        <f aca="false">IF(D52&gt;0.5,"Democrat","Republican")</f>
        <v>Democrat</v>
      </c>
    </row>
    <row r="53" customFormat="false" ht="15" hidden="false" customHeight="true" outlineLevel="0" collapsed="false">
      <c r="A53" s="8" t="s">
        <v>106</v>
      </c>
      <c r="B53" s="8" t="s">
        <v>107</v>
      </c>
      <c r="C53" s="12" t="n">
        <f aca="false">MAX(0, 2*'House Vote Data'!F196 - 'House Vote Data'!F194)</f>
        <v>1408</v>
      </c>
      <c r="D53" s="9" t="n">
        <f aca="false">MIN(1,MAX(0,(9.61305205058266+0.0975170284451048*'Registration &amp; ACS Data'!D197*100+10.5394333816381*'Registration &amp; ACS Data'!E197+(-4.68820196176703)*0+0.76741697617948*('House Vote Data'!G197*100))/100))</f>
        <v>0.31954571512689</v>
      </c>
      <c r="E53" s="12" t="n">
        <f aca="false">ROUND(C53*D53,0)</f>
        <v>450</v>
      </c>
      <c r="F53" s="12" t="n">
        <f aca="false">ROUND(C53*(1-D53),0)</f>
        <v>958</v>
      </c>
      <c r="G53" s="8" t="str">
        <f aca="false">IF(D53&gt;0.5,"Democrat","Republican")</f>
        <v>Republican</v>
      </c>
    </row>
    <row r="54" customFormat="false" ht="15" hidden="false" customHeight="true" outlineLevel="0" collapsed="false">
      <c r="A54" s="8" t="s">
        <v>108</v>
      </c>
      <c r="B54" s="8" t="s">
        <v>107</v>
      </c>
      <c r="C54" s="12" t="n">
        <f aca="false">MAX(0, 2*'House Vote Data'!F200 - 'House Vote Data'!F198)</f>
        <v>3530</v>
      </c>
      <c r="D54" s="9" t="n">
        <f aca="false">MIN(1,MAX(0,(9.61305205058266+0.0975170284451048*'Registration &amp; ACS Data'!D201*100+10.5394333816381*'Registration &amp; ACS Data'!E201+(-4.68820196176703)*0+0.76741697617948*('House Vote Data'!G201*100))/100))</f>
        <v>0.34816810406256</v>
      </c>
      <c r="E54" s="12" t="n">
        <f aca="false">ROUND(C54*D54,0)</f>
        <v>1229</v>
      </c>
      <c r="F54" s="12" t="n">
        <f aca="false">ROUND(C54*(1-D54),0)</f>
        <v>2301</v>
      </c>
      <c r="G54" s="8" t="str">
        <f aca="false">IF(D54&gt;0.5,"Democrat","Republican")</f>
        <v>Republican</v>
      </c>
    </row>
    <row r="55" customFormat="false" ht="15" hidden="false" customHeight="true" outlineLevel="0" collapsed="false">
      <c r="A55" s="8" t="s">
        <v>109</v>
      </c>
      <c r="B55" s="8" t="s">
        <v>107</v>
      </c>
      <c r="C55" s="12" t="n">
        <f aca="false">MAX(0, 2*'House Vote Data'!F204 - 'House Vote Data'!F202)</f>
        <v>337</v>
      </c>
      <c r="D55" s="9" t="n">
        <f aca="false">MIN(1,MAX(0,(9.61305205058266+0.0975170284451048*'Registration &amp; ACS Data'!D205*100+10.5394333816381*'Registration &amp; ACS Data'!E205+(-4.68820196176703)*0+0.76741697617948*('House Vote Data'!G205*100))/100))</f>
        <v>0.368885024618396</v>
      </c>
      <c r="E55" s="12" t="n">
        <f aca="false">ROUND(C55*D55,0)</f>
        <v>124</v>
      </c>
      <c r="F55" s="12" t="n">
        <f aca="false">ROUND(C55*(1-D55),0)</f>
        <v>213</v>
      </c>
      <c r="G55" s="8" t="str">
        <f aca="false">IF(D55&gt;0.5,"Democrat","Republican")</f>
        <v>Republican</v>
      </c>
    </row>
    <row r="56" customFormat="false" ht="15" hidden="false" customHeight="true" outlineLevel="0" collapsed="false">
      <c r="A56" s="8" t="s">
        <v>110</v>
      </c>
      <c r="B56" s="8" t="s">
        <v>111</v>
      </c>
      <c r="C56" s="12" t="n">
        <f aca="false">MAX(0, 2*'House Vote Data'!F208 - 'House Vote Data'!F206)</f>
        <v>3096</v>
      </c>
      <c r="D56" s="9" t="n">
        <f aca="false">MIN(1,MAX(0,(9.61305205058266+0.0975170284451048*'Registration &amp; ACS Data'!D209*100+10.5394333816381*'Registration &amp; ACS Data'!E209+(-4.68820196176703)*0+0.76741697617948*('House Vote Data'!G209*100))/100))</f>
        <v>0.449261927910245</v>
      </c>
      <c r="E56" s="12" t="n">
        <f aca="false">ROUND(C56*D56,0)</f>
        <v>1391</v>
      </c>
      <c r="F56" s="12" t="n">
        <f aca="false">ROUND(C56*(1-D56),0)</f>
        <v>1705</v>
      </c>
      <c r="G56" s="8" t="str">
        <f aca="false">IF(D56&gt;0.5,"Democrat","Republican")</f>
        <v>Republican</v>
      </c>
    </row>
    <row r="57" customFormat="false" ht="15" hidden="false" customHeight="true" outlineLevel="0" collapsed="false">
      <c r="A57" s="8" t="s">
        <v>112</v>
      </c>
      <c r="B57" s="8" t="s">
        <v>111</v>
      </c>
      <c r="C57" s="12" t="n">
        <f aca="false">MAX(0, 2*'House Vote Data'!F212 - 'House Vote Data'!F210)</f>
        <v>1833</v>
      </c>
      <c r="D57" s="9" t="n">
        <f aca="false">MIN(1,MAX(0,(9.61305205058266+0.0975170284451048*'Registration &amp; ACS Data'!D213*100+10.5394333816381*'Registration &amp; ACS Data'!E213+(-4.68820196176703)*0+0.76741697617948*('House Vote Data'!G213*100))/100))</f>
        <v>0.427352899936483</v>
      </c>
      <c r="E57" s="12" t="n">
        <f aca="false">ROUND(C57*D57,0)</f>
        <v>783</v>
      </c>
      <c r="F57" s="12" t="n">
        <f aca="false">ROUND(C57*(1-D57),0)</f>
        <v>1050</v>
      </c>
      <c r="G57" s="8" t="str">
        <f aca="false">IF(D57&gt;0.5,"Democrat","Republican")</f>
        <v>Republican</v>
      </c>
    </row>
    <row r="58" customFormat="false" ht="15" hidden="false" customHeight="true" outlineLevel="0" collapsed="false">
      <c r="A58" s="8" t="s">
        <v>113</v>
      </c>
      <c r="B58" s="8" t="s">
        <v>111</v>
      </c>
      <c r="C58" s="12" t="n">
        <f aca="false">MAX(0, 2*'House Vote Data'!F216 - 'House Vote Data'!F214)</f>
        <v>1132</v>
      </c>
      <c r="D58" s="9" t="n">
        <f aca="false">MIN(1,MAX(0,(9.61305205058266+0.0975170284451048*'Registration &amp; ACS Data'!D217*100+10.5394333816381*'Registration &amp; ACS Data'!E217+(-4.68820196176703)*0+0.76741697617948*('House Vote Data'!G217*100))/100))</f>
        <v>0.473506513006024</v>
      </c>
      <c r="E58" s="12" t="n">
        <f aca="false">ROUND(C58*D58,0)</f>
        <v>536</v>
      </c>
      <c r="F58" s="12" t="n">
        <f aca="false">ROUND(C58*(1-D58),0)</f>
        <v>596</v>
      </c>
      <c r="G58" s="8" t="str">
        <f aca="false">IF(D58&gt;0.5,"Democrat","Republican")</f>
        <v>Republican</v>
      </c>
    </row>
    <row r="59" customFormat="false" ht="15" hidden="false" customHeight="true" outlineLevel="0" collapsed="false">
      <c r="A59" s="8" t="s">
        <v>83</v>
      </c>
      <c r="B59" s="8" t="s">
        <v>111</v>
      </c>
      <c r="C59" s="12" t="n">
        <f aca="false">MAX(0, 2*'House Vote Data'!F220 - 'House Vote Data'!F218)</f>
        <v>19136</v>
      </c>
      <c r="D59" s="9" t="n">
        <f aca="false">MIN(1,MAX(0,(9.61305205058266+0.0975170284451048*'Registration &amp; ACS Data'!D221*100+10.5394333816381*'Registration &amp; ACS Data'!E221+(-4.68820196176703)*0+0.76741697617948*('House Vote Data'!G221*100))/100))</f>
        <v>0.682084708185786</v>
      </c>
      <c r="E59" s="12" t="n">
        <f aca="false">ROUND(C59*D59,0)</f>
        <v>13052</v>
      </c>
      <c r="F59" s="12" t="n">
        <f aca="false">ROUND(C59*(1-D59),0)</f>
        <v>6084</v>
      </c>
      <c r="G59" s="8" t="str">
        <f aca="false">IF(D59&gt;0.5,"Democrat","Republican")</f>
        <v>Democrat</v>
      </c>
    </row>
    <row r="60" customFormat="false" ht="15" hidden="false" customHeight="true" outlineLevel="0" collapsed="false">
      <c r="A60" s="8" t="s">
        <v>114</v>
      </c>
      <c r="B60" s="8" t="s">
        <v>111</v>
      </c>
      <c r="C60" s="12" t="n">
        <f aca="false">MAX(0, 2*'House Vote Data'!F224 - 'House Vote Data'!F222)</f>
        <v>14237</v>
      </c>
      <c r="D60" s="9" t="n">
        <f aca="false">MIN(1,MAX(0,(9.61305205058266+0.0975170284451048*'Registration &amp; ACS Data'!D225*100+10.5394333816381*'Registration &amp; ACS Data'!E225+(-4.68820196176703)*0+0.76741697617948*('House Vote Data'!G225*100))/100))</f>
        <v>0.5804851915072</v>
      </c>
      <c r="E60" s="12" t="n">
        <f aca="false">ROUND(C60*D60,0)</f>
        <v>8264</v>
      </c>
      <c r="F60" s="12" t="n">
        <f aca="false">ROUND(C60*(1-D60),0)</f>
        <v>5973</v>
      </c>
      <c r="G60" s="8" t="str">
        <f aca="false">IF(D60&gt;0.5,"Democrat","Republican")</f>
        <v>Democrat</v>
      </c>
    </row>
    <row r="61" customFormat="false" ht="15" hidden="false" customHeight="true" outlineLevel="0" collapsed="false">
      <c r="A61" s="8" t="s">
        <v>115</v>
      </c>
      <c r="B61" s="8" t="s">
        <v>111</v>
      </c>
      <c r="C61" s="12" t="n">
        <f aca="false">MAX(0, 2*'House Vote Data'!F228 - 'House Vote Data'!F226)</f>
        <v>5285</v>
      </c>
      <c r="D61" s="9" t="n">
        <f aca="false">MIN(1,MAX(0,(9.61305205058266+0.0975170284451048*'Registration &amp; ACS Data'!D229*100+10.5394333816381*'Registration &amp; ACS Data'!E229+(-4.68820196176703)*0+0.76741697617948*('House Vote Data'!G229*100))/100))</f>
        <v>0.418643368406183</v>
      </c>
      <c r="E61" s="12" t="n">
        <f aca="false">ROUND(C61*D61,0)</f>
        <v>2213</v>
      </c>
      <c r="F61" s="12" t="n">
        <f aca="false">ROUND(C61*(1-D61),0)</f>
        <v>3072</v>
      </c>
      <c r="G61" s="8" t="str">
        <f aca="false">IF(D61&gt;0.5,"Democrat","Republican")</f>
        <v>Republican</v>
      </c>
    </row>
    <row r="62" customFormat="false" ht="15" hidden="false" customHeight="true" outlineLevel="0" collapsed="false">
      <c r="A62" s="8" t="s">
        <v>116</v>
      </c>
      <c r="B62" s="8" t="s">
        <v>111</v>
      </c>
      <c r="C62" s="12" t="n">
        <f aca="false">MAX(0, 2*'House Vote Data'!F232 - 'House Vote Data'!F230)</f>
        <v>106</v>
      </c>
      <c r="D62" s="9" t="n">
        <f aca="false">MIN(1,MAX(0,(9.61305205058266+0.0975170284451048*'Registration &amp; ACS Data'!D233*100+10.5394333816381*'Registration &amp; ACS Data'!E233+(-4.68820196176703)*0+0.76741697617948*('House Vote Data'!G233*100))/100))</f>
        <v>0.345167628946111</v>
      </c>
      <c r="E62" s="12" t="n">
        <f aca="false">ROUND(C62*D62,0)</f>
        <v>37</v>
      </c>
      <c r="F62" s="12" t="n">
        <f aca="false">ROUND(C62*(1-D62),0)</f>
        <v>69</v>
      </c>
      <c r="G62" s="8" t="str">
        <f aca="false">IF(D62&gt;0.5,"Democrat","Republican")</f>
        <v>Republican</v>
      </c>
    </row>
    <row r="63" customFormat="false" ht="15" hidden="false" customHeight="true" outlineLevel="0" collapsed="false">
      <c r="A63" s="8" t="s">
        <v>117</v>
      </c>
      <c r="B63" s="8" t="s">
        <v>111</v>
      </c>
      <c r="C63" s="12" t="n">
        <f aca="false">MAX(0, 2*'House Vote Data'!F236 - 'House Vote Data'!F234)</f>
        <v>3043</v>
      </c>
      <c r="D63" s="9" t="n">
        <f aca="false">MIN(1,MAX(0,(9.61305205058266+0.0975170284451048*'Registration &amp; ACS Data'!D237*100+10.5394333816381*'Registration &amp; ACS Data'!E237+(-4.68820196176703)*0+0.76741697617948*('House Vote Data'!G237*100))/100))</f>
        <v>0.447989391503483</v>
      </c>
      <c r="E63" s="12" t="n">
        <f aca="false">ROUND(C63*D63,0)</f>
        <v>1363</v>
      </c>
      <c r="F63" s="12" t="n">
        <f aca="false">ROUND(C63*(1-D63),0)</f>
        <v>1680</v>
      </c>
      <c r="G63" s="8" t="str">
        <f aca="false">IF(D63&gt;0.5,"Democrat","Republican")</f>
        <v>Republican</v>
      </c>
    </row>
    <row r="64" customFormat="false" ht="15" hidden="false" customHeight="true" outlineLevel="0" collapsed="false">
      <c r="A64" s="8" t="s">
        <v>118</v>
      </c>
      <c r="B64" s="8" t="s">
        <v>111</v>
      </c>
      <c r="C64" s="12" t="n">
        <f aca="false">MAX(0, 2*'House Vote Data'!F240 - 'House Vote Data'!F238)</f>
        <v>369</v>
      </c>
      <c r="D64" s="9" t="n">
        <f aca="false">MIN(1,MAX(0,(9.61305205058266+0.0975170284451048*'Registration &amp; ACS Data'!D241*100+10.5394333816381*'Registration &amp; ACS Data'!E241+(-4.68820196176703)*0+0.76741697617948*('House Vote Data'!G241*100))/100))</f>
        <v>0.414004850773925</v>
      </c>
      <c r="E64" s="12" t="n">
        <f aca="false">ROUND(C64*D64,0)</f>
        <v>153</v>
      </c>
      <c r="F64" s="12" t="n">
        <f aca="false">ROUND(C64*(1-D64),0)</f>
        <v>216</v>
      </c>
      <c r="G64" s="8" t="str">
        <f aca="false">IF(D64&gt;0.5,"Democrat","Republican")</f>
        <v>Republican</v>
      </c>
    </row>
    <row r="65" customFormat="false" ht="15" hidden="false" customHeight="true" outlineLevel="0" collapsed="false">
      <c r="A65" s="8" t="s">
        <v>119</v>
      </c>
      <c r="B65" s="8" t="s">
        <v>111</v>
      </c>
      <c r="C65" s="12" t="n">
        <f aca="false">MAX(0, 2*'House Vote Data'!F244 - 'House Vote Data'!F242)</f>
        <v>7544</v>
      </c>
      <c r="D65" s="9" t="n">
        <f aca="false">MIN(1,MAX(0,(9.61305205058266+0.0975170284451048*'Registration &amp; ACS Data'!D245*100+10.5394333816381*'Registration &amp; ACS Data'!E245+(-4.68820196176703)*0+0.76741697617948*('House Vote Data'!G245*100))/100))</f>
        <v>0.698173492850505</v>
      </c>
      <c r="E65" s="12" t="n">
        <f aca="false">ROUND(C65*D65,0)</f>
        <v>5267</v>
      </c>
      <c r="F65" s="12" t="n">
        <f aca="false">ROUND(C65*(1-D65),0)</f>
        <v>2277</v>
      </c>
      <c r="G65" s="8" t="str">
        <f aca="false">IF(D65&gt;0.5,"Democrat","Republican")</f>
        <v>Democrat</v>
      </c>
    </row>
    <row r="66" customFormat="false" ht="15" hidden="false" customHeight="true" outlineLevel="0" collapsed="false">
      <c r="A66" s="8" t="s">
        <v>120</v>
      </c>
      <c r="B66" s="8" t="s">
        <v>111</v>
      </c>
      <c r="C66" s="12" t="n">
        <f aca="false">MAX(0, 2*'House Vote Data'!F248 - 'House Vote Data'!F246)</f>
        <v>9298</v>
      </c>
      <c r="D66" s="9" t="n">
        <f aca="false">MIN(1,MAX(0,(9.61305205058266+0.0975170284451048*'Registration &amp; ACS Data'!D249*100+10.5394333816381*'Registration &amp; ACS Data'!E249+(-4.68820196176703)*0+0.76741697617948*('House Vote Data'!G249*100))/100))</f>
        <v>0.540761801702825</v>
      </c>
      <c r="E66" s="12" t="n">
        <f aca="false">ROUND(C66*D66,0)</f>
        <v>5028</v>
      </c>
      <c r="F66" s="12" t="n">
        <f aca="false">ROUND(C66*(1-D66),0)</f>
        <v>4270</v>
      </c>
      <c r="G66" s="8" t="str">
        <f aca="false">IF(D66&gt;0.5,"Democrat","Republican")</f>
        <v>Democrat</v>
      </c>
    </row>
    <row r="67" customFormat="false" ht="15" hidden="false" customHeight="true" outlineLevel="0" collapsed="false">
      <c r="A67" s="8" t="s">
        <v>121</v>
      </c>
      <c r="B67" s="8" t="s">
        <v>111</v>
      </c>
      <c r="C67" s="12" t="n">
        <f aca="false">MAX(0, 2*'House Vote Data'!F252 - 'House Vote Data'!F250)</f>
        <v>870</v>
      </c>
      <c r="D67" s="9" t="n">
        <f aca="false">MIN(1,MAX(0,(9.61305205058266+0.0975170284451048*'Registration &amp; ACS Data'!D253*100+10.5394333816381*'Registration &amp; ACS Data'!E253+(-4.68820196176703)*0+0.76741697617948*('House Vote Data'!G253*100))/100))</f>
        <v>0.602113078116904</v>
      </c>
      <c r="E67" s="12" t="n">
        <f aca="false">ROUND(C67*D67,0)</f>
        <v>524</v>
      </c>
      <c r="F67" s="12" t="n">
        <f aca="false">ROUND(C67*(1-D67),0)</f>
        <v>346</v>
      </c>
      <c r="G67" s="8" t="str">
        <f aca="false">IF(D67&gt;0.5,"Democrat","Republican")</f>
        <v>Democrat</v>
      </c>
    </row>
    <row r="68" customFormat="false" ht="15" hidden="false" customHeight="true" outlineLevel="0" collapsed="false">
      <c r="A68" s="8" t="s">
        <v>122</v>
      </c>
      <c r="B68" s="8" t="s">
        <v>111</v>
      </c>
      <c r="C68" s="12" t="n">
        <f aca="false">MAX(0, 2*'House Vote Data'!F256 - 'House Vote Data'!F254)</f>
        <v>171</v>
      </c>
      <c r="D68" s="9" t="n">
        <f aca="false">MIN(1,MAX(0,(9.61305205058266+0.0975170284451048*'Registration &amp; ACS Data'!D257*100+10.5394333816381*'Registration &amp; ACS Data'!E257+(-4.68820196176703)*0+0.76741697617948*('House Vote Data'!G257*100))/100))</f>
        <v>0.527852367027315</v>
      </c>
      <c r="E68" s="12" t="n">
        <f aca="false">ROUND(C68*D68,0)</f>
        <v>90</v>
      </c>
      <c r="F68" s="12" t="n">
        <f aca="false">ROUND(C68*(1-D68),0)</f>
        <v>81</v>
      </c>
      <c r="G68" s="8" t="str">
        <f aca="false">IF(D68&gt;0.5,"Democrat","Republican")</f>
        <v>Democrat</v>
      </c>
    </row>
    <row r="69" customFormat="false" ht="15" hidden="false" customHeight="true" outlineLevel="0" collapsed="false">
      <c r="A69" s="8" t="s">
        <v>89</v>
      </c>
      <c r="B69" s="8" t="s">
        <v>111</v>
      </c>
      <c r="C69" s="12" t="n">
        <f aca="false">MAX(0, 2*'House Vote Data'!F260 - 'House Vote Data'!F258)</f>
        <v>7221</v>
      </c>
      <c r="D69" s="9" t="n">
        <f aca="false">MIN(1,MAX(0,(9.61305205058266+0.0975170284451048*'Registration &amp; ACS Data'!D261*100+10.5394333816381*'Registration &amp; ACS Data'!E261+(-4.68820196176703)*0+0.76741697617948*('House Vote Data'!G261*100))/100))</f>
        <v>0.577744177970041</v>
      </c>
      <c r="E69" s="12" t="n">
        <f aca="false">ROUND(C69*D69,0)</f>
        <v>4172</v>
      </c>
      <c r="F69" s="12" t="n">
        <f aca="false">ROUND(C69*(1-D69),0)</f>
        <v>3049</v>
      </c>
      <c r="G69" s="8" t="str">
        <f aca="false">IF(D69&gt;0.5,"Democrat","Republican")</f>
        <v>Democrat</v>
      </c>
    </row>
    <row r="70" customFormat="false" ht="15" hidden="false" customHeight="true" outlineLevel="0" collapsed="false">
      <c r="A70" s="8" t="s">
        <v>123</v>
      </c>
      <c r="B70" s="8" t="s">
        <v>111</v>
      </c>
      <c r="C70" s="12" t="n">
        <f aca="false">MAX(0, 2*'House Vote Data'!F264 - 'House Vote Data'!F262)</f>
        <v>2934</v>
      </c>
      <c r="D70" s="9" t="n">
        <f aca="false">MIN(1,MAX(0,(9.61305205058266+0.0975170284451048*'Registration &amp; ACS Data'!D265*100+10.5394333816381*'Registration &amp; ACS Data'!E265+(-4.68820196176703)*0+0.76741697617948*('House Vote Data'!G265*100))/100))</f>
        <v>0.522447833110457</v>
      </c>
      <c r="E70" s="12" t="n">
        <f aca="false">ROUND(C70*D70,0)</f>
        <v>1533</v>
      </c>
      <c r="F70" s="12" t="n">
        <f aca="false">ROUND(C70*(1-D70),0)</f>
        <v>1401</v>
      </c>
      <c r="G70" s="8" t="str">
        <f aca="false">IF(D70&gt;0.5,"Democrat","Republican")</f>
        <v>Democrat</v>
      </c>
    </row>
    <row r="71" customFormat="false" ht="15" hidden="false" customHeight="true" outlineLevel="0" collapsed="false">
      <c r="A71" s="8" t="s">
        <v>81</v>
      </c>
      <c r="B71" s="8" t="s">
        <v>111</v>
      </c>
      <c r="C71" s="12" t="n">
        <f aca="false">MAX(0, 2*'House Vote Data'!F268 - 'House Vote Data'!F266)</f>
        <v>5961</v>
      </c>
      <c r="D71" s="9" t="n">
        <f aca="false">MIN(1,MAX(0,(9.61305205058266+0.0975170284451048*'Registration &amp; ACS Data'!D269*100+10.5394333816381*'Registration &amp; ACS Data'!E269+(-4.68820196176703)*0+0.76741697617948*('House Vote Data'!G269*100))/100))</f>
        <v>0.354549329722292</v>
      </c>
      <c r="E71" s="12" t="n">
        <f aca="false">ROUND(C71*D71,0)</f>
        <v>2113</v>
      </c>
      <c r="F71" s="12" t="n">
        <f aca="false">ROUND(C71*(1-D71),0)</f>
        <v>3848</v>
      </c>
      <c r="G71" s="8" t="str">
        <f aca="false">IF(D71&gt;0.5,"Democrat","Republican")</f>
        <v>Republican</v>
      </c>
    </row>
    <row r="72" customFormat="false" ht="15" hidden="false" customHeight="true" outlineLevel="0" collapsed="false">
      <c r="A72" s="8" t="s">
        <v>124</v>
      </c>
      <c r="B72" s="8" t="s">
        <v>111</v>
      </c>
      <c r="C72" s="12" t="n">
        <f aca="false">MAX(0, 2*'House Vote Data'!F272 - 'House Vote Data'!F270)</f>
        <v>1648</v>
      </c>
      <c r="D72" s="9" t="n">
        <f aca="false">MIN(1,MAX(0,(9.61305205058266+0.0975170284451048*'Registration &amp; ACS Data'!D273*100+10.5394333816381*'Registration &amp; ACS Data'!E273+(-4.68820196176703)*0+0.76741697617948*('House Vote Data'!G273*100))/100))</f>
        <v>0.358433008695609</v>
      </c>
      <c r="E72" s="12" t="n">
        <f aca="false">ROUND(C72*D72,0)</f>
        <v>591</v>
      </c>
      <c r="F72" s="12" t="n">
        <f aca="false">ROUND(C72*(1-D72),0)</f>
        <v>1057</v>
      </c>
      <c r="G72" s="8" t="str">
        <f aca="false">IF(D72&gt;0.5,"Democrat","Republican")</f>
        <v>Republican</v>
      </c>
    </row>
    <row r="73" customFormat="false" ht="15" hidden="false" customHeight="true" outlineLevel="0" collapsed="false">
      <c r="A73" s="8" t="s">
        <v>125</v>
      </c>
      <c r="B73" s="8" t="s">
        <v>111</v>
      </c>
      <c r="C73" s="12" t="n">
        <f aca="false">MAX(0, 2*'House Vote Data'!F276 - 'House Vote Data'!F274)</f>
        <v>4428</v>
      </c>
      <c r="D73" s="9" t="n">
        <f aca="false">MIN(1,MAX(0,(9.61305205058266+0.0975170284451048*'Registration &amp; ACS Data'!D277*100+10.5394333816381*'Registration &amp; ACS Data'!E277+(-4.68820196176703)*0+0.76741697617948*('House Vote Data'!G277*100))/100))</f>
        <v>0.4799102168703</v>
      </c>
      <c r="E73" s="12" t="n">
        <f aca="false">ROUND(C73*D73,0)</f>
        <v>2125</v>
      </c>
      <c r="F73" s="12" t="n">
        <f aca="false">ROUND(C73*(1-D73),0)</f>
        <v>2303</v>
      </c>
      <c r="G73" s="8" t="str">
        <f aca="false">IF(D73&gt;0.5,"Democrat","Republican")</f>
        <v>Republican</v>
      </c>
    </row>
    <row r="74" customFormat="false" ht="15" hidden="false" customHeight="true" outlineLevel="0" collapsed="false">
      <c r="A74" s="8" t="s">
        <v>126</v>
      </c>
      <c r="B74" s="8" t="s">
        <v>111</v>
      </c>
      <c r="C74" s="12" t="n">
        <f aca="false">MAX(0, 2*'House Vote Data'!F280 - 'House Vote Data'!F278)</f>
        <v>6690</v>
      </c>
      <c r="D74" s="9" t="n">
        <f aca="false">MIN(1,MAX(0,(9.61305205058266+0.0975170284451048*'Registration &amp; ACS Data'!D281*100+10.5394333816381*'Registration &amp; ACS Data'!E281+(-4.68820196176703)*0+0.76741697617948*('House Vote Data'!G281*100))/100))</f>
        <v>0.506043418753045</v>
      </c>
      <c r="E74" s="12" t="n">
        <f aca="false">ROUND(C74*D74,0)</f>
        <v>3385</v>
      </c>
      <c r="F74" s="12" t="n">
        <f aca="false">ROUND(C74*(1-D74),0)</f>
        <v>3305</v>
      </c>
      <c r="G74" s="8" t="str">
        <f aca="false">IF(D74&gt;0.5,"Democrat","Republican")</f>
        <v>Democrat</v>
      </c>
    </row>
    <row r="75" customFormat="false" ht="15" hidden="false" customHeight="true" outlineLevel="0" collapsed="false">
      <c r="A75" s="8" t="s">
        <v>127</v>
      </c>
      <c r="B75" s="8" t="s">
        <v>111</v>
      </c>
      <c r="C75" s="12" t="n">
        <f aca="false">MAX(0, 2*'House Vote Data'!F284 - 'House Vote Data'!F282)</f>
        <v>5588</v>
      </c>
      <c r="D75" s="9" t="n">
        <f aca="false">MIN(1,MAX(0,(9.61305205058266+0.0975170284451048*'Registration &amp; ACS Data'!D285*100+10.5394333816381*'Registration &amp; ACS Data'!E285+(-4.68820196176703)*0+0.76741697617948*('House Vote Data'!G285*100))/100))</f>
        <v>0.350592901596432</v>
      </c>
      <c r="E75" s="12" t="n">
        <f aca="false">ROUND(C75*D75,0)</f>
        <v>1959</v>
      </c>
      <c r="F75" s="12" t="n">
        <f aca="false">ROUND(C75*(1-D75),0)</f>
        <v>3629</v>
      </c>
      <c r="G75" s="8" t="str">
        <f aca="false">IF(D75&gt;0.5,"Democrat","Republican")</f>
        <v>Republican</v>
      </c>
    </row>
    <row r="76" customFormat="false" ht="15" hidden="false" customHeight="true" outlineLevel="0" collapsed="false">
      <c r="A76" s="8" t="s">
        <v>128</v>
      </c>
      <c r="B76" s="8" t="s">
        <v>111</v>
      </c>
      <c r="C76" s="12" t="n">
        <f aca="false">MAX(0, 2*'House Vote Data'!F288 - 'House Vote Data'!F286)</f>
        <v>2794</v>
      </c>
      <c r="D76" s="9" t="n">
        <f aca="false">MIN(1,MAX(0,(9.61305205058266+0.0975170284451048*'Registration &amp; ACS Data'!D289*100+10.5394333816381*'Registration &amp; ACS Data'!E289+(-4.68820196176703)*0+0.76741697617948*('House Vote Data'!G289*100))/100))</f>
        <v>0.49933607651284</v>
      </c>
      <c r="E76" s="12" t="n">
        <f aca="false">ROUND(C76*D76,0)</f>
        <v>1395</v>
      </c>
      <c r="F76" s="12" t="n">
        <f aca="false">ROUND(C76*(1-D76),0)</f>
        <v>1399</v>
      </c>
      <c r="G76" s="8" t="str">
        <f aca="false">IF(D76&gt;0.5,"Democrat","Republican")</f>
        <v>Republican</v>
      </c>
    </row>
    <row r="77" customFormat="false" ht="15" hidden="false" customHeight="true" outlineLevel="0" collapsed="false">
      <c r="A77" s="8" t="s">
        <v>129</v>
      </c>
      <c r="B77" s="8" t="s">
        <v>111</v>
      </c>
      <c r="C77" s="12" t="n">
        <f aca="false">MAX(0, 2*'House Vote Data'!F292 - 'House Vote Data'!F290)</f>
        <v>1499</v>
      </c>
      <c r="D77" s="9" t="n">
        <f aca="false">MIN(1,MAX(0,(9.61305205058266+0.0975170284451048*'Registration &amp; ACS Data'!D293*100+10.5394333816381*'Registration &amp; ACS Data'!E293+(-4.68820196176703)*0+0.76741697617948*('House Vote Data'!G293*100))/100))</f>
        <v>0.501331595267931</v>
      </c>
      <c r="E77" s="12" t="n">
        <f aca="false">ROUND(C77*D77,0)</f>
        <v>751</v>
      </c>
      <c r="F77" s="12" t="n">
        <f aca="false">ROUND(C77*(1-D77),0)</f>
        <v>748</v>
      </c>
      <c r="G77" s="8" t="str">
        <f aca="false">IF(D77&gt;0.5,"Democrat","Republican")</f>
        <v>Democrat</v>
      </c>
    </row>
    <row r="78" customFormat="false" ht="15" hidden="false" customHeight="true" outlineLevel="0" collapsed="false">
      <c r="A78" s="8" t="s">
        <v>111</v>
      </c>
      <c r="B78" s="8" t="s">
        <v>111</v>
      </c>
      <c r="C78" s="12" t="n">
        <f aca="false">MAX(0, 2*'House Vote Data'!F296 - 'House Vote Data'!F294)</f>
        <v>4570</v>
      </c>
      <c r="D78" s="9" t="n">
        <f aca="false">MIN(1,MAX(0,(9.61305205058266+0.0975170284451048*'Registration &amp; ACS Data'!D297*100+10.5394333816381*'Registration &amp; ACS Data'!E297+(-4.68820196176703)*0+0.76741697617948*('House Vote Data'!G297*100))/100))</f>
        <v>0.477760767869105</v>
      </c>
      <c r="E78" s="12" t="n">
        <f aca="false">ROUND(C78*D78,0)</f>
        <v>2183</v>
      </c>
      <c r="F78" s="12" t="n">
        <f aca="false">ROUND(C78*(1-D78),0)</f>
        <v>2387</v>
      </c>
      <c r="G78" s="8" t="str">
        <f aca="false">IF(D78&gt;0.5,"Democrat","Republican")</f>
        <v>Republican</v>
      </c>
    </row>
    <row r="79" customFormat="false" ht="15" hidden="false" customHeight="true" outlineLevel="0" collapsed="false">
      <c r="A79" s="8" t="s">
        <v>130</v>
      </c>
      <c r="B79" s="8" t="s">
        <v>111</v>
      </c>
      <c r="C79" s="12" t="n">
        <f aca="false">MAX(0, 2*'House Vote Data'!F300 - 'House Vote Data'!F298)</f>
        <v>11727</v>
      </c>
      <c r="D79" s="9" t="n">
        <f aca="false">MIN(1,MAX(0,(9.61305205058266+0.0975170284451048*'Registration &amp; ACS Data'!D301*100+10.5394333816381*'Registration &amp; ACS Data'!E301+(-4.68820196176703)*0+0.76741697617948*('House Vote Data'!G301*100))/100))</f>
        <v>0.535465972192795</v>
      </c>
      <c r="E79" s="12" t="n">
        <f aca="false">ROUND(C79*D79,0)</f>
        <v>6279</v>
      </c>
      <c r="F79" s="12" t="n">
        <f aca="false">ROUND(C79*(1-D79),0)</f>
        <v>5448</v>
      </c>
      <c r="G79" s="8" t="str">
        <f aca="false">IF(D79&gt;0.5,"Democrat","Republican")</f>
        <v>Democrat</v>
      </c>
    </row>
    <row r="80" customFormat="false" ht="15" hidden="false" customHeight="true" outlineLevel="0" collapsed="false">
      <c r="A80" s="8" t="s">
        <v>131</v>
      </c>
      <c r="B80" s="8" t="s">
        <v>111</v>
      </c>
      <c r="C80" s="12" t="n">
        <f aca="false">MAX(0, 2*'House Vote Data'!F304 - 'House Vote Data'!F302)</f>
        <v>1409</v>
      </c>
      <c r="D80" s="9" t="n">
        <f aca="false">MIN(1,MAX(0,(9.61305205058266+0.0975170284451048*'Registration &amp; ACS Data'!D305*100+10.5394333816381*'Registration &amp; ACS Data'!E305+(-4.68820196176703)*0+0.76741697617948*('House Vote Data'!G305*100))/100))</f>
        <v>0.391051975342936</v>
      </c>
      <c r="E80" s="12" t="n">
        <f aca="false">ROUND(C80*D80,0)</f>
        <v>551</v>
      </c>
      <c r="F80" s="12" t="n">
        <f aca="false">ROUND(C80*(1-D80),0)</f>
        <v>858</v>
      </c>
      <c r="G80" s="8" t="str">
        <f aca="false">IF(D80&gt;0.5,"Democrat","Republican")</f>
        <v>Republican</v>
      </c>
    </row>
    <row r="81" customFormat="false" ht="15" hidden="false" customHeight="true" outlineLevel="0" collapsed="false">
      <c r="A81" s="8" t="s">
        <v>132</v>
      </c>
      <c r="B81" s="8" t="s">
        <v>111</v>
      </c>
      <c r="C81" s="12" t="n">
        <f aca="false">MAX(0, 2*'House Vote Data'!F308 - 'House Vote Data'!F306)</f>
        <v>3601</v>
      </c>
      <c r="D81" s="9" t="n">
        <f aca="false">MIN(1,MAX(0,(9.61305205058266+0.0975170284451048*'Registration &amp; ACS Data'!D309*100+10.5394333816381*'Registration &amp; ACS Data'!E309+(-4.68820196176703)*0+0.76741697617948*('House Vote Data'!G309*100))/100))</f>
        <v>0.362396082142189</v>
      </c>
      <c r="E81" s="12" t="n">
        <f aca="false">ROUND(C81*D81,0)</f>
        <v>1305</v>
      </c>
      <c r="F81" s="12" t="n">
        <f aca="false">ROUND(C81*(1-D81),0)</f>
        <v>2296</v>
      </c>
      <c r="G81" s="8" t="str">
        <f aca="false">IF(D81&gt;0.5,"Democrat","Republican")</f>
        <v>Republican</v>
      </c>
    </row>
    <row r="82" customFormat="false" ht="15" hidden="false" customHeight="true" outlineLevel="0" collapsed="false">
      <c r="A82" s="8" t="s">
        <v>133</v>
      </c>
      <c r="B82" s="8" t="s">
        <v>111</v>
      </c>
      <c r="C82" s="12" t="n">
        <f aca="false">MAX(0, 2*'House Vote Data'!F312 - 'House Vote Data'!F310)</f>
        <v>222</v>
      </c>
      <c r="D82" s="9" t="n">
        <f aca="false">MIN(1,MAX(0,(9.61305205058266+0.0975170284451048*'Registration &amp; ACS Data'!D313*100+10.5394333816381*'Registration &amp; ACS Data'!E313+(-4.68820196176703)*0+0.76741697617948*('House Vote Data'!G313*100))/100))</f>
        <v>0.366429787658512</v>
      </c>
      <c r="E82" s="12" t="n">
        <f aca="false">ROUND(C82*D82,0)</f>
        <v>81</v>
      </c>
      <c r="F82" s="12" t="n">
        <f aca="false">ROUND(C82*(1-D82),0)</f>
        <v>141</v>
      </c>
      <c r="G82" s="8" t="str">
        <f aca="false">IF(D82&gt;0.5,"Democrat","Republican")</f>
        <v>Republican</v>
      </c>
    </row>
    <row r="83" customFormat="false" ht="15" hidden="false" customHeight="true" outlineLevel="0" collapsed="false">
      <c r="A83" s="8" t="s">
        <v>134</v>
      </c>
      <c r="B83" s="8" t="s">
        <v>111</v>
      </c>
      <c r="C83" s="12" t="n">
        <f aca="false">MAX(0, 2*'House Vote Data'!F316 - 'House Vote Data'!F314)</f>
        <v>774</v>
      </c>
      <c r="D83" s="9" t="n">
        <f aca="false">MIN(1,MAX(0,(9.61305205058266+0.0975170284451048*'Registration &amp; ACS Data'!D317*100+10.5394333816381*'Registration &amp; ACS Data'!E317+(-4.68820196176703)*0+0.76741697617948*('House Vote Data'!G317*100))/100))</f>
        <v>0.392940480314737</v>
      </c>
      <c r="E83" s="12" t="n">
        <f aca="false">ROUND(C83*D83,0)</f>
        <v>304</v>
      </c>
      <c r="F83" s="12" t="n">
        <f aca="false">ROUND(C83*(1-D83),0)</f>
        <v>470</v>
      </c>
      <c r="G83" s="8" t="str">
        <f aca="false">IF(D83&gt;0.5,"Democrat","Republican")</f>
        <v>Republican</v>
      </c>
    </row>
    <row r="84" customFormat="false" ht="15" hidden="false" customHeight="true" outlineLevel="0" collapsed="false">
      <c r="A84" s="8" t="s">
        <v>135</v>
      </c>
      <c r="B84" s="8" t="s">
        <v>111</v>
      </c>
      <c r="C84" s="12" t="n">
        <f aca="false">MAX(0, 2*'House Vote Data'!F320 - 'House Vote Data'!F318)</f>
        <v>460</v>
      </c>
      <c r="D84" s="9" t="n">
        <f aca="false">MIN(1,MAX(0,(9.61305205058266+0.0975170284451048*'Registration &amp; ACS Data'!D321*100+10.5394333816381*'Registration &amp; ACS Data'!E321+(-4.68820196176703)*0+0.76741697617948*('House Vote Data'!G321*100))/100))</f>
        <v>0.431507948935996</v>
      </c>
      <c r="E84" s="12" t="n">
        <f aca="false">ROUND(C84*D84,0)</f>
        <v>198</v>
      </c>
      <c r="F84" s="12" t="n">
        <f aca="false">ROUND(C84*(1-D84),0)</f>
        <v>262</v>
      </c>
      <c r="G84" s="8" t="str">
        <f aca="false">IF(D84&gt;0.5,"Democrat","Republican")</f>
        <v>Republican</v>
      </c>
    </row>
    <row r="85" customFormat="false" ht="15" hidden="false" customHeight="true" outlineLevel="0" collapsed="false">
      <c r="A85" s="8" t="s">
        <v>136</v>
      </c>
      <c r="B85" s="8" t="s">
        <v>111</v>
      </c>
      <c r="C85" s="12" t="n">
        <f aca="false">MAX(0, 2*'House Vote Data'!F324 - 'House Vote Data'!F322)</f>
        <v>677</v>
      </c>
      <c r="D85" s="9" t="n">
        <f aca="false">MIN(1,MAX(0,(9.61305205058266+0.0975170284451048*'Registration &amp; ACS Data'!D325*100+10.5394333816381*'Registration &amp; ACS Data'!E325+(-4.68820196176703)*0+0.76741697617948*('House Vote Data'!G325*100))/100))</f>
        <v>0.448431940158751</v>
      </c>
      <c r="E85" s="12" t="n">
        <f aca="false">ROUND(C85*D85,0)</f>
        <v>304</v>
      </c>
      <c r="F85" s="12" t="n">
        <f aca="false">ROUND(C85*(1-D85),0)</f>
        <v>373</v>
      </c>
      <c r="G85" s="8" t="str">
        <f aca="false">IF(D85&gt;0.5,"Democrat","Republican")</f>
        <v>Republican</v>
      </c>
    </row>
    <row r="86" customFormat="false" ht="15" hidden="false" customHeight="true" outlineLevel="0" collapsed="false">
      <c r="A86" s="8" t="s">
        <v>137</v>
      </c>
      <c r="B86" s="8" t="s">
        <v>111</v>
      </c>
      <c r="C86" s="12" t="n">
        <f aca="false">MAX(0, 2*'House Vote Data'!F328 - 'House Vote Data'!F326)</f>
        <v>3574</v>
      </c>
      <c r="D86" s="9" t="n">
        <f aca="false">MIN(1,MAX(0,(9.61305205058266+0.0975170284451048*'Registration &amp; ACS Data'!D329*100+10.5394333816381*'Registration &amp; ACS Data'!E329+(-4.68820196176703)*0+0.76741697617948*('House Vote Data'!G329*100))/100))</f>
        <v>0.336075111950092</v>
      </c>
      <c r="E86" s="12" t="n">
        <f aca="false">ROUND(C86*D86,0)</f>
        <v>1201</v>
      </c>
      <c r="F86" s="12" t="n">
        <f aca="false">ROUND(C86*(1-D86),0)</f>
        <v>2373</v>
      </c>
      <c r="G86" s="8" t="str">
        <f aca="false">IF(D86&gt;0.5,"Democrat","Republican")</f>
        <v>Republican</v>
      </c>
    </row>
    <row r="87" customFormat="false" ht="15" hidden="false" customHeight="true" outlineLevel="0" collapsed="false">
      <c r="A87" s="8" t="s">
        <v>138</v>
      </c>
      <c r="B87" s="8" t="s">
        <v>111</v>
      </c>
      <c r="C87" s="12" t="n">
        <f aca="false">MAX(0, 2*'House Vote Data'!F332 - 'House Vote Data'!F330)</f>
        <v>3803</v>
      </c>
      <c r="D87" s="9" t="n">
        <f aca="false">MIN(1,MAX(0,(9.61305205058266+0.0975170284451048*'Registration &amp; ACS Data'!D333*100+10.5394333816381*'Registration &amp; ACS Data'!E333+(-4.68820196176703)*0+0.76741697617948*('House Vote Data'!G333*100))/100))</f>
        <v>0.500470050446292</v>
      </c>
      <c r="E87" s="12" t="n">
        <f aca="false">ROUND(C87*D87,0)</f>
        <v>1903</v>
      </c>
      <c r="F87" s="12" t="n">
        <f aca="false">ROUND(C87*(1-D87),0)</f>
        <v>1900</v>
      </c>
      <c r="G87" s="8" t="str">
        <f aca="false">IF(D87&gt;0.5,"Democrat","Republican")</f>
        <v>Democrat</v>
      </c>
    </row>
    <row r="88" customFormat="false" ht="15" hidden="false" customHeight="true" outlineLevel="0" collapsed="false">
      <c r="A88" s="8" t="s">
        <v>139</v>
      </c>
      <c r="B88" s="8" t="s">
        <v>111</v>
      </c>
      <c r="C88" s="12" t="n">
        <f aca="false">MAX(0, 2*'House Vote Data'!F336 - 'House Vote Data'!F334)</f>
        <v>854</v>
      </c>
      <c r="D88" s="9" t="n">
        <f aca="false">MIN(1,MAX(0,(9.61305205058266+0.0975170284451048*'Registration &amp; ACS Data'!D337*100+10.5394333816381*'Registration &amp; ACS Data'!E337+(-4.68820196176703)*0+0.76741697617948*('House Vote Data'!G337*100))/100))</f>
        <v>0.401049829461871</v>
      </c>
      <c r="E88" s="12" t="n">
        <f aca="false">ROUND(C88*D88,0)</f>
        <v>342</v>
      </c>
      <c r="F88" s="12" t="n">
        <f aca="false">ROUND(C88*(1-D88),0)</f>
        <v>512</v>
      </c>
      <c r="G88" s="8" t="str">
        <f aca="false">IF(D88&gt;0.5,"Democrat","Republican")</f>
        <v>Republican</v>
      </c>
    </row>
    <row r="89" customFormat="false" ht="15" hidden="false" customHeight="true" outlineLevel="0" collapsed="false">
      <c r="A89" s="8" t="s">
        <v>103</v>
      </c>
      <c r="B89" s="8" t="s">
        <v>111</v>
      </c>
      <c r="C89" s="12" t="n">
        <f aca="false">MAX(0, 2*'House Vote Data'!F340 - 'House Vote Data'!F338)</f>
        <v>2884</v>
      </c>
      <c r="D89" s="9" t="n">
        <f aca="false">MIN(1,MAX(0,(9.61305205058266+0.0975170284451048*'Registration &amp; ACS Data'!D341*100+10.5394333816381*'Registration &amp; ACS Data'!E341+(-4.68820196176703)*0+0.76741697617948*('House Vote Data'!G341*100))/100))</f>
        <v>0.359923169526777</v>
      </c>
      <c r="E89" s="12" t="n">
        <f aca="false">ROUND(C89*D89,0)</f>
        <v>1038</v>
      </c>
      <c r="F89" s="12" t="n">
        <f aca="false">ROUND(C89*(1-D89),0)</f>
        <v>1846</v>
      </c>
      <c r="G89" s="8" t="str">
        <f aca="false">IF(D89&gt;0.5,"Democrat","Republican")</f>
        <v>Republican</v>
      </c>
    </row>
    <row r="90" customFormat="false" ht="15" hidden="false" customHeight="true" outlineLevel="0" collapsed="false">
      <c r="A90" s="8" t="s">
        <v>140</v>
      </c>
      <c r="B90" s="8" t="s">
        <v>111</v>
      </c>
      <c r="C90" s="12" t="n">
        <f aca="false">MAX(0, 2*'House Vote Data'!F344 - 'House Vote Data'!F342)</f>
        <v>473</v>
      </c>
      <c r="D90" s="9" t="n">
        <f aca="false">MIN(1,MAX(0,(9.61305205058266+0.0975170284451048*'Registration &amp; ACS Data'!D345*100+10.5394333816381*'Registration &amp; ACS Data'!E345+(-4.68820196176703)*0+0.76741697617948*('House Vote Data'!G345*100))/100))</f>
        <v>0.476349463351642</v>
      </c>
      <c r="E90" s="12" t="n">
        <f aca="false">ROUND(C90*D90,0)</f>
        <v>225</v>
      </c>
      <c r="F90" s="12" t="n">
        <f aca="false">ROUND(C90*(1-D90),0)</f>
        <v>248</v>
      </c>
      <c r="G90" s="8" t="str">
        <f aca="false">IF(D90&gt;0.5,"Democrat","Republican")</f>
        <v>Republican</v>
      </c>
    </row>
    <row r="91" customFormat="false" ht="15" hidden="false" customHeight="true" outlineLevel="0" collapsed="false">
      <c r="A91" s="8" t="s">
        <v>141</v>
      </c>
      <c r="B91" s="8" t="s">
        <v>111</v>
      </c>
      <c r="C91" s="12" t="n">
        <f aca="false">MAX(0, 2*'House Vote Data'!F348 - 'House Vote Data'!F346)</f>
        <v>3802</v>
      </c>
      <c r="D91" s="9" t="n">
        <f aca="false">MIN(1,MAX(0,(9.61305205058266+0.0975170284451048*'Registration &amp; ACS Data'!D349*100+10.5394333816381*'Registration &amp; ACS Data'!E349+(-4.68820196176703)*0+0.76741697617948*('House Vote Data'!G349*100))/100))</f>
        <v>0.459775027118567</v>
      </c>
      <c r="E91" s="12" t="n">
        <f aca="false">ROUND(C91*D91,0)</f>
        <v>1748</v>
      </c>
      <c r="F91" s="12" t="n">
        <f aca="false">ROUND(C91*(1-D91),0)</f>
        <v>2054</v>
      </c>
      <c r="G91" s="8" t="str">
        <f aca="false">IF(D91&gt;0.5,"Democrat","Republican")</f>
        <v>Republican</v>
      </c>
    </row>
    <row r="92" customFormat="false" ht="15" hidden="false" customHeight="true" outlineLevel="0" collapsed="false">
      <c r="A92" s="8" t="s">
        <v>142</v>
      </c>
      <c r="B92" s="8" t="s">
        <v>111</v>
      </c>
      <c r="C92" s="12" t="n">
        <f aca="false">MAX(0, 2*'House Vote Data'!F352 - 'House Vote Data'!F350)</f>
        <v>2529</v>
      </c>
      <c r="D92" s="9" t="n">
        <f aca="false">MIN(1,MAX(0,(9.61305205058266+0.0975170284451048*'Registration &amp; ACS Data'!D353*100+10.5394333816381*'Registration &amp; ACS Data'!E353+(-4.68820196176703)*0+0.76741697617948*('House Vote Data'!G353*100))/100))</f>
        <v>0.562456680994257</v>
      </c>
      <c r="E92" s="12" t="n">
        <f aca="false">ROUND(C92*D92,0)</f>
        <v>1422</v>
      </c>
      <c r="F92" s="12" t="n">
        <f aca="false">ROUND(C92*(1-D92),0)</f>
        <v>1107</v>
      </c>
      <c r="G92" s="8" t="str">
        <f aca="false">IF(D92&gt;0.5,"Democrat","Republican")</f>
        <v>Democrat</v>
      </c>
    </row>
    <row r="93" customFormat="false" ht="15" hidden="false" customHeight="true" outlineLevel="0" collapsed="false">
      <c r="A93" s="8" t="s">
        <v>143</v>
      </c>
      <c r="B93" s="8" t="s">
        <v>111</v>
      </c>
      <c r="C93" s="12" t="n">
        <f aca="false">MAX(0, 2*'House Vote Data'!F356 - 'House Vote Data'!F354)</f>
        <v>1391</v>
      </c>
      <c r="D93" s="9" t="n">
        <f aca="false">MIN(1,MAX(0,(9.61305205058266+0.0975170284451048*'Registration &amp; ACS Data'!D357*100+10.5394333816381*'Registration &amp; ACS Data'!E357+(-4.68820196176703)*0+0.76741697617948*('House Vote Data'!G357*100))/100))</f>
        <v>0.441421026033169</v>
      </c>
      <c r="E93" s="12" t="n">
        <f aca="false">ROUND(C93*D93,0)</f>
        <v>614</v>
      </c>
      <c r="F93" s="12" t="n">
        <f aca="false">ROUND(C93*(1-D93),0)</f>
        <v>777</v>
      </c>
      <c r="G93" s="8" t="str">
        <f aca="false">IF(D93&gt;0.5,"Democrat","Republican")</f>
        <v>Republican</v>
      </c>
    </row>
    <row r="95" customFormat="false" ht="15" hidden="false" customHeight="true" outlineLevel="0" collapsed="false">
      <c r="A95" s="7" t="s">
        <v>222</v>
      </c>
      <c r="E95" s="20" t="n">
        <f aca="false">SUM(E5:E93)</f>
        <v>167362</v>
      </c>
      <c r="F95" s="20" t="n">
        <f aca="false">SUM(F5:F93)</f>
        <v>163106</v>
      </c>
    </row>
    <row r="96" customFormat="false" ht="15" hidden="false" customHeight="true" outlineLevel="0" collapsed="false">
      <c r="A96" s="7" t="s">
        <v>223</v>
      </c>
      <c r="B96" s="21" t="n">
        <f aca="false">E95/(E95+F95)</f>
        <v>0.5064393526756</v>
      </c>
    </row>
    <row r="97" customFormat="false" ht="15" hidden="false" customHeight="true" outlineLevel="0" collapsed="false">
      <c r="A97" s="7" t="s">
        <v>224</v>
      </c>
      <c r="B97" s="22" t="str">
        <f aca="false">IF(B96&gt;0.5,"Democrat","Republican")</f>
        <v>Democrat</v>
      </c>
    </row>
    <row r="98" customFormat="false" ht="15" hidden="false" customHeight="true" outlineLevel="0" collapsed="false">
      <c r="A98" s="7" t="s">
        <v>229</v>
      </c>
      <c r="B98" s="7" t="s">
        <v>230</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8"/>
    <col collapsed="false" customWidth="true" hidden="false" outlineLevel="0" max="3" min="2" style="1" width="16"/>
    <col collapsed="false" customWidth="true" hidden="false" outlineLevel="0" max="4" min="4" style="1" width="20"/>
    <col collapsed="false" customWidth="true" hidden="false" outlineLevel="0" max="5" min="5" style="1" width="18"/>
  </cols>
  <sheetData>
    <row r="1" customFormat="false" ht="17.25" hidden="false" customHeight="true" outlineLevel="0" collapsed="false">
      <c r="A1" s="24" t="s">
        <v>231</v>
      </c>
      <c r="B1" s="24"/>
      <c r="C1" s="24"/>
      <c r="D1" s="24"/>
      <c r="E1" s="24"/>
    </row>
    <row r="2" customFormat="false" ht="30" hidden="false" customHeight="true" outlineLevel="0" collapsed="false">
      <c r="A2" s="25" t="s">
        <v>232</v>
      </c>
      <c r="B2" s="25"/>
      <c r="C2" s="25"/>
      <c r="D2" s="25"/>
      <c r="E2" s="25"/>
    </row>
    <row r="4" customFormat="false" ht="15" hidden="false" customHeight="true" outlineLevel="0" collapsed="false">
      <c r="A4" s="26" t="s">
        <v>233</v>
      </c>
      <c r="B4" s="26" t="s">
        <v>234</v>
      </c>
      <c r="C4" s="26" t="s">
        <v>221</v>
      </c>
      <c r="D4" s="26" t="s">
        <v>235</v>
      </c>
      <c r="E4" s="26" t="s">
        <v>236</v>
      </c>
    </row>
    <row r="5" customFormat="false" ht="15" hidden="false" customHeight="true" outlineLevel="0" collapsed="false">
      <c r="A5" s="8" t="s">
        <v>237</v>
      </c>
      <c r="B5" s="9" t="n">
        <f aca="false">'2026 Trend Forecast'!B95</f>
        <v>0.47727465291647</v>
      </c>
      <c r="C5" s="8" t="str">
        <f aca="false">'2026 Trend Forecast'!B96</f>
        <v>Republican</v>
      </c>
      <c r="D5" s="8" t="n">
        <v>1.99</v>
      </c>
      <c r="E5" s="8" t="s">
        <v>238</v>
      </c>
    </row>
    <row r="6" customFormat="false" ht="15" hidden="false" customHeight="true" outlineLevel="0" collapsed="false">
      <c r="A6" s="27" t="s">
        <v>239</v>
      </c>
      <c r="B6" s="28" t="n">
        <f aca="false">'2026 Beta-Adjusted Forecast'!B96</f>
        <v>0.467654962053815</v>
      </c>
      <c r="C6" s="27" t="str">
        <f aca="false">'2026 Beta-Adjusted Forecast'!B97</f>
        <v>Republican</v>
      </c>
      <c r="D6" s="27" t="n">
        <v>1.81</v>
      </c>
      <c r="E6" s="27" t="s">
        <v>238</v>
      </c>
    </row>
    <row r="7" customFormat="false" ht="15" hidden="false" customHeight="true" outlineLevel="0" collapsed="false">
      <c r="A7" s="29" t="s">
        <v>240</v>
      </c>
      <c r="B7" s="30" t="n">
        <f aca="false">'2026 Regression Forecast'!B96</f>
        <v>0.5064393526756</v>
      </c>
      <c r="C7" s="29" t="str">
        <f aca="false">'2026 Regression Forecast'!B97</f>
        <v>Democrat</v>
      </c>
      <c r="D7" s="29" t="n">
        <v>3.09</v>
      </c>
      <c r="E7" s="29" t="s">
        <v>241</v>
      </c>
    </row>
    <row r="9" customFormat="false" ht="15" hidden="false" customHeight="true" outlineLevel="0" collapsed="false">
      <c r="A9" s="7" t="s">
        <v>242</v>
      </c>
      <c r="B9" s="21" t="n">
        <f aca="false">MAX(B5:B7)-MIN(B5:B7)</f>
        <v>0.0387843906217849</v>
      </c>
    </row>
    <row r="10" customFormat="false" ht="15" hidden="false" customHeight="true" outlineLevel="0" collapsed="false">
      <c r="A10" s="7" t="s">
        <v>243</v>
      </c>
      <c r="B10" s="31" t="n">
        <f aca="false">B6</f>
        <v>0.467654962053815</v>
      </c>
    </row>
    <row r="11" customFormat="false" ht="15" hidden="false" customHeight="true" outlineLevel="0" collapsed="false">
      <c r="A11" s="7" t="s">
        <v>244</v>
      </c>
      <c r="B11" s="7" t="str">
        <f aca="false">TEXT(B6-D6/100,"0.0%")&amp;" to "&amp;TEXT(B6+D6/100,"0.0%")</f>
        <v>45.0% to 48.6%</v>
      </c>
    </row>
    <row r="13" customFormat="false" ht="84.75" hidden="false" customHeight="true" outlineLevel="0" collapsed="false">
      <c r="A13" s="32" t="s">
        <v>245</v>
      </c>
      <c r="B13" s="32"/>
      <c r="C13" s="32"/>
      <c r="D13" s="32"/>
      <c r="E13" s="32"/>
    </row>
  </sheetData>
  <mergeCells count="3">
    <mergeCell ref="A1:E1"/>
    <mergeCell ref="A2:E2"/>
    <mergeCell ref="A13:E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4" min="2" style="1" width="14"/>
    <col collapsed="false" customWidth="true" hidden="false" outlineLevel="0" max="6" min="5" style="1" width="16"/>
  </cols>
  <sheetData>
    <row r="1" customFormat="false" ht="39.75" hidden="false" customHeight="true" outlineLevel="0" collapsed="false">
      <c r="A1" s="33" t="s">
        <v>246</v>
      </c>
      <c r="B1" s="33"/>
      <c r="C1" s="33"/>
      <c r="D1" s="33"/>
      <c r="E1" s="33"/>
      <c r="F1" s="33"/>
      <c r="G1" s="33"/>
    </row>
    <row r="3" customFormat="false" ht="15" hidden="false" customHeight="true" outlineLevel="0" collapsed="false">
      <c r="A3" s="7" t="s">
        <v>45</v>
      </c>
      <c r="B3" s="7" t="s">
        <v>46</v>
      </c>
      <c r="C3" s="7" t="s">
        <v>247</v>
      </c>
      <c r="D3" s="7" t="s">
        <v>156</v>
      </c>
      <c r="E3" s="7" t="s">
        <v>248</v>
      </c>
      <c r="F3" s="7" t="s">
        <v>249</v>
      </c>
    </row>
    <row r="4" customFormat="false" ht="15" hidden="false" customHeight="true" outlineLevel="0" collapsed="false">
      <c r="A4" s="8" t="s">
        <v>56</v>
      </c>
      <c r="B4" s="8" t="s">
        <v>57</v>
      </c>
      <c r="C4" s="12" t="n">
        <f aca="false">AVERAGE('Registration &amp; ACS Data'!F2:F5)</f>
        <v>698.5</v>
      </c>
      <c r="D4" s="9" t="n">
        <f aca="false">AVERAGE('House Vote Data'!G2:G5)</f>
        <v>0.375810510522599</v>
      </c>
      <c r="E4" s="9" t="n">
        <f aca="false">AVERAGE('Registration &amp; ACS Data'!D2:D5)</f>
        <v>0.1601</v>
      </c>
      <c r="F4" s="8" t="n">
        <v>0</v>
      </c>
    </row>
    <row r="5" customFormat="false" ht="15" hidden="false" customHeight="true" outlineLevel="0" collapsed="false">
      <c r="A5" s="8" t="s">
        <v>58</v>
      </c>
      <c r="B5" s="8" t="s">
        <v>57</v>
      </c>
      <c r="C5" s="12" t="n">
        <f aca="false">AVERAGE('Registration &amp; ACS Data'!F6:F9)</f>
        <v>605</v>
      </c>
      <c r="D5" s="9" t="n">
        <f aca="false">AVERAGE('House Vote Data'!G6:G9)</f>
        <v>0.282240496265658</v>
      </c>
      <c r="E5" s="9" t="n">
        <f aca="false">AVERAGE('Registration &amp; ACS Data'!D6:D9)</f>
        <v>-0.0753</v>
      </c>
      <c r="F5" s="8" t="n">
        <v>0</v>
      </c>
    </row>
    <row r="6" customFormat="false" ht="15" hidden="false" customHeight="true" outlineLevel="0" collapsed="false">
      <c r="A6" s="8" t="s">
        <v>59</v>
      </c>
      <c r="B6" s="8" t="s">
        <v>57</v>
      </c>
      <c r="C6" s="12" t="n">
        <f aca="false">AVERAGE('Registration &amp; ACS Data'!F10:F13)</f>
        <v>562.5</v>
      </c>
      <c r="D6" s="9" t="n">
        <f aca="false">AVERAGE('House Vote Data'!G10:G13)</f>
        <v>0.330421681428041</v>
      </c>
      <c r="E6" s="9" t="n">
        <f aca="false">AVERAGE('Registration &amp; ACS Data'!D10:D13)</f>
        <v>-0.13805</v>
      </c>
      <c r="F6" s="8" t="n">
        <v>0</v>
      </c>
    </row>
    <row r="7" customFormat="false" ht="15" hidden="false" customHeight="true" outlineLevel="0" collapsed="false">
      <c r="A7" s="8" t="s">
        <v>60</v>
      </c>
      <c r="B7" s="8" t="s">
        <v>57</v>
      </c>
      <c r="C7" s="12" t="n">
        <f aca="false">AVERAGE('Registration &amp; ACS Data'!F14:F17)</f>
        <v>2036.75</v>
      </c>
      <c r="D7" s="9" t="n">
        <f aca="false">AVERAGE('House Vote Data'!G14:G17)</f>
        <v>0.281593729396407</v>
      </c>
      <c r="E7" s="9" t="n">
        <f aca="false">AVERAGE('Registration &amp; ACS Data'!D14:D17)</f>
        <v>-0.241275</v>
      </c>
      <c r="F7" s="8" t="n">
        <v>0</v>
      </c>
    </row>
    <row r="8" customFormat="false" ht="15" hidden="false" customHeight="true" outlineLevel="0" collapsed="false">
      <c r="A8" s="8" t="s">
        <v>61</v>
      </c>
      <c r="B8" s="8" t="s">
        <v>57</v>
      </c>
      <c r="C8" s="12" t="n">
        <f aca="false">AVERAGE('Registration &amp; ACS Data'!F18:F21)</f>
        <v>171.25</v>
      </c>
      <c r="D8" s="9" t="n">
        <f aca="false">AVERAGE('House Vote Data'!G18:G21)</f>
        <v>0.377159557577086</v>
      </c>
      <c r="E8" s="9" t="n">
        <f aca="false">AVERAGE('Registration &amp; ACS Data'!D18:D21)</f>
        <v>-0.04635</v>
      </c>
      <c r="F8" s="8" t="n">
        <v>0</v>
      </c>
    </row>
    <row r="9" customFormat="false" ht="15" hidden="false" customHeight="true" outlineLevel="0" collapsed="false">
      <c r="A9" s="8" t="s">
        <v>62</v>
      </c>
      <c r="B9" s="8" t="s">
        <v>57</v>
      </c>
      <c r="C9" s="12" t="n">
        <f aca="false">AVERAGE('Registration &amp; ACS Data'!F22:F25)</f>
        <v>3132.5</v>
      </c>
      <c r="D9" s="9" t="n">
        <f aca="false">AVERAGE('House Vote Data'!G22:G25)</f>
        <v>0.285776945935851</v>
      </c>
      <c r="E9" s="9" t="n">
        <f aca="false">AVERAGE('Registration &amp; ACS Data'!D22:D25)</f>
        <v>-0.260625</v>
      </c>
      <c r="F9" s="8" t="n">
        <v>1</v>
      </c>
    </row>
    <row r="10" customFormat="false" ht="15" hidden="false" customHeight="true" outlineLevel="0" collapsed="false">
      <c r="A10" s="8" t="s">
        <v>63</v>
      </c>
      <c r="B10" s="8" t="s">
        <v>57</v>
      </c>
      <c r="C10" s="12" t="n">
        <f aca="false">AVERAGE('Registration &amp; ACS Data'!F26:F29)</f>
        <v>3399.75</v>
      </c>
      <c r="D10" s="9" t="n">
        <f aca="false">AVERAGE('House Vote Data'!G26:G29)</f>
        <v>0.446700687514864</v>
      </c>
      <c r="E10" s="9" t="n">
        <f aca="false">AVERAGE('Registration &amp; ACS Data'!D26:D29)</f>
        <v>0.07305</v>
      </c>
      <c r="F10" s="8" t="n">
        <v>0</v>
      </c>
    </row>
    <row r="11" customFormat="false" ht="15" hidden="false" customHeight="true" outlineLevel="0" collapsed="false">
      <c r="A11" s="8" t="s">
        <v>64</v>
      </c>
      <c r="B11" s="8" t="s">
        <v>57</v>
      </c>
      <c r="C11" s="12" t="n">
        <f aca="false">AVERAGE('Registration &amp; ACS Data'!F30:F33)</f>
        <v>1515.5</v>
      </c>
      <c r="D11" s="9" t="n">
        <f aca="false">AVERAGE('House Vote Data'!G30:G33)</f>
        <v>0.330132514621399</v>
      </c>
      <c r="E11" s="9" t="n">
        <f aca="false">AVERAGE('Registration &amp; ACS Data'!D30:D33)</f>
        <v>-0.2101</v>
      </c>
      <c r="F11" s="8" t="n">
        <v>0</v>
      </c>
    </row>
    <row r="12" customFormat="false" ht="15" hidden="false" customHeight="true" outlineLevel="0" collapsed="false">
      <c r="A12" s="8" t="s">
        <v>65</v>
      </c>
      <c r="B12" s="8" t="s">
        <v>57</v>
      </c>
      <c r="C12" s="12" t="n">
        <f aca="false">AVERAGE('Registration &amp; ACS Data'!F34:F37)</f>
        <v>2320.5</v>
      </c>
      <c r="D12" s="9" t="n">
        <f aca="false">AVERAGE('House Vote Data'!G34:G37)</f>
        <v>0.432307339112754</v>
      </c>
      <c r="E12" s="9" t="n">
        <f aca="false">AVERAGE('Registration &amp; ACS Data'!D34:D37)</f>
        <v>0.070975</v>
      </c>
      <c r="F12" s="8" t="n">
        <v>0</v>
      </c>
    </row>
    <row r="13" customFormat="false" ht="15" hidden="false" customHeight="true" outlineLevel="0" collapsed="false">
      <c r="A13" s="8" t="s">
        <v>66</v>
      </c>
      <c r="B13" s="8" t="s">
        <v>57</v>
      </c>
      <c r="C13" s="12" t="n">
        <f aca="false">AVERAGE('Registration &amp; ACS Data'!F38:F41)</f>
        <v>177.25</v>
      </c>
      <c r="D13" s="9" t="n">
        <f aca="false">AVERAGE('House Vote Data'!G38:G41)</f>
        <v>0.300632559687274</v>
      </c>
      <c r="E13" s="9" t="n">
        <f aca="false">AVERAGE('Registration &amp; ACS Data'!D38:D41)</f>
        <v>-0.1685</v>
      </c>
      <c r="F13" s="8" t="n">
        <v>0</v>
      </c>
    </row>
    <row r="14" customFormat="false" ht="15" hidden="false" customHeight="true" outlineLevel="0" collapsed="false">
      <c r="A14" s="8" t="s">
        <v>67</v>
      </c>
      <c r="B14" s="8" t="s">
        <v>57</v>
      </c>
      <c r="C14" s="12" t="n">
        <f aca="false">AVERAGE('Registration &amp; ACS Data'!F42:F45)</f>
        <v>354.75</v>
      </c>
      <c r="D14" s="9" t="n">
        <f aca="false">AVERAGE('House Vote Data'!G42:G45)</f>
        <v>0.203639561497434</v>
      </c>
      <c r="E14" s="9" t="n">
        <f aca="false">AVERAGE('Registration &amp; ACS Data'!D42:D45)</f>
        <v>-0.493725</v>
      </c>
      <c r="F14" s="8" t="n">
        <v>0</v>
      </c>
    </row>
    <row r="15" customFormat="false" ht="15" hidden="false" customHeight="true" outlineLevel="0" collapsed="false">
      <c r="A15" s="8" t="s">
        <v>68</v>
      </c>
      <c r="B15" s="8" t="s">
        <v>57</v>
      </c>
      <c r="C15" s="12" t="n">
        <f aca="false">AVERAGE('Registration &amp; ACS Data'!F46:F49)</f>
        <v>3241</v>
      </c>
      <c r="D15" s="9" t="n">
        <f aca="false">AVERAGE('House Vote Data'!G46:G49)</f>
        <v>0.414808169552878</v>
      </c>
      <c r="E15" s="9" t="n">
        <f aca="false">AVERAGE('Registration &amp; ACS Data'!D46:D49)</f>
        <v>-0.03995</v>
      </c>
      <c r="F15" s="8" t="n">
        <v>0</v>
      </c>
    </row>
    <row r="16" customFormat="false" ht="15" hidden="false" customHeight="true" outlineLevel="0" collapsed="false">
      <c r="A16" s="8" t="s">
        <v>69</v>
      </c>
      <c r="B16" s="8" t="s">
        <v>57</v>
      </c>
      <c r="C16" s="12" t="n">
        <f aca="false">AVERAGE('Registration &amp; ACS Data'!F50:F53)</f>
        <v>2168.5</v>
      </c>
      <c r="D16" s="9" t="n">
        <f aca="false">AVERAGE('House Vote Data'!G50:G53)</f>
        <v>0.317405319977375</v>
      </c>
      <c r="E16" s="9" t="n">
        <f aca="false">AVERAGE('Registration &amp; ACS Data'!D50:D53)</f>
        <v>-0.171375</v>
      </c>
      <c r="F16" s="8" t="n">
        <v>0</v>
      </c>
    </row>
    <row r="17" customFormat="false" ht="15" hidden="false" customHeight="true" outlineLevel="0" collapsed="false">
      <c r="A17" s="8" t="s">
        <v>70</v>
      </c>
      <c r="B17" s="8" t="s">
        <v>57</v>
      </c>
      <c r="C17" s="12" t="n">
        <f aca="false">AVERAGE('Registration &amp; ACS Data'!F54:F57)</f>
        <v>2895.5</v>
      </c>
      <c r="D17" s="9" t="n">
        <f aca="false">AVERAGE('House Vote Data'!G54:G57)</f>
        <v>0.302676313604592</v>
      </c>
      <c r="E17" s="9" t="n">
        <f aca="false">AVERAGE('Registration &amp; ACS Data'!D54:D57)</f>
        <v>-0.24865</v>
      </c>
      <c r="F17" s="8" t="n">
        <v>0</v>
      </c>
    </row>
    <row r="18" customFormat="false" ht="15" hidden="false" customHeight="true" outlineLevel="0" collapsed="false">
      <c r="A18" s="8" t="s">
        <v>71</v>
      </c>
      <c r="B18" s="8" t="s">
        <v>57</v>
      </c>
      <c r="C18" s="12" t="n">
        <f aca="false">AVERAGE('Registration &amp; ACS Data'!F58:F61)</f>
        <v>2123</v>
      </c>
      <c r="D18" s="9" t="n">
        <f aca="false">AVERAGE('House Vote Data'!G58:G61)</f>
        <v>0.411605814676528</v>
      </c>
      <c r="E18" s="9" t="n">
        <f aca="false">AVERAGE('Registration &amp; ACS Data'!D58:D61)</f>
        <v>0.0577</v>
      </c>
      <c r="F18" s="8" t="n">
        <v>0</v>
      </c>
    </row>
    <row r="19" customFormat="false" ht="15" hidden="false" customHeight="true" outlineLevel="0" collapsed="false">
      <c r="A19" s="8" t="s">
        <v>72</v>
      </c>
      <c r="B19" s="8" t="s">
        <v>57</v>
      </c>
      <c r="C19" s="12" t="n">
        <f aca="false">AVERAGE('Registration &amp; ACS Data'!F62:F65)</f>
        <v>773</v>
      </c>
      <c r="D19" s="9" t="n">
        <f aca="false">AVERAGE('House Vote Data'!G62:G65)</f>
        <v>0.196901650695234</v>
      </c>
      <c r="E19" s="9" t="n">
        <f aca="false">AVERAGE('Registration &amp; ACS Data'!D62:D65)</f>
        <v>-0.48125</v>
      </c>
      <c r="F19" s="8" t="n">
        <v>1</v>
      </c>
    </row>
    <row r="20" customFormat="false" ht="15" hidden="false" customHeight="true" outlineLevel="0" collapsed="false">
      <c r="A20" s="8" t="s">
        <v>73</v>
      </c>
      <c r="B20" s="8" t="s">
        <v>57</v>
      </c>
      <c r="C20" s="12" t="n">
        <f aca="false">AVERAGE('Registration &amp; ACS Data'!F66:F69)</f>
        <v>3487.25</v>
      </c>
      <c r="D20" s="9" t="n">
        <f aca="false">AVERAGE('House Vote Data'!G66:G69)</f>
        <v>0.374776357608625</v>
      </c>
      <c r="E20" s="9" t="n">
        <f aca="false">AVERAGE('Registration &amp; ACS Data'!D66:D69)</f>
        <v>-0.07465</v>
      </c>
      <c r="F20" s="8" t="n">
        <v>0</v>
      </c>
    </row>
    <row r="21" customFormat="false" ht="15" hidden="false" customHeight="true" outlineLevel="0" collapsed="false">
      <c r="A21" s="8" t="s">
        <v>74</v>
      </c>
      <c r="B21" s="8" t="s">
        <v>57</v>
      </c>
      <c r="C21" s="12" t="n">
        <f aca="false">AVERAGE('Registration &amp; ACS Data'!F70:F73)</f>
        <v>300.5</v>
      </c>
      <c r="D21" s="9" t="n">
        <f aca="false">AVERAGE('House Vote Data'!G70:G73)</f>
        <v>0.28623540958693</v>
      </c>
      <c r="E21" s="9" t="n">
        <f aca="false">AVERAGE('Registration &amp; ACS Data'!D70:D73)</f>
        <v>-0.178875</v>
      </c>
      <c r="F21" s="8" t="n">
        <v>0</v>
      </c>
    </row>
    <row r="22" customFormat="false" ht="15" hidden="false" customHeight="true" outlineLevel="0" collapsed="false">
      <c r="A22" s="8" t="s">
        <v>75</v>
      </c>
      <c r="B22" s="8" t="s">
        <v>57</v>
      </c>
      <c r="C22" s="12" t="n">
        <f aca="false">AVERAGE('Registration &amp; ACS Data'!F74:F77)</f>
        <v>7923.5</v>
      </c>
      <c r="D22" s="9" t="n">
        <f aca="false">AVERAGE('House Vote Data'!G74:G77)</f>
        <v>0.374089368771831</v>
      </c>
      <c r="E22" s="9" t="n">
        <f aca="false">AVERAGE('Registration &amp; ACS Data'!D74:D77)</f>
        <v>-0.093725</v>
      </c>
      <c r="F22" s="8" t="n">
        <v>1</v>
      </c>
    </row>
    <row r="23" customFormat="false" ht="15" hidden="false" customHeight="true" outlineLevel="0" collapsed="false">
      <c r="A23" s="8" t="s">
        <v>76</v>
      </c>
      <c r="B23" s="8" t="s">
        <v>57</v>
      </c>
      <c r="C23" s="12" t="n">
        <f aca="false">AVERAGE('Registration &amp; ACS Data'!F78:F81)</f>
        <v>2084.75</v>
      </c>
      <c r="D23" s="9" t="n">
        <f aca="false">AVERAGE('House Vote Data'!G78:G81)</f>
        <v>0.444814367380901</v>
      </c>
      <c r="E23" s="9" t="n">
        <f aca="false">AVERAGE('Registration &amp; ACS Data'!D78:D81)</f>
        <v>0.11165</v>
      </c>
      <c r="F23" s="8" t="n">
        <v>0</v>
      </c>
    </row>
    <row r="24" customFormat="false" ht="15" hidden="false" customHeight="true" outlineLevel="0" collapsed="false">
      <c r="A24" s="8" t="s">
        <v>77</v>
      </c>
      <c r="B24" s="8" t="s">
        <v>57</v>
      </c>
      <c r="C24" s="12" t="n">
        <f aca="false">AVERAGE('Registration &amp; ACS Data'!F82:F85)</f>
        <v>3290.75</v>
      </c>
      <c r="D24" s="9" t="n">
        <f aca="false">AVERAGE('House Vote Data'!G82:G85)</f>
        <v>0.302788316082723</v>
      </c>
      <c r="E24" s="9" t="n">
        <f aca="false">AVERAGE('Registration &amp; ACS Data'!D82:D85)</f>
        <v>-0.244275</v>
      </c>
      <c r="F24" s="8" t="n">
        <v>0</v>
      </c>
    </row>
    <row r="25" customFormat="false" ht="15" hidden="false" customHeight="true" outlineLevel="0" collapsed="false">
      <c r="A25" s="8" t="s">
        <v>78</v>
      </c>
      <c r="B25" s="8" t="s">
        <v>57</v>
      </c>
      <c r="C25" s="12" t="n">
        <f aca="false">AVERAGE('Registration &amp; ACS Data'!F86:F89)</f>
        <v>1594.75</v>
      </c>
      <c r="D25" s="9" t="n">
        <f aca="false">AVERAGE('House Vote Data'!G86:G89)</f>
        <v>0.287817850728569</v>
      </c>
      <c r="E25" s="9" t="n">
        <f aca="false">AVERAGE('Registration &amp; ACS Data'!D86:D89)</f>
        <v>-0.228225</v>
      </c>
      <c r="F25" s="8" t="n">
        <v>1</v>
      </c>
    </row>
    <row r="26" customFormat="false" ht="15" hidden="false" customHeight="true" outlineLevel="0" collapsed="false">
      <c r="A26" s="8" t="s">
        <v>79</v>
      </c>
      <c r="B26" s="8" t="s">
        <v>57</v>
      </c>
      <c r="C26" s="12" t="n">
        <f aca="false">AVERAGE('Registration &amp; ACS Data'!F90:F93)</f>
        <v>240.5</v>
      </c>
      <c r="D26" s="9" t="n">
        <f aca="false">AVERAGE('House Vote Data'!G90:G93)</f>
        <v>0.432815265165371</v>
      </c>
      <c r="E26" s="9" t="n">
        <f aca="false">AVERAGE('Registration &amp; ACS Data'!D90:D93)</f>
        <v>-0.000824999999999999</v>
      </c>
      <c r="F26" s="8" t="n">
        <v>0</v>
      </c>
    </row>
    <row r="27" customFormat="false" ht="15" hidden="false" customHeight="true" outlineLevel="0" collapsed="false">
      <c r="A27" s="8" t="s">
        <v>80</v>
      </c>
      <c r="B27" s="8" t="s">
        <v>81</v>
      </c>
      <c r="C27" s="12" t="n">
        <f aca="false">AVERAGE('Registration &amp; ACS Data'!F94:F97)</f>
        <v>1677.5</v>
      </c>
      <c r="D27" s="9" t="n">
        <f aca="false">AVERAGE('House Vote Data'!G94:G97)</f>
        <v>0.48055533340665</v>
      </c>
      <c r="E27" s="9" t="n">
        <f aca="false">AVERAGE('Registration &amp; ACS Data'!D94:D97)</f>
        <v>0.001375</v>
      </c>
      <c r="F27" s="8" t="n">
        <v>0</v>
      </c>
    </row>
    <row r="28" customFormat="false" ht="15" hidden="false" customHeight="true" outlineLevel="0" collapsed="false">
      <c r="A28" s="8" t="s">
        <v>82</v>
      </c>
      <c r="B28" s="8" t="s">
        <v>81</v>
      </c>
      <c r="C28" s="12" t="n">
        <f aca="false">AVERAGE('Registration &amp; ACS Data'!F98:F101)</f>
        <v>71898.25</v>
      </c>
      <c r="D28" s="9" t="n">
        <f aca="false">AVERAGE('House Vote Data'!G98:G101)</f>
        <v>0.685303652241092</v>
      </c>
      <c r="E28" s="9" t="n">
        <f aca="false">AVERAGE('Registration &amp; ACS Data'!D98:D101)</f>
        <v>0.403675</v>
      </c>
      <c r="F28" s="8" t="n">
        <v>0</v>
      </c>
    </row>
    <row r="29" customFormat="false" ht="15" hidden="false" customHeight="true" outlineLevel="0" collapsed="false">
      <c r="A29" s="8" t="s">
        <v>83</v>
      </c>
      <c r="B29" s="8" t="s">
        <v>81</v>
      </c>
      <c r="C29" s="12" t="n">
        <f aca="false">AVERAGE('Registration &amp; ACS Data'!F102:F105)</f>
        <v>13647.75</v>
      </c>
      <c r="D29" s="9" t="n">
        <f aca="false">AVERAGE('House Vote Data'!G102:G105)</f>
        <v>0.648188918268791</v>
      </c>
      <c r="E29" s="9" t="n">
        <f aca="false">AVERAGE('Registration &amp; ACS Data'!D102:D105)</f>
        <v>0.290625</v>
      </c>
      <c r="F29" s="8" t="n">
        <v>1</v>
      </c>
    </row>
    <row r="30" customFormat="false" ht="15" hidden="false" customHeight="true" outlineLevel="0" collapsed="false">
      <c r="A30" s="8" t="s">
        <v>84</v>
      </c>
      <c r="B30" s="8" t="s">
        <v>81</v>
      </c>
      <c r="C30" s="12" t="n">
        <f aca="false">AVERAGE('Registration &amp; ACS Data'!F106:F109)</f>
        <v>4044.5</v>
      </c>
      <c r="D30" s="9" t="n">
        <f aca="false">AVERAGE('House Vote Data'!G106:G109)</f>
        <v>0.535971789165492</v>
      </c>
      <c r="E30" s="9" t="n">
        <f aca="false">AVERAGE('Registration &amp; ACS Data'!D106:D109)</f>
        <v>0.147825</v>
      </c>
      <c r="F30" s="8" t="n">
        <v>0</v>
      </c>
    </row>
    <row r="31" customFormat="false" ht="15" hidden="false" customHeight="true" outlineLevel="0" collapsed="false">
      <c r="A31" s="8" t="s">
        <v>85</v>
      </c>
      <c r="B31" s="8" t="s">
        <v>81</v>
      </c>
      <c r="C31" s="12" t="n">
        <f aca="false">AVERAGE('Registration &amp; ACS Data'!F110:F113)</f>
        <v>1758.5</v>
      </c>
      <c r="D31" s="9" t="n">
        <f aca="false">AVERAGE('House Vote Data'!G110:G113)</f>
        <v>0.498213009841276</v>
      </c>
      <c r="E31" s="9" t="n">
        <f aca="false">AVERAGE('Registration &amp; ACS Data'!D110:D113)</f>
        <v>-0.06545</v>
      </c>
      <c r="F31" s="8" t="n">
        <v>0</v>
      </c>
    </row>
    <row r="32" customFormat="false" ht="15" hidden="false" customHeight="true" outlineLevel="0" collapsed="false">
      <c r="A32" s="8" t="s">
        <v>86</v>
      </c>
      <c r="B32" s="8" t="s">
        <v>81</v>
      </c>
      <c r="C32" s="12" t="n">
        <f aca="false">AVERAGE('Registration &amp; ACS Data'!F114:F117)</f>
        <v>2211.25</v>
      </c>
      <c r="D32" s="9" t="n">
        <f aca="false">AVERAGE('House Vote Data'!G114:G117)</f>
        <v>0.524259156168924</v>
      </c>
      <c r="E32" s="9" t="n">
        <f aca="false">AVERAGE('Registration &amp; ACS Data'!D114:D117)</f>
        <v>0.17065</v>
      </c>
      <c r="F32" s="8" t="n">
        <v>0</v>
      </c>
    </row>
    <row r="33" customFormat="false" ht="15" hidden="false" customHeight="true" outlineLevel="0" collapsed="false">
      <c r="A33" s="8" t="s">
        <v>87</v>
      </c>
      <c r="B33" s="8" t="s">
        <v>81</v>
      </c>
      <c r="C33" s="12" t="n">
        <f aca="false">AVERAGE('Registration &amp; ACS Data'!F118:F121)</f>
        <v>8227.25</v>
      </c>
      <c r="D33" s="9" t="n">
        <f aca="false">AVERAGE('House Vote Data'!G118:G121)</f>
        <v>0.541822300867192</v>
      </c>
      <c r="E33" s="9" t="n">
        <f aca="false">AVERAGE('Registration &amp; ACS Data'!D118:D121)</f>
        <v>0.071425</v>
      </c>
      <c r="F33" s="8" t="n">
        <v>0</v>
      </c>
    </row>
    <row r="34" customFormat="false" ht="15" hidden="false" customHeight="true" outlineLevel="0" collapsed="false">
      <c r="A34" s="8" t="s">
        <v>88</v>
      </c>
      <c r="B34" s="8" t="s">
        <v>81</v>
      </c>
      <c r="C34" s="12" t="n">
        <f aca="false">AVERAGE('Registration &amp; ACS Data'!F122:F125)</f>
        <v>3046.25</v>
      </c>
      <c r="D34" s="9" t="n">
        <f aca="false">AVERAGE('House Vote Data'!G122:G125)</f>
        <v>0.675398291960347</v>
      </c>
      <c r="E34" s="9" t="n">
        <f aca="false">AVERAGE('Registration &amp; ACS Data'!D122:D125)</f>
        <v>0.366325</v>
      </c>
      <c r="F34" s="8" t="n">
        <v>1</v>
      </c>
    </row>
    <row r="35" customFormat="false" ht="15" hidden="false" customHeight="true" outlineLevel="0" collapsed="false">
      <c r="A35" s="8" t="s">
        <v>89</v>
      </c>
      <c r="B35" s="8" t="s">
        <v>81</v>
      </c>
      <c r="C35" s="12" t="n">
        <f aca="false">AVERAGE('Registration &amp; ACS Data'!F126:F129)</f>
        <v>1028</v>
      </c>
      <c r="D35" s="9" t="n">
        <f aca="false">AVERAGE('House Vote Data'!G126:G129)</f>
        <v>0.566092901383646</v>
      </c>
      <c r="E35" s="9" t="n">
        <f aca="false">AVERAGE('Registration &amp; ACS Data'!D126:D129)</f>
        <v>0.20335</v>
      </c>
      <c r="F35" s="8" t="n">
        <v>1</v>
      </c>
    </row>
    <row r="36" customFormat="false" ht="15" hidden="false" customHeight="true" outlineLevel="0" collapsed="false">
      <c r="A36" s="8" t="s">
        <v>90</v>
      </c>
      <c r="B36" s="8" t="s">
        <v>81</v>
      </c>
      <c r="C36" s="12" t="n">
        <f aca="false">AVERAGE('Registration &amp; ACS Data'!F130:F133)</f>
        <v>2374.25</v>
      </c>
      <c r="D36" s="9" t="n">
        <f aca="false">AVERAGE('House Vote Data'!G130:G133)</f>
        <v>0.329391240231538</v>
      </c>
      <c r="E36" s="9" t="n">
        <f aca="false">AVERAGE('Registration &amp; ACS Data'!D130:D133)</f>
        <v>-0.281425</v>
      </c>
      <c r="F36" s="8" t="n">
        <v>1</v>
      </c>
    </row>
    <row r="37" customFormat="false" ht="15" hidden="false" customHeight="true" outlineLevel="0" collapsed="false">
      <c r="A37" s="8" t="s">
        <v>91</v>
      </c>
      <c r="B37" s="8" t="s">
        <v>81</v>
      </c>
      <c r="C37" s="12" t="n">
        <f aca="false">AVERAGE('Registration &amp; ACS Data'!F134:F137)</f>
        <v>23942.5</v>
      </c>
      <c r="D37" s="9" t="n">
        <f aca="false">AVERAGE('House Vote Data'!G134:G137)</f>
        <v>0.50687502749352</v>
      </c>
      <c r="E37" s="9" t="n">
        <f aca="false">AVERAGE('Registration &amp; ACS Data'!D134:D137)</f>
        <v>-0.04145</v>
      </c>
      <c r="F37" s="8" t="n">
        <v>0</v>
      </c>
    </row>
    <row r="38" customFormat="false" ht="15" hidden="false" customHeight="true" outlineLevel="0" collapsed="false">
      <c r="A38" s="8" t="s">
        <v>92</v>
      </c>
      <c r="B38" s="8" t="s">
        <v>81</v>
      </c>
      <c r="C38" s="12" t="n">
        <f aca="false">AVERAGE('Registration &amp; ACS Data'!F138:F141)</f>
        <v>2965.5</v>
      </c>
      <c r="D38" s="9" t="n">
        <f aca="false">AVERAGE('House Vote Data'!G138:G141)</f>
        <v>0.385150931372503</v>
      </c>
      <c r="E38" s="9" t="n">
        <f aca="false">AVERAGE('Registration &amp; ACS Data'!D138:D141)</f>
        <v>-0.243075</v>
      </c>
      <c r="F38" s="8" t="n">
        <v>0</v>
      </c>
    </row>
    <row r="39" customFormat="false" ht="15" hidden="false" customHeight="true" outlineLevel="0" collapsed="false">
      <c r="A39" s="8" t="s">
        <v>93</v>
      </c>
      <c r="B39" s="8" t="s">
        <v>81</v>
      </c>
      <c r="C39" s="12" t="n">
        <f aca="false">AVERAGE('Registration &amp; ACS Data'!F142:F145)</f>
        <v>1751.25</v>
      </c>
      <c r="D39" s="9" t="n">
        <f aca="false">AVERAGE('House Vote Data'!G142:G145)</f>
        <v>0.366159631460626</v>
      </c>
      <c r="E39" s="9" t="n">
        <f aca="false">AVERAGE('Registration &amp; ACS Data'!D142:D145)</f>
        <v>-0.286575</v>
      </c>
      <c r="F39" s="8" t="n">
        <v>0</v>
      </c>
    </row>
    <row r="40" customFormat="false" ht="15" hidden="false" customHeight="true" outlineLevel="0" collapsed="false">
      <c r="A40" s="8" t="s">
        <v>94</v>
      </c>
      <c r="B40" s="8" t="s">
        <v>81</v>
      </c>
      <c r="C40" s="12" t="n">
        <f aca="false">AVERAGE('Registration &amp; ACS Data'!F146:F149)</f>
        <v>3072.75</v>
      </c>
      <c r="D40" s="9" t="n">
        <f aca="false">AVERAGE('House Vote Data'!G146:G149)</f>
        <v>0.326383216169298</v>
      </c>
      <c r="E40" s="9" t="n">
        <f aca="false">AVERAGE('Registration &amp; ACS Data'!D146:D149)</f>
        <v>-0.304575</v>
      </c>
      <c r="F40" s="8" t="n">
        <v>0</v>
      </c>
    </row>
    <row r="41" customFormat="false" ht="15" hidden="false" customHeight="true" outlineLevel="0" collapsed="false">
      <c r="A41" s="8" t="s">
        <v>95</v>
      </c>
      <c r="B41" s="8" t="s">
        <v>81</v>
      </c>
      <c r="C41" s="12" t="n">
        <f aca="false">AVERAGE('Registration &amp; ACS Data'!F150:F153)</f>
        <v>2308.25</v>
      </c>
      <c r="D41" s="9" t="n">
        <f aca="false">AVERAGE('House Vote Data'!G150:G153)</f>
        <v>0.541125769930642</v>
      </c>
      <c r="E41" s="9" t="n">
        <f aca="false">AVERAGE('Registration &amp; ACS Data'!D150:D153)</f>
        <v>0.05155</v>
      </c>
      <c r="F41" s="8" t="n">
        <v>0</v>
      </c>
    </row>
    <row r="42" customFormat="false" ht="15" hidden="false" customHeight="true" outlineLevel="0" collapsed="false">
      <c r="A42" s="8" t="s">
        <v>96</v>
      </c>
      <c r="B42" s="8" t="s">
        <v>81</v>
      </c>
      <c r="C42" s="12" t="n">
        <f aca="false">AVERAGE('Registration &amp; ACS Data'!F154:F157)</f>
        <v>11637.75</v>
      </c>
      <c r="D42" s="9" t="n">
        <f aca="false">AVERAGE('House Vote Data'!G154:G157)</f>
        <v>0.411386626579685</v>
      </c>
      <c r="E42" s="9" t="n">
        <f aca="false">AVERAGE('Registration &amp; ACS Data'!D154:D157)</f>
        <v>-0.1451</v>
      </c>
      <c r="F42" s="8" t="n">
        <v>0</v>
      </c>
    </row>
    <row r="43" customFormat="false" ht="15" hidden="false" customHeight="true" outlineLevel="0" collapsed="false">
      <c r="A43" s="8" t="s">
        <v>97</v>
      </c>
      <c r="B43" s="8" t="s">
        <v>81</v>
      </c>
      <c r="C43" s="12" t="n">
        <f aca="false">AVERAGE('Registration &amp; ACS Data'!F158:F161)</f>
        <v>9791.75</v>
      </c>
      <c r="D43" s="9" t="n">
        <f aca="false">AVERAGE('House Vote Data'!G158:G161)</f>
        <v>0.50114822037264</v>
      </c>
      <c r="E43" s="9" t="n">
        <f aca="false">AVERAGE('Registration &amp; ACS Data'!D158:D161)</f>
        <v>0.027825</v>
      </c>
      <c r="F43" s="8" t="n">
        <v>0</v>
      </c>
    </row>
    <row r="44" customFormat="false" ht="15" hidden="false" customHeight="true" outlineLevel="0" collapsed="false">
      <c r="A44" s="8" t="s">
        <v>98</v>
      </c>
      <c r="B44" s="8" t="s">
        <v>81</v>
      </c>
      <c r="C44" s="12" t="n">
        <f aca="false">AVERAGE('Registration &amp; ACS Data'!F162:F165)</f>
        <v>2512.75</v>
      </c>
      <c r="D44" s="9" t="n">
        <f aca="false">AVERAGE('House Vote Data'!G162:G165)</f>
        <v>0.429324807388493</v>
      </c>
      <c r="E44" s="9" t="n">
        <f aca="false">AVERAGE('Registration &amp; ACS Data'!D162:D165)</f>
        <v>-0.04235</v>
      </c>
      <c r="F44" s="8" t="n">
        <v>0</v>
      </c>
    </row>
    <row r="45" customFormat="false" ht="15" hidden="false" customHeight="true" outlineLevel="0" collapsed="false">
      <c r="A45" s="8" t="s">
        <v>99</v>
      </c>
      <c r="B45" s="8" t="s">
        <v>81</v>
      </c>
      <c r="C45" s="12" t="n">
        <f aca="false">AVERAGE('Registration &amp; ACS Data'!F166:F169)</f>
        <v>15336</v>
      </c>
      <c r="D45" s="9" t="n">
        <f aca="false">AVERAGE('House Vote Data'!G166:G169)</f>
        <v>0.549087590017066</v>
      </c>
      <c r="E45" s="9" t="n">
        <f aca="false">AVERAGE('Registration &amp; ACS Data'!D166:D169)</f>
        <v>0.059575</v>
      </c>
      <c r="F45" s="8" t="n">
        <v>1</v>
      </c>
    </row>
    <row r="46" customFormat="false" ht="15" hidden="false" customHeight="true" outlineLevel="0" collapsed="false">
      <c r="A46" s="8" t="s">
        <v>100</v>
      </c>
      <c r="B46" s="8" t="s">
        <v>81</v>
      </c>
      <c r="C46" s="12" t="n">
        <f aca="false">AVERAGE('Registration &amp; ACS Data'!F170:F173)</f>
        <v>18255.5</v>
      </c>
      <c r="D46" s="9" t="n">
        <f aca="false">AVERAGE('House Vote Data'!G170:G173)</f>
        <v>0.524149557099014</v>
      </c>
      <c r="E46" s="9" t="n">
        <f aca="false">AVERAGE('Registration &amp; ACS Data'!D170:D173)</f>
        <v>-0.002925</v>
      </c>
      <c r="F46" s="8" t="n">
        <v>0</v>
      </c>
    </row>
    <row r="47" customFormat="false" ht="15" hidden="false" customHeight="true" outlineLevel="0" collapsed="false">
      <c r="A47" s="8" t="s">
        <v>101</v>
      </c>
      <c r="B47" s="8" t="s">
        <v>81</v>
      </c>
      <c r="C47" s="12" t="n">
        <f aca="false">AVERAGE('Registration &amp; ACS Data'!F174:F177)</f>
        <v>6127.75</v>
      </c>
      <c r="D47" s="9" t="n">
        <f aca="false">AVERAGE('House Vote Data'!G174:G177)</f>
        <v>0.442842608762003</v>
      </c>
      <c r="E47" s="9" t="n">
        <f aca="false">AVERAGE('Registration &amp; ACS Data'!D174:D177)</f>
        <v>-0.13625</v>
      </c>
      <c r="F47" s="8" t="n">
        <v>1</v>
      </c>
    </row>
    <row r="48" customFormat="false" ht="15" hidden="false" customHeight="true" outlineLevel="0" collapsed="false">
      <c r="A48" s="8" t="s">
        <v>102</v>
      </c>
      <c r="B48" s="8" t="s">
        <v>81</v>
      </c>
      <c r="C48" s="12" t="n">
        <f aca="false">AVERAGE('Registration &amp; ACS Data'!F178:F181)</f>
        <v>12462</v>
      </c>
      <c r="D48" s="9" t="n">
        <f aca="false">AVERAGE('House Vote Data'!G178:G181)</f>
        <v>0.487184273379115</v>
      </c>
      <c r="E48" s="9" t="n">
        <f aca="false">AVERAGE('Registration &amp; ACS Data'!D178:D181)</f>
        <v>-0.078225</v>
      </c>
      <c r="F48" s="8" t="n">
        <v>0</v>
      </c>
    </row>
    <row r="49" customFormat="false" ht="15" hidden="false" customHeight="true" outlineLevel="0" collapsed="false">
      <c r="A49" s="8" t="s">
        <v>103</v>
      </c>
      <c r="B49" s="8" t="s">
        <v>81</v>
      </c>
      <c r="C49" s="12" t="n">
        <f aca="false">AVERAGE('Registration &amp; ACS Data'!F182:F185)</f>
        <v>4634</v>
      </c>
      <c r="D49" s="9" t="n">
        <f aca="false">AVERAGE('House Vote Data'!G182:G185)</f>
        <v>0.337555971947404</v>
      </c>
      <c r="E49" s="9" t="n">
        <f aca="false">AVERAGE('Registration &amp; ACS Data'!D182:D185)</f>
        <v>-0.218075</v>
      </c>
      <c r="F49" s="8" t="n">
        <v>1</v>
      </c>
    </row>
    <row r="50" customFormat="false" ht="15" hidden="false" customHeight="true" outlineLevel="0" collapsed="false">
      <c r="A50" s="8" t="s">
        <v>104</v>
      </c>
      <c r="B50" s="8" t="s">
        <v>81</v>
      </c>
      <c r="C50" s="12" t="n">
        <f aca="false">AVERAGE('Registration &amp; ACS Data'!F186:F189)</f>
        <v>3750.25</v>
      </c>
      <c r="D50" s="9" t="n">
        <f aca="false">AVERAGE('House Vote Data'!G186:G189)</f>
        <v>0.348827814296064</v>
      </c>
      <c r="E50" s="9" t="n">
        <f aca="false">AVERAGE('Registration &amp; ACS Data'!D186:D189)</f>
        <v>-0.2928</v>
      </c>
      <c r="F50" s="8" t="n">
        <v>0</v>
      </c>
    </row>
    <row r="51" customFormat="false" ht="15" hidden="false" customHeight="true" outlineLevel="0" collapsed="false">
      <c r="A51" s="8" t="s">
        <v>105</v>
      </c>
      <c r="B51" s="8" t="s">
        <v>81</v>
      </c>
      <c r="C51" s="12" t="n">
        <f aca="false">AVERAGE('Registration &amp; ACS Data'!F190:F193)</f>
        <v>18546.25</v>
      </c>
      <c r="D51" s="9" t="n">
        <f aca="false">AVERAGE('House Vote Data'!G190:G193)</f>
        <v>0.533384119901341</v>
      </c>
      <c r="E51" s="9" t="n">
        <f aca="false">AVERAGE('Registration &amp; ACS Data'!D190:D193)</f>
        <v>0.170375</v>
      </c>
      <c r="F51" s="8" t="n">
        <v>1</v>
      </c>
    </row>
    <row r="52" customFormat="false" ht="15" hidden="false" customHeight="true" outlineLevel="0" collapsed="false">
      <c r="A52" s="8" t="s">
        <v>106</v>
      </c>
      <c r="B52" s="8" t="s">
        <v>107</v>
      </c>
      <c r="C52" s="12" t="n">
        <f aca="false">AVERAGE('Registration &amp; ACS Data'!F194:F197)</f>
        <v>1909.25</v>
      </c>
      <c r="D52" s="9" t="n">
        <f aca="false">AVERAGE('House Vote Data'!G194:G197)</f>
        <v>0.317772215600385</v>
      </c>
      <c r="E52" s="9" t="n">
        <f aca="false">AVERAGE('Registration &amp; ACS Data'!D194:D197)</f>
        <v>-0.17385</v>
      </c>
      <c r="F52" s="8" t="n">
        <v>0</v>
      </c>
    </row>
    <row r="53" customFormat="false" ht="15" hidden="false" customHeight="true" outlineLevel="0" collapsed="false">
      <c r="A53" s="8" t="s">
        <v>108</v>
      </c>
      <c r="B53" s="8" t="s">
        <v>107</v>
      </c>
      <c r="C53" s="12" t="n">
        <f aca="false">AVERAGE('Registration &amp; ACS Data'!F198:F201)</f>
        <v>5280.75</v>
      </c>
      <c r="D53" s="9" t="n">
        <f aca="false">AVERAGE('House Vote Data'!G198:G201)</f>
        <v>0.359685043778874</v>
      </c>
      <c r="E53" s="9" t="n">
        <f aca="false">AVERAGE('Registration &amp; ACS Data'!D198:D201)</f>
        <v>-0.13545</v>
      </c>
      <c r="F53" s="8" t="n">
        <v>0</v>
      </c>
    </row>
    <row r="54" customFormat="false" ht="15" hidden="false" customHeight="true" outlineLevel="0" collapsed="false">
      <c r="A54" s="8" t="s">
        <v>109</v>
      </c>
      <c r="B54" s="8" t="s">
        <v>107</v>
      </c>
      <c r="C54" s="12" t="n">
        <f aca="false">AVERAGE('Registration &amp; ACS Data'!F202:F205)</f>
        <v>1846.5</v>
      </c>
      <c r="D54" s="9" t="n">
        <f aca="false">AVERAGE('House Vote Data'!G202:G205)</f>
        <v>0.372021991755633</v>
      </c>
      <c r="E54" s="9" t="n">
        <f aca="false">AVERAGE('Registration &amp; ACS Data'!D202:D205)</f>
        <v>-0.107025</v>
      </c>
      <c r="F54" s="8" t="n">
        <v>0</v>
      </c>
    </row>
    <row r="55" customFormat="false" ht="15" hidden="false" customHeight="true" outlineLevel="0" collapsed="false">
      <c r="A55" s="8" t="s">
        <v>110</v>
      </c>
      <c r="B55" s="8" t="s">
        <v>111</v>
      </c>
      <c r="C55" s="12" t="n">
        <f aca="false">AVERAGE('Registration &amp; ACS Data'!F206:F209)</f>
        <v>4066</v>
      </c>
      <c r="D55" s="9" t="n">
        <f aca="false">AVERAGE('House Vote Data'!G206:G209)</f>
        <v>0.43584255809793</v>
      </c>
      <c r="E55" s="9" t="n">
        <f aca="false">AVERAGE('Registration &amp; ACS Data'!D206:D209)</f>
        <v>-0.04705</v>
      </c>
      <c r="F55" s="8" t="n">
        <v>0</v>
      </c>
    </row>
    <row r="56" customFormat="false" ht="15" hidden="false" customHeight="true" outlineLevel="0" collapsed="false">
      <c r="A56" s="8" t="s">
        <v>112</v>
      </c>
      <c r="B56" s="8" t="s">
        <v>111</v>
      </c>
      <c r="C56" s="12" t="n">
        <f aca="false">AVERAGE('Registration &amp; ACS Data'!F210:F213)</f>
        <v>3336.75</v>
      </c>
      <c r="D56" s="9" t="n">
        <f aca="false">AVERAGE('House Vote Data'!G210:G213)</f>
        <v>0.436100236376213</v>
      </c>
      <c r="E56" s="9" t="n">
        <f aca="false">AVERAGE('Registration &amp; ACS Data'!D210:D213)</f>
        <v>-0.038025</v>
      </c>
      <c r="F56" s="8" t="n">
        <v>1</v>
      </c>
    </row>
    <row r="57" customFormat="false" ht="15" hidden="false" customHeight="true" outlineLevel="0" collapsed="false">
      <c r="A57" s="8" t="s">
        <v>113</v>
      </c>
      <c r="B57" s="8" t="s">
        <v>111</v>
      </c>
      <c r="C57" s="12" t="n">
        <f aca="false">AVERAGE('Registration &amp; ACS Data'!F214:F217)</f>
        <v>1768.25</v>
      </c>
      <c r="D57" s="9" t="n">
        <f aca="false">AVERAGE('House Vote Data'!G214:G217)</f>
        <v>0.463197156353849</v>
      </c>
      <c r="E57" s="9" t="n">
        <f aca="false">AVERAGE('Registration &amp; ACS Data'!D214:D217)</f>
        <v>0.005525</v>
      </c>
      <c r="F57" s="8" t="n">
        <v>0</v>
      </c>
    </row>
    <row r="58" customFormat="false" ht="15" hidden="false" customHeight="true" outlineLevel="0" collapsed="false">
      <c r="A58" s="8" t="s">
        <v>83</v>
      </c>
      <c r="B58" s="8" t="s">
        <v>111</v>
      </c>
      <c r="C58" s="12" t="n">
        <f aca="false">AVERAGE('Registration &amp; ACS Data'!F218:F221)</f>
        <v>58781.75</v>
      </c>
      <c r="D58" s="9" t="n">
        <f aca="false">AVERAGE('House Vote Data'!G218:G221)</f>
        <v>0.68396921577818</v>
      </c>
      <c r="E58" s="9" t="n">
        <f aca="false">AVERAGE('Registration &amp; ACS Data'!D218:D221)</f>
        <v>0.2606</v>
      </c>
      <c r="F58" s="8" t="n">
        <v>1</v>
      </c>
    </row>
    <row r="59" customFormat="false" ht="15" hidden="false" customHeight="true" outlineLevel="0" collapsed="false">
      <c r="A59" s="8" t="s">
        <v>114</v>
      </c>
      <c r="B59" s="8" t="s">
        <v>111</v>
      </c>
      <c r="C59" s="12" t="n">
        <f aca="false">AVERAGE('Registration &amp; ACS Data'!F222:F225)</f>
        <v>58781.75</v>
      </c>
      <c r="D59" s="9" t="n">
        <f aca="false">AVERAGE('House Vote Data'!G222:G225)</f>
        <v>0.538622465514914</v>
      </c>
      <c r="E59" s="9" t="n">
        <f aca="false">AVERAGE('Registration &amp; ACS Data'!D222:D225)</f>
        <v>0.2606</v>
      </c>
      <c r="F59" s="8" t="n">
        <v>0</v>
      </c>
    </row>
    <row r="60" customFormat="false" ht="15" hidden="false" customHeight="true" outlineLevel="0" collapsed="false">
      <c r="A60" s="8" t="s">
        <v>115</v>
      </c>
      <c r="B60" s="8" t="s">
        <v>111</v>
      </c>
      <c r="C60" s="12" t="n">
        <f aca="false">AVERAGE('Registration &amp; ACS Data'!F226:F229)</f>
        <v>6577.5</v>
      </c>
      <c r="D60" s="9" t="n">
        <f aca="false">AVERAGE('House Vote Data'!G226:G229)</f>
        <v>0.385058784471513</v>
      </c>
      <c r="E60" s="9" t="n">
        <f aca="false">AVERAGE('Registration &amp; ACS Data'!D226:D229)</f>
        <v>-0.176725</v>
      </c>
      <c r="F60" s="8" t="n">
        <v>0</v>
      </c>
    </row>
    <row r="61" customFormat="false" ht="15" hidden="false" customHeight="true" outlineLevel="0" collapsed="false">
      <c r="A61" s="8" t="s">
        <v>116</v>
      </c>
      <c r="B61" s="8" t="s">
        <v>111</v>
      </c>
      <c r="C61" s="12" t="n">
        <f aca="false">AVERAGE('Registration &amp; ACS Data'!F230:F233)</f>
        <v>140.25</v>
      </c>
      <c r="D61" s="9" t="n">
        <f aca="false">AVERAGE('House Vote Data'!G230:G233)</f>
        <v>0.367680574358329</v>
      </c>
      <c r="E61" s="9" t="n">
        <f aca="false">AVERAGE('Registration &amp; ACS Data'!D230:D233)</f>
        <v>-0.116825</v>
      </c>
      <c r="F61" s="8" t="n">
        <v>0</v>
      </c>
    </row>
    <row r="62" customFormat="false" ht="15" hidden="false" customHeight="true" outlineLevel="0" collapsed="false">
      <c r="A62" s="8" t="s">
        <v>117</v>
      </c>
      <c r="B62" s="8" t="s">
        <v>111</v>
      </c>
      <c r="C62" s="12" t="n">
        <f aca="false">AVERAGE('Registration &amp; ACS Data'!F234:F237)</f>
        <v>3858.5</v>
      </c>
      <c r="D62" s="9" t="n">
        <f aca="false">AVERAGE('House Vote Data'!G234:G237)</f>
        <v>0.4246642354395</v>
      </c>
      <c r="E62" s="9" t="n">
        <f aca="false">AVERAGE('Registration &amp; ACS Data'!D234:D237)</f>
        <v>-0.077675</v>
      </c>
      <c r="F62" s="8" t="n">
        <v>0</v>
      </c>
    </row>
    <row r="63" customFormat="false" ht="15" hidden="false" customHeight="true" outlineLevel="0" collapsed="false">
      <c r="A63" s="8" t="s">
        <v>118</v>
      </c>
      <c r="B63" s="8" t="s">
        <v>111</v>
      </c>
      <c r="C63" s="12" t="n">
        <f aca="false">AVERAGE('Registration &amp; ACS Data'!F238:F241)</f>
        <v>695.25</v>
      </c>
      <c r="D63" s="9" t="n">
        <f aca="false">AVERAGE('House Vote Data'!G238:G241)</f>
        <v>0.381646160638556</v>
      </c>
      <c r="E63" s="9" t="n">
        <f aca="false">AVERAGE('Registration &amp; ACS Data'!D238:D241)</f>
        <v>-0.098475</v>
      </c>
      <c r="F63" s="8" t="n">
        <v>0</v>
      </c>
    </row>
    <row r="64" customFormat="false" ht="15" hidden="false" customHeight="true" outlineLevel="0" collapsed="false">
      <c r="A64" s="8" t="s">
        <v>119</v>
      </c>
      <c r="B64" s="8" t="s">
        <v>111</v>
      </c>
      <c r="C64" s="12" t="n">
        <f aca="false">AVERAGE('Registration &amp; ACS Data'!F242:F245)</f>
        <v>17435.5</v>
      </c>
      <c r="D64" s="9" t="n">
        <f aca="false">AVERAGE('House Vote Data'!G242:G245)</f>
        <v>0.724868199119088</v>
      </c>
      <c r="E64" s="9" t="n">
        <f aca="false">AVERAGE('Registration &amp; ACS Data'!D242:D245)</f>
        <v>0.406175</v>
      </c>
      <c r="F64" s="8" t="n">
        <v>0</v>
      </c>
    </row>
    <row r="65" customFormat="false" ht="15" hidden="false" customHeight="true" outlineLevel="0" collapsed="false">
      <c r="A65" s="8" t="s">
        <v>120</v>
      </c>
      <c r="B65" s="8" t="s">
        <v>111</v>
      </c>
      <c r="C65" s="12" t="n">
        <f aca="false">AVERAGE('Registration &amp; ACS Data'!F246:F249)</f>
        <v>12624.75</v>
      </c>
      <c r="D65" s="9" t="n">
        <f aca="false">AVERAGE('House Vote Data'!G246:G249)</f>
        <v>0.523139765825721</v>
      </c>
      <c r="E65" s="9" t="n">
        <f aca="false">AVERAGE('Registration &amp; ACS Data'!D246:D249)</f>
        <v>0.04945</v>
      </c>
      <c r="F65" s="8" t="n">
        <v>1</v>
      </c>
    </row>
    <row r="66" customFormat="false" ht="15" hidden="false" customHeight="true" outlineLevel="0" collapsed="false">
      <c r="A66" s="8" t="s">
        <v>121</v>
      </c>
      <c r="B66" s="8" t="s">
        <v>111</v>
      </c>
      <c r="C66" s="12" t="n">
        <f aca="false">AVERAGE('Registration &amp; ACS Data'!F250:F253)</f>
        <v>1893.5</v>
      </c>
      <c r="D66" s="9" t="n">
        <f aca="false">AVERAGE('House Vote Data'!G250:G253)</f>
        <v>0.619164936896678</v>
      </c>
      <c r="E66" s="9" t="n">
        <f aca="false">AVERAGE('Registration &amp; ACS Data'!D250:D253)</f>
        <v>0.352675</v>
      </c>
      <c r="F66" s="8" t="n">
        <v>0</v>
      </c>
    </row>
    <row r="67" customFormat="false" ht="15" hidden="false" customHeight="true" outlineLevel="0" collapsed="false">
      <c r="A67" s="8" t="s">
        <v>122</v>
      </c>
      <c r="B67" s="8" t="s">
        <v>111</v>
      </c>
      <c r="C67" s="12" t="n">
        <f aca="false">AVERAGE('Registration &amp; ACS Data'!F254:F257)</f>
        <v>262.25</v>
      </c>
      <c r="D67" s="9" t="n">
        <f aca="false">AVERAGE('House Vote Data'!G254:G257)</f>
        <v>0.547725180575569</v>
      </c>
      <c r="E67" s="9" t="n">
        <f aca="false">AVERAGE('Registration &amp; ACS Data'!D254:D257)</f>
        <v>0.132175</v>
      </c>
      <c r="F67" s="8" t="n">
        <v>0</v>
      </c>
    </row>
    <row r="68" customFormat="false" ht="15" hidden="false" customHeight="true" outlineLevel="0" collapsed="false">
      <c r="A68" s="8" t="s">
        <v>89</v>
      </c>
      <c r="B68" s="8" t="s">
        <v>111</v>
      </c>
      <c r="C68" s="12" t="n">
        <f aca="false">AVERAGE('Registration &amp; ACS Data'!F258:F261)</f>
        <v>9532.75</v>
      </c>
      <c r="D68" s="9" t="n">
        <f aca="false">AVERAGE('House Vote Data'!G258:G261)</f>
        <v>0.543282828254617</v>
      </c>
      <c r="E68" s="9" t="n">
        <f aca="false">AVERAGE('Registration &amp; ACS Data'!D258:D261)</f>
        <v>0.063275</v>
      </c>
      <c r="F68" s="8" t="n">
        <v>0</v>
      </c>
    </row>
    <row r="69" customFormat="false" ht="15" hidden="false" customHeight="true" outlineLevel="0" collapsed="false">
      <c r="A69" s="8" t="s">
        <v>123</v>
      </c>
      <c r="B69" s="8" t="s">
        <v>111</v>
      </c>
      <c r="C69" s="12" t="n">
        <f aca="false">AVERAGE('Registration &amp; ACS Data'!F262:F265)</f>
        <v>4240.5</v>
      </c>
      <c r="D69" s="9" t="n">
        <f aca="false">AVERAGE('House Vote Data'!G262:G265)</f>
        <v>0.527092441845504</v>
      </c>
      <c r="E69" s="9" t="n">
        <f aca="false">AVERAGE('Registration &amp; ACS Data'!D262:D265)</f>
        <v>0.101075</v>
      </c>
      <c r="F69" s="8" t="n">
        <v>1</v>
      </c>
    </row>
    <row r="70" customFormat="false" ht="15" hidden="false" customHeight="true" outlineLevel="0" collapsed="false">
      <c r="A70" s="8" t="s">
        <v>81</v>
      </c>
      <c r="B70" s="8" t="s">
        <v>111</v>
      </c>
      <c r="C70" s="12" t="n">
        <f aca="false">AVERAGE('Registration &amp; ACS Data'!F266:F269)</f>
        <v>7730.75</v>
      </c>
      <c r="D70" s="9" t="n">
        <f aca="false">AVERAGE('House Vote Data'!G266:G269)</f>
        <v>0.346508016322232</v>
      </c>
      <c r="E70" s="9" t="n">
        <f aca="false">AVERAGE('Registration &amp; ACS Data'!D266:D269)</f>
        <v>-0.154625</v>
      </c>
      <c r="F70" s="8" t="n">
        <v>1</v>
      </c>
    </row>
    <row r="71" customFormat="false" ht="15" hidden="false" customHeight="true" outlineLevel="0" collapsed="false">
      <c r="A71" s="8" t="s">
        <v>124</v>
      </c>
      <c r="B71" s="8" t="s">
        <v>111</v>
      </c>
      <c r="C71" s="12" t="n">
        <f aca="false">AVERAGE('Registration &amp; ACS Data'!F270:F273)</f>
        <v>2253.5</v>
      </c>
      <c r="D71" s="9" t="n">
        <f aca="false">AVERAGE('House Vote Data'!G270:G273)</f>
        <v>0.362460491630996</v>
      </c>
      <c r="E71" s="9" t="n">
        <f aca="false">AVERAGE('Registration &amp; ACS Data'!D270:D273)</f>
        <v>-0.145025</v>
      </c>
      <c r="F71" s="8" t="n">
        <v>0</v>
      </c>
    </row>
    <row r="72" customFormat="false" ht="15" hidden="false" customHeight="true" outlineLevel="0" collapsed="false">
      <c r="A72" s="8" t="s">
        <v>125</v>
      </c>
      <c r="B72" s="8" t="s">
        <v>111</v>
      </c>
      <c r="C72" s="12" t="n">
        <f aca="false">AVERAGE('Registration &amp; ACS Data'!F274:F277)</f>
        <v>5273.25</v>
      </c>
      <c r="D72" s="9" t="n">
        <f aca="false">AVERAGE('House Vote Data'!G274:G277)</f>
        <v>0.439687004067185</v>
      </c>
      <c r="E72" s="9" t="n">
        <f aca="false">AVERAGE('Registration &amp; ACS Data'!D274:D277)</f>
        <v>-0.087425</v>
      </c>
      <c r="F72" s="8" t="n">
        <v>0</v>
      </c>
    </row>
    <row r="73" customFormat="false" ht="15" hidden="false" customHeight="true" outlineLevel="0" collapsed="false">
      <c r="A73" s="8" t="s">
        <v>126</v>
      </c>
      <c r="B73" s="8" t="s">
        <v>111</v>
      </c>
      <c r="C73" s="12" t="n">
        <f aca="false">AVERAGE('Registration &amp; ACS Data'!F278:F281)</f>
        <v>8721</v>
      </c>
      <c r="D73" s="9" t="n">
        <f aca="false">AVERAGE('House Vote Data'!G278:G281)</f>
        <v>0.482097242784183</v>
      </c>
      <c r="E73" s="9" t="n">
        <f aca="false">AVERAGE('Registration &amp; ACS Data'!D278:D281)</f>
        <v>-0.0389</v>
      </c>
      <c r="F73" s="8" t="n">
        <v>0</v>
      </c>
    </row>
    <row r="74" customFormat="false" ht="15" hidden="false" customHeight="true" outlineLevel="0" collapsed="false">
      <c r="A74" s="8" t="s">
        <v>127</v>
      </c>
      <c r="B74" s="8" t="s">
        <v>111</v>
      </c>
      <c r="C74" s="12" t="n">
        <f aca="false">AVERAGE('Registration &amp; ACS Data'!F282:F285)</f>
        <v>7017.25</v>
      </c>
      <c r="D74" s="9" t="n">
        <f aca="false">AVERAGE('House Vote Data'!G282:G285)</f>
        <v>0.342704571305577</v>
      </c>
      <c r="E74" s="9" t="n">
        <f aca="false">AVERAGE('Registration &amp; ACS Data'!D282:D285)</f>
        <v>-0.195175</v>
      </c>
      <c r="F74" s="8" t="n">
        <v>1</v>
      </c>
    </row>
    <row r="75" customFormat="false" ht="15" hidden="false" customHeight="true" outlineLevel="0" collapsed="false">
      <c r="A75" s="8" t="s">
        <v>128</v>
      </c>
      <c r="B75" s="8" t="s">
        <v>111</v>
      </c>
      <c r="C75" s="12" t="n">
        <f aca="false">AVERAGE('Registration &amp; ACS Data'!F286:F289)</f>
        <v>4144.5</v>
      </c>
      <c r="D75" s="9" t="n">
        <f aca="false">AVERAGE('House Vote Data'!G286:G289)</f>
        <v>0.503810327814116</v>
      </c>
      <c r="E75" s="9" t="n">
        <f aca="false">AVERAGE('Registration &amp; ACS Data'!D286:D289)</f>
        <v>0.044275</v>
      </c>
      <c r="F75" s="8" t="n">
        <v>1</v>
      </c>
    </row>
    <row r="76" customFormat="false" ht="15" hidden="false" customHeight="true" outlineLevel="0" collapsed="false">
      <c r="A76" s="8" t="s">
        <v>129</v>
      </c>
      <c r="B76" s="8" t="s">
        <v>111</v>
      </c>
      <c r="C76" s="12" t="n">
        <f aca="false">AVERAGE('Registration &amp; ACS Data'!F290:F293)</f>
        <v>2043</v>
      </c>
      <c r="D76" s="9" t="n">
        <f aca="false">AVERAGE('House Vote Data'!G290:G293)</f>
        <v>0.49083324936826</v>
      </c>
      <c r="E76" s="9" t="n">
        <f aca="false">AVERAGE('Registration &amp; ACS Data'!D290:D293)</f>
        <v>0.0907</v>
      </c>
      <c r="F76" s="8" t="n">
        <v>0</v>
      </c>
    </row>
    <row r="77" customFormat="false" ht="15" hidden="false" customHeight="true" outlineLevel="0" collapsed="false">
      <c r="A77" s="8" t="s">
        <v>111</v>
      </c>
      <c r="B77" s="8" t="s">
        <v>111</v>
      </c>
      <c r="C77" s="12" t="n">
        <f aca="false">AVERAGE('Registration &amp; ACS Data'!F294:F297)</f>
        <v>6846.75</v>
      </c>
      <c r="D77" s="9" t="n">
        <f aca="false">AVERAGE('House Vote Data'!G294:G297)</f>
        <v>0.476459327524166</v>
      </c>
      <c r="E77" s="9" t="n">
        <f aca="false">AVERAGE('Registration &amp; ACS Data'!D294:D297)</f>
        <v>0.07115</v>
      </c>
      <c r="F77" s="8" t="n">
        <v>0</v>
      </c>
    </row>
    <row r="78" customFormat="false" ht="15" hidden="false" customHeight="true" outlineLevel="0" collapsed="false">
      <c r="A78" s="8" t="s">
        <v>130</v>
      </c>
      <c r="B78" s="8" t="s">
        <v>111</v>
      </c>
      <c r="C78" s="12" t="n">
        <f aca="false">AVERAGE('Registration &amp; ACS Data'!F298:F301)</f>
        <v>16957.5</v>
      </c>
      <c r="D78" s="9" t="n">
        <f aca="false">AVERAGE('House Vote Data'!G298:G301)</f>
        <v>0.518742156056046</v>
      </c>
      <c r="E78" s="9" t="n">
        <f aca="false">AVERAGE('Registration &amp; ACS Data'!D298:D301)</f>
        <v>0.067975</v>
      </c>
      <c r="F78" s="8" t="n">
        <v>1</v>
      </c>
    </row>
    <row r="79" customFormat="false" ht="15" hidden="false" customHeight="true" outlineLevel="0" collapsed="false">
      <c r="A79" s="8" t="s">
        <v>131</v>
      </c>
      <c r="B79" s="8" t="s">
        <v>111</v>
      </c>
      <c r="C79" s="12" t="n">
        <f aca="false">AVERAGE('Registration &amp; ACS Data'!F302:F305)</f>
        <v>2347</v>
      </c>
      <c r="D79" s="9" t="n">
        <f aca="false">AVERAGE('House Vote Data'!G302:G305)</f>
        <v>0.391875507375266</v>
      </c>
      <c r="E79" s="9" t="n">
        <f aca="false">AVERAGE('Registration &amp; ACS Data'!D302:D305)</f>
        <v>-0.09135</v>
      </c>
      <c r="F79" s="8" t="n">
        <v>1</v>
      </c>
    </row>
    <row r="80" customFormat="false" ht="15" hidden="false" customHeight="true" outlineLevel="0" collapsed="false">
      <c r="A80" s="8" t="s">
        <v>132</v>
      </c>
      <c r="B80" s="8" t="s">
        <v>111</v>
      </c>
      <c r="C80" s="12" t="n">
        <f aca="false">AVERAGE('Registration &amp; ACS Data'!F306:F309)</f>
        <v>4702.75</v>
      </c>
      <c r="D80" s="9" t="n">
        <f aca="false">AVERAGE('House Vote Data'!G306:G309)</f>
        <v>0.361950469589255</v>
      </c>
      <c r="E80" s="9" t="n">
        <f aca="false">AVERAGE('Registration &amp; ACS Data'!D306:D309)</f>
        <v>-0.178575</v>
      </c>
      <c r="F80" s="8" t="n">
        <v>1</v>
      </c>
    </row>
    <row r="81" customFormat="false" ht="15" hidden="false" customHeight="true" outlineLevel="0" collapsed="false">
      <c r="A81" s="8" t="s">
        <v>133</v>
      </c>
      <c r="B81" s="8" t="s">
        <v>111</v>
      </c>
      <c r="C81" s="12" t="n">
        <f aca="false">AVERAGE('Registration &amp; ACS Data'!F310:F313)</f>
        <v>363.5</v>
      </c>
      <c r="D81" s="9" t="n">
        <f aca="false">AVERAGE('House Vote Data'!G310:G313)</f>
        <v>0.34696713736112</v>
      </c>
      <c r="E81" s="9" t="n">
        <f aca="false">AVERAGE('Registration &amp; ACS Data'!D310:D313)</f>
        <v>-0.170425</v>
      </c>
      <c r="F81" s="8" t="n">
        <v>0</v>
      </c>
    </row>
    <row r="82" customFormat="false" ht="15" hidden="false" customHeight="true" outlineLevel="0" collapsed="false">
      <c r="A82" s="8" t="s">
        <v>134</v>
      </c>
      <c r="B82" s="8" t="s">
        <v>111</v>
      </c>
      <c r="C82" s="12" t="n">
        <f aca="false">AVERAGE('Registration &amp; ACS Data'!F314:F317)</f>
        <v>1160.25</v>
      </c>
      <c r="D82" s="9" t="n">
        <f aca="false">AVERAGE('House Vote Data'!G314:G317)</f>
        <v>0.383688714912847</v>
      </c>
      <c r="E82" s="9" t="n">
        <f aca="false">AVERAGE('Registration &amp; ACS Data'!D314:D317)</f>
        <v>-0.087825</v>
      </c>
      <c r="F82" s="8" t="n">
        <v>1</v>
      </c>
    </row>
    <row r="83" customFormat="false" ht="15" hidden="false" customHeight="true" outlineLevel="0" collapsed="false">
      <c r="A83" s="8" t="s">
        <v>135</v>
      </c>
      <c r="B83" s="8" t="s">
        <v>111</v>
      </c>
      <c r="C83" s="12" t="n">
        <f aca="false">AVERAGE('Registration &amp; ACS Data'!F318:F321)</f>
        <v>635.5</v>
      </c>
      <c r="D83" s="9" t="n">
        <f aca="false">AVERAGE('House Vote Data'!G318:G321)</f>
        <v>0.419495644254618</v>
      </c>
      <c r="E83" s="9" t="n">
        <f aca="false">AVERAGE('Registration &amp; ACS Data'!D318:D321)</f>
        <v>-0.032625</v>
      </c>
      <c r="F83" s="8" t="n">
        <v>1</v>
      </c>
    </row>
    <row r="84" customFormat="false" ht="15" hidden="false" customHeight="true" outlineLevel="0" collapsed="false">
      <c r="A84" s="8" t="s">
        <v>136</v>
      </c>
      <c r="B84" s="8" t="s">
        <v>111</v>
      </c>
      <c r="C84" s="12" t="n">
        <f aca="false">AVERAGE('Registration &amp; ACS Data'!F322:F325)</f>
        <v>877.5</v>
      </c>
      <c r="D84" s="9" t="n">
        <f aca="false">AVERAGE('House Vote Data'!G322:G325)</f>
        <v>0.422224009206599</v>
      </c>
      <c r="E84" s="9" t="n">
        <f aca="false">AVERAGE('Registration &amp; ACS Data'!D322:D325)</f>
        <v>-0.088575</v>
      </c>
      <c r="F84" s="8" t="n">
        <v>0</v>
      </c>
    </row>
    <row r="85" customFormat="false" ht="15" hidden="false" customHeight="true" outlineLevel="0" collapsed="false">
      <c r="A85" s="8" t="s">
        <v>137</v>
      </c>
      <c r="B85" s="8" t="s">
        <v>111</v>
      </c>
      <c r="C85" s="12" t="n">
        <f aca="false">AVERAGE('Registration &amp; ACS Data'!F326:F329)</f>
        <v>4973.75</v>
      </c>
      <c r="D85" s="9" t="n">
        <f aca="false">AVERAGE('House Vote Data'!G326:G329)</f>
        <v>0.330429842689744</v>
      </c>
      <c r="E85" s="9" t="n">
        <f aca="false">AVERAGE('Registration &amp; ACS Data'!D326:D329)</f>
        <v>-0.234975</v>
      </c>
      <c r="F85" s="8" t="n">
        <v>1</v>
      </c>
    </row>
    <row r="86" customFormat="false" ht="15" hidden="false" customHeight="true" outlineLevel="0" collapsed="false">
      <c r="A86" s="8" t="s">
        <v>138</v>
      </c>
      <c r="B86" s="8" t="s">
        <v>111</v>
      </c>
      <c r="C86" s="12" t="n">
        <f aca="false">AVERAGE('Registration &amp; ACS Data'!F330:F333)</f>
        <v>4919.75</v>
      </c>
      <c r="D86" s="9" t="n">
        <f aca="false">AVERAGE('House Vote Data'!G330:G333)</f>
        <v>0.485201477387524</v>
      </c>
      <c r="E86" s="9" t="n">
        <f aca="false">AVERAGE('Registration &amp; ACS Data'!D330:D333)</f>
        <v>-0.024775</v>
      </c>
      <c r="F86" s="8" t="n">
        <v>1</v>
      </c>
    </row>
    <row r="87" customFormat="false" ht="15" hidden="false" customHeight="true" outlineLevel="0" collapsed="false">
      <c r="A87" s="8" t="s">
        <v>139</v>
      </c>
      <c r="B87" s="8" t="s">
        <v>111</v>
      </c>
      <c r="C87" s="12" t="n">
        <f aca="false">AVERAGE('Registration &amp; ACS Data'!F334:F337)</f>
        <v>1341.75</v>
      </c>
      <c r="D87" s="9" t="n">
        <f aca="false">AVERAGE('House Vote Data'!G334:G337)</f>
        <v>0.4036614496154</v>
      </c>
      <c r="E87" s="9" t="n">
        <f aca="false">AVERAGE('Registration &amp; ACS Data'!D334:D337)</f>
        <v>-0.043975</v>
      </c>
      <c r="F87" s="8" t="n">
        <v>1</v>
      </c>
    </row>
    <row r="88" customFormat="false" ht="15" hidden="false" customHeight="true" outlineLevel="0" collapsed="false">
      <c r="A88" s="8" t="s">
        <v>103</v>
      </c>
      <c r="B88" s="8" t="s">
        <v>111</v>
      </c>
      <c r="C88" s="12" t="n">
        <f aca="false">AVERAGE('Registration &amp; ACS Data'!F338:F341)</f>
        <v>3753.25</v>
      </c>
      <c r="D88" s="9" t="n">
        <f aca="false">AVERAGE('House Vote Data'!G338:G341)</f>
        <v>0.354790502981071</v>
      </c>
      <c r="E88" s="9" t="n">
        <f aca="false">AVERAGE('Registration &amp; ACS Data'!D338:D341)</f>
        <v>-0.162375</v>
      </c>
      <c r="F88" s="8" t="n">
        <v>1</v>
      </c>
    </row>
    <row r="89" customFormat="false" ht="15" hidden="false" customHeight="true" outlineLevel="0" collapsed="false">
      <c r="A89" s="8" t="s">
        <v>140</v>
      </c>
      <c r="B89" s="8" t="s">
        <v>111</v>
      </c>
      <c r="C89" s="12" t="n">
        <f aca="false">AVERAGE('Registration &amp; ACS Data'!F342:F345)</f>
        <v>816.5</v>
      </c>
      <c r="D89" s="9" t="n">
        <f aca="false">AVERAGE('House Vote Data'!G342:G345)</f>
        <v>0.481099096849421</v>
      </c>
      <c r="E89" s="9" t="n">
        <f aca="false">AVERAGE('Registration &amp; ACS Data'!D342:D345)</f>
        <v>0.0748</v>
      </c>
      <c r="F89" s="8" t="n">
        <v>0</v>
      </c>
    </row>
    <row r="90" customFormat="false" ht="15" hidden="false" customHeight="true" outlineLevel="0" collapsed="false">
      <c r="A90" s="8" t="s">
        <v>141</v>
      </c>
      <c r="B90" s="8" t="s">
        <v>111</v>
      </c>
      <c r="C90" s="12" t="n">
        <f aca="false">AVERAGE('Registration &amp; ACS Data'!F346:F349)</f>
        <v>5237</v>
      </c>
      <c r="D90" s="9" t="n">
        <f aca="false">AVERAGE('House Vote Data'!G346:G349)</f>
        <v>0.439505132097372</v>
      </c>
      <c r="E90" s="9" t="n">
        <f aca="false">AVERAGE('Registration &amp; ACS Data'!D346:D349)</f>
        <v>-0.100025</v>
      </c>
      <c r="F90" s="8" t="n">
        <v>1</v>
      </c>
    </row>
    <row r="91" customFormat="false" ht="15" hidden="false" customHeight="true" outlineLevel="0" collapsed="false">
      <c r="A91" s="8" t="s">
        <v>142</v>
      </c>
      <c r="B91" s="8" t="s">
        <v>111</v>
      </c>
      <c r="C91" s="12" t="n">
        <f aca="false">AVERAGE('Registration &amp; ACS Data'!F350:F353)</f>
        <v>5029.25</v>
      </c>
      <c r="D91" s="9" t="n">
        <f aca="false">AVERAGE('House Vote Data'!G350:G353)</f>
        <v>0.574945948631362</v>
      </c>
      <c r="E91" s="9" t="n">
        <f aca="false">AVERAGE('Registration &amp; ACS Data'!D350:D353)</f>
        <v>0.23635</v>
      </c>
      <c r="F91" s="8" t="n">
        <v>1</v>
      </c>
    </row>
    <row r="92" customFormat="false" ht="15" hidden="false" customHeight="true" outlineLevel="0" collapsed="false">
      <c r="A92" s="8" t="s">
        <v>143</v>
      </c>
      <c r="B92" s="8" t="s">
        <v>111</v>
      </c>
      <c r="C92" s="12" t="n">
        <f aca="false">AVERAGE('Registration &amp; ACS Data'!F354:F357)</f>
        <v>1917</v>
      </c>
      <c r="D92" s="9" t="n">
        <f aca="false">AVERAGE('House Vote Data'!G354:G357)</f>
        <v>0.430195323754966</v>
      </c>
      <c r="E92" s="9" t="n">
        <f aca="false">AVERAGE('Registration &amp; ACS Data'!D354:D357)</f>
        <v>-0.03755</v>
      </c>
      <c r="F92" s="8" t="n">
        <v>0</v>
      </c>
    </row>
    <row r="94" customFormat="false" ht="15" hidden="false" customHeight="true" outlineLevel="0" collapsed="false">
      <c r="A94" s="7" t="s">
        <v>250</v>
      </c>
    </row>
    <row r="95" customFormat="false" ht="15" hidden="false" customHeight="true" outlineLevel="0" collapsed="false">
      <c r="B95" s="7" t="s">
        <v>251</v>
      </c>
      <c r="C95" s="7" t="s">
        <v>144</v>
      </c>
      <c r="D95" s="7" t="s">
        <v>252</v>
      </c>
    </row>
    <row r="96" customFormat="false" ht="15" hidden="false" customHeight="true" outlineLevel="0" collapsed="false">
      <c r="A96" s="8" t="s">
        <v>253</v>
      </c>
      <c r="B96" s="9" t="n">
        <f aca="false">SUMPRODUCT(C4:C92,D4:D92)/SUM(C4:C92)</f>
        <v>0.528679835161126</v>
      </c>
      <c r="C96" s="9" t="n">
        <f aca="false">SUMPRODUCT(C4:C92,E4:E92)/SUM(C4:C92)</f>
        <v>0.0999933747960883</v>
      </c>
      <c r="D96" s="12" t="n">
        <f aca="false">SUM(C4:C92)</f>
        <v>584199</v>
      </c>
    </row>
    <row r="97" customFormat="false" ht="15" hidden="false" customHeight="true" outlineLevel="0" collapsed="false">
      <c r="A97" s="7" t="s">
        <v>254</v>
      </c>
      <c r="B97" s="21" t="n">
        <f aca="false">SUMPRODUCT(C4:C92,D4:D92,F4:F92)/SUMPRODUCT(C4:C92,F4:F92)</f>
        <v>0.529409311682739</v>
      </c>
      <c r="C97" s="21" t="n">
        <f aca="false">SUMPRODUCT(C4:C92,E4:E92,F4:F92)/SUMPRODUCT(C4:C92,F4:F92)</f>
        <v>0.0753018603202142</v>
      </c>
      <c r="D97" s="20" t="n">
        <f aca="false">SUMPRODUCT(C4:C92,F4:F92)</f>
        <v>227098</v>
      </c>
    </row>
    <row r="98" customFormat="false" ht="15" hidden="false" customHeight="true" outlineLevel="0" collapsed="false">
      <c r="A98" s="8" t="s">
        <v>255</v>
      </c>
      <c r="D98" s="21" t="n">
        <f aca="false">D97/D96</f>
        <v>0.388733975922588</v>
      </c>
    </row>
  </sheetData>
  <mergeCells count="1">
    <mergeCell ref="A1:G1"/>
  </mergeCells>
  <conditionalFormatting sqref="F4:F92">
    <cfRule type="expression" priority="2" aboveAverage="0" equalAverage="0" bottom="0" percent="0" rank="0" text="" dxfId="5">
      <formula>F4=1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H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7" min="2" style="1" width="24"/>
    <col collapsed="false" customWidth="true" hidden="false" outlineLevel="0" max="8" min="8" style="1" width="40"/>
  </cols>
  <sheetData>
    <row r="1" customFormat="false" ht="17.25" hidden="false" customHeight="true" outlineLevel="0" collapsed="false">
      <c r="B1" s="34" t="s">
        <v>256</v>
      </c>
    </row>
    <row r="3" customFormat="false" ht="15" hidden="false" customHeight="true" outlineLevel="0" collapsed="false">
      <c r="B3" s="35" t="s">
        <v>257</v>
      </c>
    </row>
    <row r="4" customFormat="false" ht="69.75" hidden="false" customHeight="true" outlineLevel="0" collapsed="false">
      <c r="B4" s="11" t="s">
        <v>258</v>
      </c>
      <c r="C4" s="11"/>
      <c r="D4" s="11"/>
      <c r="E4" s="11"/>
      <c r="F4" s="11"/>
      <c r="G4" s="11"/>
      <c r="H4" s="11"/>
    </row>
    <row r="6" customFormat="false" ht="15" hidden="false" customHeight="true" outlineLevel="0" collapsed="false">
      <c r="B6" s="35" t="s">
        <v>259</v>
      </c>
    </row>
    <row r="7" customFormat="false" ht="90" hidden="false" customHeight="true" outlineLevel="0" collapsed="false">
      <c r="B7" s="11" t="s">
        <v>260</v>
      </c>
      <c r="C7" s="11"/>
      <c r="D7" s="11"/>
      <c r="E7" s="11"/>
      <c r="F7" s="11"/>
      <c r="G7" s="11"/>
      <c r="H7" s="11"/>
    </row>
    <row r="9" customFormat="false" ht="15" hidden="false" customHeight="true" outlineLevel="0" collapsed="false">
      <c r="B9" s="35" t="s">
        <v>261</v>
      </c>
    </row>
    <row r="10" customFormat="false" ht="15" hidden="false" customHeight="true" outlineLevel="0" collapsed="false">
      <c r="B10" s="36" t="s">
        <v>262</v>
      </c>
      <c r="C10" s="36" t="s">
        <v>263</v>
      </c>
      <c r="D10" s="36" t="s">
        <v>264</v>
      </c>
      <c r="E10" s="36" t="s">
        <v>265</v>
      </c>
      <c r="F10" s="36"/>
      <c r="G10" s="36"/>
      <c r="H10" s="36"/>
    </row>
    <row r="11" customFormat="false" ht="33.75" hidden="false" customHeight="true" outlineLevel="0" collapsed="false">
      <c r="B11" s="37" t="s">
        <v>266</v>
      </c>
      <c r="C11" s="37" t="s">
        <v>267</v>
      </c>
      <c r="D11" s="37" t="s">
        <v>268</v>
      </c>
      <c r="E11" s="38" t="s">
        <v>269</v>
      </c>
      <c r="F11" s="38"/>
      <c r="G11" s="38"/>
      <c r="H11" s="38"/>
    </row>
    <row r="12" customFormat="false" ht="33.75" hidden="false" customHeight="true" outlineLevel="0" collapsed="false">
      <c r="B12" s="37" t="s">
        <v>270</v>
      </c>
      <c r="C12" s="37" t="s">
        <v>271</v>
      </c>
      <c r="D12" s="37" t="s">
        <v>268</v>
      </c>
      <c r="E12" s="38" t="s">
        <v>272</v>
      </c>
      <c r="F12" s="38"/>
      <c r="G12" s="38"/>
      <c r="H12" s="38"/>
    </row>
    <row r="13" customFormat="false" ht="33.75" hidden="false" customHeight="true" outlineLevel="0" collapsed="false">
      <c r="B13" s="37" t="s">
        <v>273</v>
      </c>
      <c r="C13" s="37" t="s">
        <v>274</v>
      </c>
      <c r="D13" s="37" t="s">
        <v>275</v>
      </c>
      <c r="E13" s="38" t="s">
        <v>276</v>
      </c>
      <c r="F13" s="38"/>
      <c r="G13" s="38"/>
      <c r="H13" s="38"/>
    </row>
    <row r="14" customFormat="false" ht="33.75" hidden="false" customHeight="true" outlineLevel="0" collapsed="false">
      <c r="B14" s="37" t="s">
        <v>277</v>
      </c>
      <c r="C14" s="37" t="s">
        <v>278</v>
      </c>
      <c r="D14" s="37" t="s">
        <v>268</v>
      </c>
      <c r="E14" s="38" t="s">
        <v>279</v>
      </c>
      <c r="F14" s="38"/>
      <c r="G14" s="38"/>
      <c r="H14" s="38"/>
    </row>
    <row r="16" customFormat="false" ht="15" hidden="false" customHeight="true" outlineLevel="0" collapsed="false">
      <c r="B16" s="35" t="s">
        <v>280</v>
      </c>
    </row>
    <row r="17" customFormat="false" ht="49.5" hidden="false" customHeight="true" outlineLevel="0" collapsed="false">
      <c r="B17" s="11" t="s">
        <v>281</v>
      </c>
      <c r="C17" s="11"/>
      <c r="D17" s="11"/>
      <c r="E17" s="11"/>
      <c r="F17" s="11"/>
      <c r="G17" s="11"/>
      <c r="H17" s="11"/>
    </row>
  </sheetData>
  <mergeCells count="8">
    <mergeCell ref="B4:H4"/>
    <mergeCell ref="B7:H7"/>
    <mergeCell ref="E10:H10"/>
    <mergeCell ref="E11:H11"/>
    <mergeCell ref="E12:H12"/>
    <mergeCell ref="E13:H13"/>
    <mergeCell ref="E14:H14"/>
    <mergeCell ref="B17:H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100"/>
  </cols>
  <sheetData>
    <row r="1" customFormat="false" ht="64.5" hidden="false" customHeight="true" outlineLevel="0" collapsed="false">
      <c r="A1" s="7" t="s">
        <v>282</v>
      </c>
      <c r="B1" s="39" t="s">
        <v>283</v>
      </c>
    </row>
    <row r="2" customFormat="false" ht="64.5" hidden="false" customHeight="true" outlineLevel="0" collapsed="false">
      <c r="A2" s="7" t="s">
        <v>284</v>
      </c>
      <c r="B2" s="39" t="s">
        <v>285</v>
      </c>
    </row>
    <row r="3" customFormat="false" ht="64.5" hidden="false" customHeight="true" outlineLevel="0" collapsed="false">
      <c r="A3" s="7" t="s">
        <v>286</v>
      </c>
      <c r="B3" s="39" t="s">
        <v>287</v>
      </c>
    </row>
    <row r="4" customFormat="false" ht="64.5" hidden="false" customHeight="true" outlineLevel="0" collapsed="false">
      <c r="A4" s="7" t="s">
        <v>288</v>
      </c>
      <c r="B4" s="39" t="s">
        <v>289</v>
      </c>
    </row>
    <row r="5" customFormat="false" ht="64.5" hidden="false" customHeight="true" outlineLevel="0" collapsed="false">
      <c r="A5" s="7" t="s">
        <v>290</v>
      </c>
      <c r="B5" s="39" t="s">
        <v>291</v>
      </c>
    </row>
    <row r="6" customFormat="false" ht="64.5" hidden="false" customHeight="true" outlineLevel="0" collapsed="false">
      <c r="A6" s="7" t="s">
        <v>14</v>
      </c>
      <c r="B6" s="39" t="s">
        <v>292</v>
      </c>
    </row>
    <row r="7" customFormat="false" ht="64.5" hidden="false" customHeight="true" outlineLevel="0" collapsed="false">
      <c r="A7" s="7" t="s">
        <v>293</v>
      </c>
      <c r="B7" s="39" t="s">
        <v>294</v>
      </c>
    </row>
    <row r="8" customFormat="false" ht="64.5" hidden="false" customHeight="true" outlineLevel="0" collapsed="false">
      <c r="A8" s="7" t="s">
        <v>295</v>
      </c>
      <c r="B8" s="39" t="s">
        <v>296</v>
      </c>
    </row>
    <row r="9" customFormat="false" ht="64.5" hidden="false" customHeight="true" outlineLevel="0" collapsed="false">
      <c r="A9" s="7" t="s">
        <v>297</v>
      </c>
      <c r="B9" s="39" t="s">
        <v>298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2026-09-15T19:06:45Z</dcterms:created>
  <dc:creator>openpyxl</dc:creator>
  <dc:description/>
  <dc:language>en-US</dc:language>
  <cp:lastModifiedBy/>
  <dcterms:modified xsi:type="dcterms:W3CDTF">2026-09-16T16:12:25Z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