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definition" sheetId="1" r:id="rId4"/>
    <sheet state="visible" name="How to use" sheetId="2" r:id="rId5"/>
    <sheet state="visible" name="Backtest Comparison" sheetId="3" r:id="rId6"/>
    <sheet state="visible" name="Trend Forecast" sheetId="4" r:id="rId7"/>
    <sheet state="visible" name="Beta-Adjusted Forecast" sheetId="5" r:id="rId8"/>
    <sheet state="visible" name="Regression Forecast" sheetId="6" r:id="rId9"/>
  </sheets>
  <definedNames/>
  <calcPr/>
  <extLst>
    <ext uri="GoogleSheetsCustomDataVersion2">
      <go:sheetsCustomData xmlns:go="http://customooxmlschemas.google.com/" r:id="rId10" roundtripDataChecksum="FDKIZUeYQdiQWQohsbDK3SzCDVmZ7LhRJF3FhZRchLs="/>
    </ext>
  </extLst>
</workbook>
</file>

<file path=xl/sharedStrings.xml><?xml version="1.0" encoding="utf-8"?>
<sst xmlns="http://schemas.openxmlformats.org/spreadsheetml/2006/main" count="4581" uniqueCount="509">
  <si>
    <t>How to use this precinct template</t>
  </si>
  <si>
    <t>What a successful PA-07 final looks like</t>
  </si>
  <si>
    <t>PA-07 2026 House Forecast — Precinct-Level Predictions</t>
  </si>
  <si>
    <t>2024 Backtest: How Each Method Actually Performed (Precinct (408 units))</t>
  </si>
  <si>
    <t>Each method was trained on 2018-2022 only, used to predict 2024, then checked against the real 2024 election result. This is the evidence behind which sheet to trust most.</t>
  </si>
  <si>
    <t>Method</t>
  </si>
  <si>
    <t>Candidates: Brooks | Mackenzie   |   District totals (yellow) are formulas over the precinct rows.</t>
  </si>
  <si>
    <t>Mean Absolute Error (points)</t>
  </si>
  <si>
    <t>Winner Accuracy</t>
  </si>
  <si>
    <t>Accuracy %</t>
  </si>
  <si>
    <t>Trend</t>
  </si>
  <si>
    <t>387 / 408</t>
  </si>
  <si>
    <t>94.9%</t>
  </si>
  <si>
    <t>1. Fill Model/scenario, As-of date, and Prepared by.</t>
  </si>
  <si>
    <t>Beta-Adjusted</t>
  </si>
  <si>
    <t>390 / 408</t>
  </si>
  <si>
    <t>95.6%</t>
  </si>
  <si>
    <t>Regression</t>
  </si>
  <si>
    <t>2. Enter predicted Brooks and Mackenzie votes for each precinct (Other optional).</t>
  </si>
  <si>
    <t>366 / 408</t>
  </si>
  <si>
    <t>89.7%</t>
  </si>
  <si>
    <t>Recommendation: use the Beta-Adjusted sheet as the primary forecast -- it had the lowest error and/or highest accuracy predicting real 2024 results from only prior-cycle data. The other two sheets are included for comparison and to show the range of outcomes across methods.</t>
  </si>
  <si>
    <t>Lead with a simple district scoreboard:</t>
  </si>
  <si>
    <t>3. Never type the district totals — the yellow row sums the precinct predictions.</t>
  </si>
  <si>
    <t xml:space="preserve">  • Brooks — predicted votes</t>
  </si>
  <si>
    <t>4. Reconcile against the municipal template.</t>
  </si>
  <si>
    <t>5. Optional Notes tags: fundamentals | precinct-bellwether | mesh.</t>
  </si>
  <si>
    <t xml:space="preserve">  • Mackenzie — predicted votes</t>
  </si>
  <si>
    <t>6. Version the file; do not use “Final” in the name.</t>
  </si>
  <si>
    <t xml:space="preserve">  • Each candidate’s share of total votes</t>
  </si>
  <si>
    <t>Successful project check</t>
  </si>
  <si>
    <t>- District Brooks votes, Mackenzie votes, and shares are explicit.</t>
  </si>
  <si>
    <t>Then show the geography table that adds up to those district numbers.</t>
  </si>
  <si>
    <t>- Precinct rows add exactly to the district totals.</t>
  </si>
  <si>
    <t>- Methods note explains which forecasting lane produced the numbers.</t>
  </si>
  <si>
    <t>Two companion files:</t>
  </si>
  <si>
    <t>Enter votes only in the Brooks / Mackenzie / Other columns. Compare district totals to the municipal template and explain any gap.  |  2024 Backtest: MAE=2.24 pts, accuracy=387/408</t>
  </si>
  <si>
    <t xml:space="preserve">  1) Municipal-level predictions</t>
  </si>
  <si>
    <t xml:space="preserve">  2) Precinct-level predictions</t>
  </si>
  <si>
    <t>Model / scenario</t>
  </si>
  <si>
    <t>Simple Trend (v3)</t>
  </si>
  <si>
    <t>As-of date</t>
  </si>
  <si>
    <t>2026-09-24</t>
  </si>
  <si>
    <t>Prepared by</t>
  </si>
  <si>
    <t>Kiley</t>
  </si>
  <si>
    <t>v0.1 template</t>
  </si>
  <si>
    <t>Methods can be sophisticated; the published product stays simple and auditable.</t>
  </si>
  <si>
    <t>DISTRICT TOTALS (auto-sum — do not type over)</t>
  </si>
  <si>
    <t>District totals must be formulas over geography rows — not separately typed guesses.</t>
  </si>
  <si>
    <t>Never use “Final” in a filename; version the forecast (v0.1, v0.2, …).</t>
  </si>
  <si>
    <t>Geography</t>
  </si>
  <si>
    <t>(muni)</t>
  </si>
  <si>
    <t>(precinct)</t>
  </si>
  <si>
    <t>Brooks votes</t>
  </si>
  <si>
    <t>Mackenzie votes</t>
  </si>
  <si>
    <t>Total votes</t>
  </si>
  <si>
    <t>Brooks share</t>
  </si>
  <si>
    <t>Mackenzie share</t>
  </si>
  <si>
    <t>Notes</t>
  </si>
  <si>
    <t>PA-07 District</t>
  </si>
  <si>
    <t>(all precincts)</t>
  </si>
  <si>
    <t>District headline: Simple Trend (v3). 205/370 precincts matched directly; remainder use municipality-level split (yellow).</t>
  </si>
  <si>
    <t>Discussion prompt: Precinct and municipal district totals should match, or the class must document why they do not.</t>
  </si>
  <si>
    <t>PRECINCT DETAIL</t>
  </si>
  <si>
    <t>County</t>
  </si>
  <si>
    <t>Municipality</t>
  </si>
  <si>
    <t>Precinct</t>
  </si>
  <si>
    <t>Notes / source method</t>
  </si>
  <si>
    <t>Enter votes only in the Brooks / Mackenzie / Other columns. Compare district totals to the municipal template and explain any gap.  |  2024 Backtest: MAE=2.09 pts, accuracy=390/408 (best of the three methods)</t>
  </si>
  <si>
    <t>Beta-Adjusted (v3) -- MOST ACCURATE, best 2024 backtest</t>
  </si>
  <si>
    <t>District headline: Beta-Adjusted (v3) -- MOST ACCURATE, best 2024 backtest. 205/370 precincts matched directly; remainder use municipality-level split (yellow).</t>
  </si>
  <si>
    <t>Carbon</t>
  </si>
  <si>
    <t>BANKS TOWNSHIP</t>
  </si>
  <si>
    <t>Precinct-level forecast</t>
  </si>
  <si>
    <t>BEAVER MEADOWS BOROUGH</t>
  </si>
  <si>
    <t>BOWMANSTOWN BOROUGH</t>
  </si>
  <si>
    <t>EAST PENN TOWNSHIP</t>
  </si>
  <si>
    <t>EAST PENN TOWNSHIP-NORTH</t>
  </si>
  <si>
    <t>EAST PENN TOWNSHIP-SOUTH</t>
  </si>
  <si>
    <t>EAST SIDE BOROUGH</t>
  </si>
  <si>
    <t>FRANKLIN TOWNSHIP</t>
  </si>
  <si>
    <t>FRANKLIN TOWNSHIP-HARRITY</t>
  </si>
  <si>
    <t>FRANKLIN TOWNSHIP-IND DIST</t>
  </si>
  <si>
    <t>Municipality-level fallback, split evenly</t>
  </si>
  <si>
    <t>FRANKLIN TOWNSHIP-LONG RUN</t>
  </si>
  <si>
    <t>JIM THORPE BOROUGH</t>
  </si>
  <si>
    <t>JIM THORPE BOROUGH-1ST</t>
  </si>
  <si>
    <t>JIM THORPE BOROUGH-2ND</t>
  </si>
  <si>
    <t>JIM THORPE BOROUGH-3RD</t>
  </si>
  <si>
    <t>JIM THORPE BOROUGH-4TH</t>
  </si>
  <si>
    <t>JIM THORPE BOROUGH-5TH</t>
  </si>
  <si>
    <t>KIDDER TOWNSHIP</t>
  </si>
  <si>
    <t>KIDDER TOWNSHIP-NORTH</t>
  </si>
  <si>
    <t>KIDDER TOWNSHIP-SOUTH</t>
  </si>
  <si>
    <t>LANSFORD BOROUGH</t>
  </si>
  <si>
    <t>LANSFORD BOROUGH - EAST WARD</t>
  </si>
  <si>
    <t>LANSFORD BOROUGH-MIDDLE WARD</t>
  </si>
  <si>
    <t>LANSFORD BOROUGH-WEST WARD</t>
  </si>
  <si>
    <t>LAUSANNE TOWNSHIP</t>
  </si>
  <si>
    <t>LEHIGH TOWNSHIP</t>
  </si>
  <si>
    <t>LEHIGHTON BOROUGH</t>
  </si>
  <si>
    <t>LEHIGHTON BOROUGH-1ST</t>
  </si>
  <si>
    <t>LEHIGHTON BOROUGH-2ND</t>
  </si>
  <si>
    <t>LEHIGHTON BOROUGH-3RD</t>
  </si>
  <si>
    <t>LOWER TOWAMENSING TWP.</t>
  </si>
  <si>
    <t>LOWER TOWAMENSING TWP.-NORTH</t>
  </si>
  <si>
    <t>LOWER TOWAMENSING TWP.-SOUTH</t>
  </si>
  <si>
    <t>MAHONING TOWNSHIP</t>
  </si>
  <si>
    <t>MAHONING TOWNSHIP - NEW MAHONING</t>
  </si>
  <si>
    <t>MAHONING TOWNSHIP - PACKERTON/JAMESTOWN</t>
  </si>
  <si>
    <t>MAHONING TOWNSHIP-MAHONING</t>
  </si>
  <si>
    <t>NESQUEHONING BOROUGH</t>
  </si>
  <si>
    <t>NESQUEHONING BOROUGH-EAST</t>
  </si>
  <si>
    <t>NESQUEHONING BOROUGH-WEST</t>
  </si>
  <si>
    <t>PACKER TOWNSHIP</t>
  </si>
  <si>
    <t>PALMERTON BOROUGH</t>
  </si>
  <si>
    <t>PALMERTON BOROUGH-EASTERN</t>
  </si>
  <si>
    <t>PALMERTON BOROUGH-MIDDLE</t>
  </si>
  <si>
    <t>PALMERTON BOROUGH-WESTERN</t>
  </si>
  <si>
    <t>PARRYVILLE BOROUGH</t>
  </si>
  <si>
    <t>PENN FOREST TOWNSHIP</t>
  </si>
  <si>
    <t>PENN FOREST TOWNSHIP-EAST</t>
  </si>
  <si>
    <t>PENN FOREST TOWNSHIP-MIDDLE</t>
  </si>
  <si>
    <t>PENN FOREST TOWNSHIP-NORTH EAST</t>
  </si>
  <si>
    <t>PENN FOREST TOWNSHIP-NORTH WEST</t>
  </si>
  <si>
    <t>PENN FOREST TOWNSHIP-SOUTH WEST</t>
  </si>
  <si>
    <t>SUMMIT HILL BOROUGH</t>
  </si>
  <si>
    <t>SUMMIT HILL BOROUGH-1ST</t>
  </si>
  <si>
    <t>SUMMIT HILL BOROUGH-2ND</t>
  </si>
  <si>
    <t>SUMMIT HILL BOROUGH-3RD/2ND</t>
  </si>
  <si>
    <t>SUMMIT HILL-3RD/1ST DIST</t>
  </si>
  <si>
    <t>TOWAMENSING TOWNSHIP</t>
  </si>
  <si>
    <t>TOWAMENSING TOWNSHIP-NORTH</t>
  </si>
  <si>
    <t>TOWAMENSING TOWNSHIP-SOUTH-1</t>
  </si>
  <si>
    <t>TOWAMENSING TOWNSHIP-SOUTH-2</t>
  </si>
  <si>
    <t>WEATHERLY BOROUGH</t>
  </si>
  <si>
    <t>WEATHERLY BOROUGH-EAST</t>
  </si>
  <si>
    <t>WEATHERLY BOROUGH-WEST</t>
  </si>
  <si>
    <t>WEISSPORT BOROUGH</t>
  </si>
  <si>
    <t>Lehigh</t>
  </si>
  <si>
    <t>ALBURTIS</t>
  </si>
  <si>
    <t>ALLENTOWN</t>
  </si>
  <si>
    <t>ALLENTOWN 10TH WARD 1ST DIST</t>
  </si>
  <si>
    <t>ALLENTOWN 10TH WARD 3RD DIST</t>
  </si>
  <si>
    <t>ALLENTOWN 10TH WARD 4TH DIST</t>
  </si>
  <si>
    <t>ALLENTOWN 11TH WARD 1ST DIST</t>
  </si>
  <si>
    <t>ALLENTOWN 11TH WARD 2ND DIST</t>
  </si>
  <si>
    <t>ALLENTOWN 11TH WARD 3RD DIST</t>
  </si>
  <si>
    <t>ALLENTOWN 11TH WARD 4TH DIST</t>
  </si>
  <si>
    <t>ALLENTOWN 11TH WARD 5TH DIST</t>
  </si>
  <si>
    <t>ALLENTOWN 11TH WARD 6TH DIST</t>
  </si>
  <si>
    <t>ALLENTOWN 11TH WARD 7TH DIST</t>
  </si>
  <si>
    <t>ALLENTOWN 12TH WARD 1ST DIST</t>
  </si>
  <si>
    <t>ALLENTOWN 12TH WARD 2ND DIST</t>
  </si>
  <si>
    <t>ALLENTOWN 12TH WARD 3RD DIST</t>
  </si>
  <si>
    <t>ALLENTOWN 12TH WARD 4TH DIST</t>
  </si>
  <si>
    <t>ALLENTOWN 12TH WARD 5TH DIST</t>
  </si>
  <si>
    <t>ALLENTOWN 13TH WARD 1ST DIST</t>
  </si>
  <si>
    <t>ALLENTOWN 13TH WARD 2ND DIST</t>
  </si>
  <si>
    <t>ALLENTOWN 13TH WARD 3RD DIST</t>
  </si>
  <si>
    <t>ALLENTOWN 13TH WARD 4TH DIST</t>
  </si>
  <si>
    <t>ALLENTOWN 14TH WARD 1ST DIST</t>
  </si>
  <si>
    <t>ALLENTOWN 14TH WARD 2ND DIST</t>
  </si>
  <si>
    <t>ALLENTOWN 15TH WARD 1ST DIST</t>
  </si>
  <si>
    <t>ALLENTOWN 15TH WARD 2ND DIST</t>
  </si>
  <si>
    <t>ALLENTOWN 15TH WARD 3RD DIST</t>
  </si>
  <si>
    <t>ALLENTOWN 15TH WARD 4TH DIST</t>
  </si>
  <si>
    <t>ALLENTOWN 16TH WARD 1ST DIST</t>
  </si>
  <si>
    <t>ALLENTOWN 16TH WARD 2ND DIST</t>
  </si>
  <si>
    <t>ALLENTOWN 17TH WARD 1ST DIST</t>
  </si>
  <si>
    <t>ALLENTOWN 17TH WARD 2ND DIST</t>
  </si>
  <si>
    <t>ALLENTOWN 17TH WARD 3RD DIST</t>
  </si>
  <si>
    <t>ALLENTOWN 17TH WARD 4TH DIST</t>
  </si>
  <si>
    <t>ALLENTOWN 17TH WD 4TH DT PARK</t>
  </si>
  <si>
    <t>ALLENTOWN 18TH WARD 1ST DIST</t>
  </si>
  <si>
    <t>ALLENTOWN 18TH WARD 2ND DIST</t>
  </si>
  <si>
    <t>ALLENTOWN 18TH WD 2ND DT PARK</t>
  </si>
  <si>
    <t>ALLENTOWN 19TH WARD 1ST DIST</t>
  </si>
  <si>
    <t>ALLENTOWN 19TH WARD 2ND DIST</t>
  </si>
  <si>
    <t>ALLENTOWN 19TH WARD 3RD DIST</t>
  </si>
  <si>
    <t>ALLENTOWN 19TH WARD 4TH DIST</t>
  </si>
  <si>
    <t>ALLENTOWN 19TH WARD 5TH DIST</t>
  </si>
  <si>
    <t>ALLENTOWN 19TH WARD 5TH DT SAL</t>
  </si>
  <si>
    <t>ALLENTOWN 19TH WARD 6TH DIST</t>
  </si>
  <si>
    <t>ALLENTOWN 1ST WARD</t>
  </si>
  <si>
    <t>ALLENTOWN 2ND WARD</t>
  </si>
  <si>
    <t>ALLENTOWN 3RD WARD</t>
  </si>
  <si>
    <t>ALLENTOWN 4TH WARD</t>
  </si>
  <si>
    <t>ALLENTOWN 5TH WARD</t>
  </si>
  <si>
    <t>ALLENTOWN 6TH WARD 1ST DIST</t>
  </si>
  <si>
    <t>ALLENTOWN 6TH WARD 2ND DIST</t>
  </si>
  <si>
    <t>ALLENTOWN 7TH WARD</t>
  </si>
  <si>
    <t>ALLENTOWN 8TH WARD 1ST DIST</t>
  </si>
  <si>
    <t>ALLENTOWN 8TH WARD 2ND DIST</t>
  </si>
  <si>
    <t>ALLENTOWN 8TH WARD 3RD DIST</t>
  </si>
  <si>
    <t>ALLENTOWN 8TH WARD 4TH DIST</t>
  </si>
  <si>
    <t>ALLENTOWN 8TH WARD 5TH DIST</t>
  </si>
  <si>
    <t>ALLENTOWN 8TH WARD 6TH DIST</t>
  </si>
  <si>
    <t>ALLENTOWN 8TH WARD 7TH DIST</t>
  </si>
  <si>
    <t>ALLENTOWN 9TH WARD</t>
  </si>
  <si>
    <t>BETHLEHEM</t>
  </si>
  <si>
    <t>BETHLEHEM 10TH WARD</t>
  </si>
  <si>
    <t>BETHLEHEM 11TH WARD</t>
  </si>
  <si>
    <t>BETHLEHEM 12TH WARD 1ST DIST</t>
  </si>
  <si>
    <t>BETHLEHEM 12TH WARD 2ND DIST</t>
  </si>
  <si>
    <t>BETHLEHEM 13TH WARD 1ST DIST</t>
  </si>
  <si>
    <t>BETHLEHEM 13TH WARD 2ND DIST</t>
  </si>
  <si>
    <t>BETHLEHEM 13TH WARD 3RD DIST</t>
  </si>
  <si>
    <t>BETHLEHEM 13TH WARD 4TH DIST</t>
  </si>
  <si>
    <t>BETHLEHEM 13TH WARD 5TH DIST</t>
  </si>
  <si>
    <t>BETHLEHEM 13TH WARD 6TH DIST</t>
  </si>
  <si>
    <t>BETHLEHEM 13TH WARD 7TH DIST</t>
  </si>
  <si>
    <t>BETHLEHEM 13TH WARD 8TH DIST</t>
  </si>
  <si>
    <t>CATASAUQUA</t>
  </si>
  <si>
    <t>CATASAUQUA 1ST DIST</t>
  </si>
  <si>
    <t>CATASAUQUA 2ND DIST</t>
  </si>
  <si>
    <t>CATASAUQUA 3RD DIST</t>
  </si>
  <si>
    <t>COOPERSBURG</t>
  </si>
  <si>
    <t>COPLAY</t>
  </si>
  <si>
    <t>COPLAY 1ST DISTRICT</t>
  </si>
  <si>
    <t>COPLAY 2ND DISTRICT</t>
  </si>
  <si>
    <t>EMMAUS</t>
  </si>
  <si>
    <t>EMMAUS 1ST DISTRICT</t>
  </si>
  <si>
    <t>EMMAUS 2ND DISTRICT</t>
  </si>
  <si>
    <t>EMMAUS 3RD DISTRICT</t>
  </si>
  <si>
    <t>EMMAUS 4TH DISTRICT</t>
  </si>
  <si>
    <t>EMMAUS 5TH DISTRICT</t>
  </si>
  <si>
    <t>EMMAUS 6TH DISTRICT</t>
  </si>
  <si>
    <t>FOUNTAIN HILL</t>
  </si>
  <si>
    <t>FOUNTAIN HILL 1ST DIST</t>
  </si>
  <si>
    <t>FOUNTAIN HILL 2ND DIST</t>
  </si>
  <si>
    <t>FOUNTAIN HILL 3RD DIST</t>
  </si>
  <si>
    <t>HANOVER</t>
  </si>
  <si>
    <t>HEIDELBERG</t>
  </si>
  <si>
    <t>LOWER MACUNGIE</t>
  </si>
  <si>
    <t>LOWER MACUNGIE 10TH DISTRICT</t>
  </si>
  <si>
    <t>LOWER MACUNGIE 1ST DISTRICT</t>
  </si>
  <si>
    <t>LOWER MACUNGIE 2ND DISTRICT</t>
  </si>
  <si>
    <t>LOWER MACUNGIE 3RD DISTRICT</t>
  </si>
  <si>
    <t>LOWER MACUNGIE 4TH DISTRICT</t>
  </si>
  <si>
    <t>LOWER MACUNGIE 5TH DISTRICT</t>
  </si>
  <si>
    <t>LOWER MACUNGIE 6TH DISTRICT</t>
  </si>
  <si>
    <t>LOWER MACUNGIE 7TH DISTRICT</t>
  </si>
  <si>
    <t>LOWER MACUNGIE 8TH DISTRICT</t>
  </si>
  <si>
    <t>LOWER MACUNGIE 9TH DISTRICT</t>
  </si>
  <si>
    <t>LOWER MILFORD</t>
  </si>
  <si>
    <t>LOWHILL</t>
  </si>
  <si>
    <t>LYNN</t>
  </si>
  <si>
    <t>LYNN JACKSONVILLE DISTRICT</t>
  </si>
  <si>
    <t>LYNN LYNNVILLE DISTRICT</t>
  </si>
  <si>
    <t>LYNN NEW TRIPOLI DISTRICT</t>
  </si>
  <si>
    <t>MACUNGIE</t>
  </si>
  <si>
    <t>NORTH WHITEHALL</t>
  </si>
  <si>
    <t>NORTH WHITEHALL 1ST DISTRICT</t>
  </si>
  <si>
    <t>NORTH WHITEHALL 2ND DISTRICT</t>
  </si>
  <si>
    <t>NORTH WHITEHALL 3RD DISTRICT</t>
  </si>
  <si>
    <t>NORTH WHITEHALL 4TH DISTRICT</t>
  </si>
  <si>
    <t>NORTH WHITEHALL 5TH DISTRICT</t>
  </si>
  <si>
    <t>NORTH WHITEHALL 6TH DISTRICT</t>
  </si>
  <si>
    <t>SALISBURY</t>
  </si>
  <si>
    <t>SALISBURY 1ST WARD</t>
  </si>
  <si>
    <t>SALISBURY 2ND WARD</t>
  </si>
  <si>
    <t>SALISBURY 3RD WARD 1ST DIST</t>
  </si>
  <si>
    <t>SALISBURY 3RD WARD 2ND DIST</t>
  </si>
  <si>
    <t>SALISBURY 4TH WARD 1ST DIST</t>
  </si>
  <si>
    <t>SALISBURY 4TH WARD 2ND DIST</t>
  </si>
  <si>
    <t>SALISBURY 5TH WARD 1ST DIST</t>
  </si>
  <si>
    <t>SALISBURY 5TH WARD 2ND DIST</t>
  </si>
  <si>
    <t>SLATINGTON</t>
  </si>
  <si>
    <t>SLATINGTON 1ST DIST</t>
  </si>
  <si>
    <t>SLATINGTON 2ND DIST</t>
  </si>
  <si>
    <t>SLATINGTON 3RD DIST</t>
  </si>
  <si>
    <t>SOUTH WHITEHALL</t>
  </si>
  <si>
    <t>SOUTH WHITEHALL 1ST DISTRICT</t>
  </si>
  <si>
    <t>SOUTH WHITEHALL 2ND DISTRICT</t>
  </si>
  <si>
    <t>SOUTH WHITEHALL 3RD DISTRICT</t>
  </si>
  <si>
    <t>SOUTH WHITEHALL 4TH DISTRICT</t>
  </si>
  <si>
    <t>SOUTH WHITEHALL 5TH DISTRICT</t>
  </si>
  <si>
    <t>SOUTH WHITEHALL 6TH DISTRICT</t>
  </si>
  <si>
    <t>SOUTH WHITEHALL 7TH DISTRICT</t>
  </si>
  <si>
    <t>SOUTH WHITEHALL 8TH DISTRICT</t>
  </si>
  <si>
    <t>UPPER MACUNGIE</t>
  </si>
  <si>
    <t>UPPER MACUNGIE 1ST DISTRICT</t>
  </si>
  <si>
    <t>UPPER MACUNGIE 2ND DISTRICT</t>
  </si>
  <si>
    <t>UPPER MACUNGIE 3RD DISTRICT</t>
  </si>
  <si>
    <t>UPPER MACUNGIE 4TH DISTRICT</t>
  </si>
  <si>
    <t>UPPER MACUNGIE 5TH DISTRICT</t>
  </si>
  <si>
    <t>UPPER MACUNGIE 6TH DISTRICT</t>
  </si>
  <si>
    <t>UPPER MACUNGIE 7TH DISTRICT</t>
  </si>
  <si>
    <t>UPPER MACUNGIE 8TH DISTRICT</t>
  </si>
  <si>
    <t>UPPER MILFORD</t>
  </si>
  <si>
    <t>UPPER MILFORD EASTERN DISTRICT</t>
  </si>
  <si>
    <t>UPPER MILFORD WESTERN DISTRICT</t>
  </si>
  <si>
    <t>UPPER SAUCON</t>
  </si>
  <si>
    <t>UPPER SAUCON 1ST DISTRICT</t>
  </si>
  <si>
    <t>UPPER SAUCON 2ND DISTRICT</t>
  </si>
  <si>
    <t>UPPER SAUCON 3RD DISTRICT</t>
  </si>
  <si>
    <t>UPPER SAUCON 4TH DISTRICT</t>
  </si>
  <si>
    <t>UPPER SAUCON 5TH DISTRICT</t>
  </si>
  <si>
    <t>UPPER SAUCON 6TH DISTRICT</t>
  </si>
  <si>
    <t>WASHINGTON</t>
  </si>
  <si>
    <t>WASHINGTON EASTERN DISTRICT</t>
  </si>
  <si>
    <t>WASHINGTON SOUTHERN DISTRICT</t>
  </si>
  <si>
    <t>WASHINGTON WESTERN DISTRICT</t>
  </si>
  <si>
    <t>WEISENBERG</t>
  </si>
  <si>
    <t>WHITEHALL</t>
  </si>
  <si>
    <t>WHITEHALL 10TH DISTRICT</t>
  </si>
  <si>
    <t>WHITEHALL 11TH DISTRICT</t>
  </si>
  <si>
    <t>WHITEHALL 12TH DISTRICT</t>
  </si>
  <si>
    <t>WHITEHALL 1ST DISTRICT</t>
  </si>
  <si>
    <t>WHITEHALL 2ND DISTRICT</t>
  </si>
  <si>
    <t>WHITEHALL 3RD DISTRICT</t>
  </si>
  <si>
    <t>WHITEHALL 4TH DISTRICT</t>
  </si>
  <si>
    <t>WHITEHALL 5TH DISTRICT</t>
  </si>
  <si>
    <t>WHITEHALL 6TH DISTRICT</t>
  </si>
  <si>
    <t>WHITEHALL 7TH DISTRICT</t>
  </si>
  <si>
    <t>WHITEHALL 8TH DISTRICT</t>
  </si>
  <si>
    <t>WHITEHALL 9TH DISTRICT</t>
  </si>
  <si>
    <t>Monroe</t>
  </si>
  <si>
    <t>ELDRED TOWNSHIP</t>
  </si>
  <si>
    <t>ELDRED</t>
  </si>
  <si>
    <t>POLK TOWNSHIP</t>
  </si>
  <si>
    <t>POLK</t>
  </si>
  <si>
    <t>ROSS TOWNSHIP</t>
  </si>
  <si>
    <t>ROSS ONE</t>
  </si>
  <si>
    <t>Northampton</t>
  </si>
  <si>
    <t>ALLEN TWSP</t>
  </si>
  <si>
    <t>ALLEN TWSP - NORTH</t>
  </si>
  <si>
    <t>ALLEN TWSP - SOUTH</t>
  </si>
  <si>
    <t>BANGOR BORO</t>
  </si>
  <si>
    <t>BANGOR BORO NORTH</t>
  </si>
  <si>
    <t>BANGOR BORO SOUTH</t>
  </si>
  <si>
    <t>BATH BORO</t>
  </si>
  <si>
    <t>BETHLEHEM 14TH WARD 1ST DISTRICT</t>
  </si>
  <si>
    <t>BETHLEHEM 14TH WARD 2ND DISTRICT</t>
  </si>
  <si>
    <t>BETHLEHEM 14TH WARD 3RD DISTRICT</t>
  </si>
  <si>
    <t>BETHLEHEM 14TH WARD 4TH DISTRICT</t>
  </si>
  <si>
    <t>BETHLEHEM 14TH WARD 5TH DISTRICT</t>
  </si>
  <si>
    <t>BETHLEHEM 14TH WARD 6TH DISTRICT</t>
  </si>
  <si>
    <t>BETHLEHEM 14TH WARD 7TH DISTRICT</t>
  </si>
  <si>
    <t>BETHLEHEM 14TH WARD 8TH DISTRICT</t>
  </si>
  <si>
    <t>BETHLEHEM 15TH WARD 1ST DISTRICT</t>
  </si>
  <si>
    <t>BETHLEHEM 15TH WARD 2ND DISTRICT</t>
  </si>
  <si>
    <t>BETHLEHEM 15TH WARD 3RD DISTRICT</t>
  </si>
  <si>
    <t>BETHLEHEM 16TH WARD</t>
  </si>
  <si>
    <t>BETHLEHEM 17TH WARD</t>
  </si>
  <si>
    <t>BETHLEHEM 1ST WARD - NORTHERN</t>
  </si>
  <si>
    <t>BETHLEHEM 1ST WARD - SOUTHERN</t>
  </si>
  <si>
    <t>BETHLEHEM 2ND WARD</t>
  </si>
  <si>
    <t>BETHLEHEM 3RD WARD</t>
  </si>
  <si>
    <t>BETHLEHEM 4TH WARD</t>
  </si>
  <si>
    <t>BETHLEHEM 5TH WARD</t>
  </si>
  <si>
    <t>BETHLEHEM 6TH WARD</t>
  </si>
  <si>
    <t>BETHLEHEM 7TH WARD</t>
  </si>
  <si>
    <t>BETHLEHEM 8TH WARD</t>
  </si>
  <si>
    <t>BETHLEHEM 9TH WARD EAST</t>
  </si>
  <si>
    <t>BETHLEHEM 9TH WARD WEST</t>
  </si>
  <si>
    <t>BETHLEHEM TWSP</t>
  </si>
  <si>
    <t>BETHLEHEM TWSP 1ST WARD 1ST DISTRICT</t>
  </si>
  <si>
    <t>BETHLEHEM TWSP 1ST WARD 2ND DISTRICT</t>
  </si>
  <si>
    <t>BETHLEHEM TWSP 1ST WARD 3RD DISTRICT</t>
  </si>
  <si>
    <t>BETHLEHEM TWSP 1ST WARD 4TH DISTRICT</t>
  </si>
  <si>
    <t>BETHLEHEM TWSP 2ND WARD 1ST DISTRICT</t>
  </si>
  <si>
    <t>BETHLEHEM TWSP 2ND WARD 2ND DISTRICT</t>
  </si>
  <si>
    <t>BETHLEHEM TWSP 2ND WARD 3RD DISTRICT</t>
  </si>
  <si>
    <t>BETHLEHEM TWSP 2ND WARD 4TH DISTRICT</t>
  </si>
  <si>
    <t>BETHLEHEM TWSP 3RD WARD 1ST DISTRICT</t>
  </si>
  <si>
    <t>BETHLEHEM TWSP 3RD WARD 2ND DISTRICT</t>
  </si>
  <si>
    <t>BETHLEHEM TWSP 3RD WARD 3RD DISTRICT</t>
  </si>
  <si>
    <t>BETHLEHEM TWSP 3RD WARD 4TH DISTRICT</t>
  </si>
  <si>
    <t>BETHLEHEM TWSP 3RD WARD 5TH DISTRICT</t>
  </si>
  <si>
    <t>BETHLEHEM TWSP 4TH WARD 1ST DISTRICT</t>
  </si>
  <si>
    <t>BETHLEHEM TWSP 4TH WARD 2ND DISTRICT</t>
  </si>
  <si>
    <t>BETHLEHEM TWSP 4TH WARD 3RD DISTRICT</t>
  </si>
  <si>
    <t>BETHLEHEM TWSP 4TH WARD 4TH DISTRICT</t>
  </si>
  <si>
    <t>BUSHKILL TWSP</t>
  </si>
  <si>
    <t>BUSHKILL TWSP - BUSHKILL CENTER</t>
  </si>
  <si>
    <t>BUSHKILL TWSP - CHERRY HILL</t>
  </si>
  <si>
    <t>BUSHKILL TWSP - CLEARFIELD</t>
  </si>
  <si>
    <t>CHAPMAN</t>
  </si>
  <si>
    <t>EAST ALLEN TWSP</t>
  </si>
  <si>
    <t>EAST ALLEN TWSP - EASTERN</t>
  </si>
  <si>
    <t>EAST ALLEN TWSP - WESTERN</t>
  </si>
  <si>
    <t>EAST BANGOR</t>
  </si>
  <si>
    <t>EASTON</t>
  </si>
  <si>
    <t>EASTON 10TH WARD</t>
  </si>
  <si>
    <t>EASTON 11TH WARD</t>
  </si>
  <si>
    <t>EASTON 2ND WARD</t>
  </si>
  <si>
    <t>EASTON 3RD WARD 2ND DISTRICT</t>
  </si>
  <si>
    <t>EASTON 3RD WARD 3RD DISTRICT</t>
  </si>
  <si>
    <t>EASTON 3RD WARD 4TH DISTRICT</t>
  </si>
  <si>
    <t>EASTON 4TH WARD</t>
  </si>
  <si>
    <t>EASTON 5TH WARD</t>
  </si>
  <si>
    <t>EASTON 6TH WARD</t>
  </si>
  <si>
    <t>EASTON 7TH WARD</t>
  </si>
  <si>
    <t>EASTON 8TH WARD</t>
  </si>
  <si>
    <t>EASTON 9TH WARD</t>
  </si>
  <si>
    <t>FORKS</t>
  </si>
  <si>
    <t>FORKS TWSP EAST</t>
  </si>
  <si>
    <t>FORKS TWSP NORTH</t>
  </si>
  <si>
    <t>FORKS TWSP NORTHWEST</t>
  </si>
  <si>
    <t>FORKS TWSP SOUTH</t>
  </si>
  <si>
    <t>FORKS TWSP SOUTHEAST</t>
  </si>
  <si>
    <t>FORKS TWSP SOUTHWEST</t>
  </si>
  <si>
    <t>FORKS TWSP WEST</t>
  </si>
  <si>
    <t>FREEMANSBURG</t>
  </si>
  <si>
    <t>GLENDON</t>
  </si>
  <si>
    <t>HANOVER #1</t>
  </si>
  <si>
    <t>HANOVER #2</t>
  </si>
  <si>
    <t>HANOVER #3</t>
  </si>
  <si>
    <t>HANOVER #4</t>
  </si>
  <si>
    <t>HANOVER #5</t>
  </si>
  <si>
    <t>HANOVER #6</t>
  </si>
  <si>
    <t>HELLERTOWN BORO</t>
  </si>
  <si>
    <t>HELLERTOWN BORO 1ST WARD</t>
  </si>
  <si>
    <t>HELLERTOWN BORO 2ND WARD</t>
  </si>
  <si>
    <t>HELLERTOWN BORO 3RD WARD</t>
  </si>
  <si>
    <t>LEHIGH TWSP</t>
  </si>
  <si>
    <t>LEHIGH TWSP - CENTRAL</t>
  </si>
  <si>
    <t>LEHIGH TWSP - DANIELSVILLE</t>
  </si>
  <si>
    <t>LEHIGH TWSP - NORTHWESTERN</t>
  </si>
  <si>
    <t>LEHIGH TWSP - PENNSVILLE</t>
  </si>
  <si>
    <t>LEHIGH TWSP - TREICHLERS</t>
  </si>
  <si>
    <t>LOWER MT BETHEL</t>
  </si>
  <si>
    <t>LOWER MT BETHEL - LOWER</t>
  </si>
  <si>
    <t>LOWER MT BETHEL - UPPER</t>
  </si>
  <si>
    <t>LOWER NAZARETH</t>
  </si>
  <si>
    <t>LOWER NAZARETH EAST</t>
  </si>
  <si>
    <t>LOWER NAZARETH NORTH</t>
  </si>
  <si>
    <t>LOWER NAZARETH SOUTH</t>
  </si>
  <si>
    <t>LOWER NAZARETH WEST</t>
  </si>
  <si>
    <t>LOWER SAUCON TWSP</t>
  </si>
  <si>
    <t>LOWER SAUCON TWSP - 1</t>
  </si>
  <si>
    <t>LOWER SAUCON TWSP - 2</t>
  </si>
  <si>
    <t>LOWER SAUCON TWSP - 3</t>
  </si>
  <si>
    <t>LOWER SAUCON TWSP - 4</t>
  </si>
  <si>
    <t>LOWER SAUCON TWSP - 6</t>
  </si>
  <si>
    <t>LOWER SAUCON TWSP - 7</t>
  </si>
  <si>
    <t>MOORE TWSP</t>
  </si>
  <si>
    <t>MOORE TWSP - BEERSVILLE</t>
  </si>
  <si>
    <t>MOORE TWSP - EASTERN</t>
  </si>
  <si>
    <t>MOORE TWSP - KLECKNERSVILLE</t>
  </si>
  <si>
    <t>MOORE TWSP - POINT PHILLIPS</t>
  </si>
  <si>
    <t>NAZARETH BORO</t>
  </si>
  <si>
    <t>NAZARETH BORO 1ST WARD</t>
  </si>
  <si>
    <t>NAZARETH BORO 2ND WARD</t>
  </si>
  <si>
    <t>NAZARETH BORO 3RD WARD</t>
  </si>
  <si>
    <t>NORTH CATASAUQUA</t>
  </si>
  <si>
    <t>NORTH CATASAUQUA 1ST WARD</t>
  </si>
  <si>
    <t>NORTH CATASAUQUA 2ND WARD</t>
  </si>
  <si>
    <t>NORTHAMPTON BORO</t>
  </si>
  <si>
    <t>NORTHAMPTON BORO 1ST WARD</t>
  </si>
  <si>
    <t>NORTHAMPTON BORO 2ND WARD</t>
  </si>
  <si>
    <t>NORTHAMPTON BORO 3RD WARD</t>
  </si>
  <si>
    <t>NORTHAMPTON BORO 4TH WARD</t>
  </si>
  <si>
    <t>PALMER</t>
  </si>
  <si>
    <t>PALMER - CENTRAL</t>
  </si>
  <si>
    <t>PALMER - EAST</t>
  </si>
  <si>
    <t>PALMER - NORTH</t>
  </si>
  <si>
    <t>PALMER - NORTHEAST</t>
  </si>
  <si>
    <t>PALMER - NORTHWEST</t>
  </si>
  <si>
    <t>PALMER - SOUTH</t>
  </si>
  <si>
    <t>PALMER - SOUTHEAST</t>
  </si>
  <si>
    <t>PALMER - SOUTHWEST</t>
  </si>
  <si>
    <t>PALMER - WEST</t>
  </si>
  <si>
    <t>PEN ARGYL BORO</t>
  </si>
  <si>
    <t>PEN ARGYL BORO 1ST WARD</t>
  </si>
  <si>
    <t>PEN ARGYL BORO 2ND WARD</t>
  </si>
  <si>
    <t>PEN ARGYL BORO 3RD WARD</t>
  </si>
  <si>
    <t>PEN ARGYL BORO 4TH WARD</t>
  </si>
  <si>
    <t>PLAINFIELD TWSP</t>
  </si>
  <si>
    <t>PLAINFIELD TWSP - BELFAST</t>
  </si>
  <si>
    <t>PLAINFIELD TWSP - DELABOLE</t>
  </si>
  <si>
    <t>PLAINFIELD TWSP - KESSLERSVILLE</t>
  </si>
  <si>
    <t>PLAINFIELD TWSP - PLAINFIELD CHURCH</t>
  </si>
  <si>
    <t>PORTLAND BORO</t>
  </si>
  <si>
    <t>ROSETO BORO</t>
  </si>
  <si>
    <t>STOCKERTOWN BORO</t>
  </si>
  <si>
    <t>TATAMY BORO</t>
  </si>
  <si>
    <t>UPPER MT BETHEL TWSP</t>
  </si>
  <si>
    <t>UPPER MT BETHEL TWSP - CENTERVILLE</t>
  </si>
  <si>
    <t>UPPER MT BETHEL TWSP - JOHNSONVILLE</t>
  </si>
  <si>
    <t>UPPER MT BETHEL TWSP - NORTH BANGOR</t>
  </si>
  <si>
    <t>UPPER MT BETHEL TWSP - SLATEFORD</t>
  </si>
  <si>
    <t>UPPER MT BETHEL TWSP - WILLIAMSBURG</t>
  </si>
  <si>
    <t>UPPER NAZARETH</t>
  </si>
  <si>
    <t>UPPER NAZARETH - EAST 1</t>
  </si>
  <si>
    <t>UPPER NAZARETH - EAST 2</t>
  </si>
  <si>
    <t>UPPER NAZARETH - WEST 1</t>
  </si>
  <si>
    <t>UPPER NAZARETH - WEST 2</t>
  </si>
  <si>
    <t>WALNUTPORT BORO</t>
  </si>
  <si>
    <t>WASHINGTON TWSP</t>
  </si>
  <si>
    <t>WASHINGTON TWSP - LOWER</t>
  </si>
  <si>
    <t>WASHINGTON TWSP - UPPER</t>
  </si>
  <si>
    <t>WEST EASTON</t>
  </si>
  <si>
    <t>WILLIAMS TWSP</t>
  </si>
  <si>
    <t>WILLAMS TWSP - EASTERN</t>
  </si>
  <si>
    <t>WILLIAMS TWSP - MIDDLE</t>
  </si>
  <si>
    <t>WILLIAMS TWSP - UPPER</t>
  </si>
  <si>
    <t>WILLIAMS TWSP - WESTERN</t>
  </si>
  <si>
    <t>WILSON BORO</t>
  </si>
  <si>
    <t>WILSON BORO 1ST WARD</t>
  </si>
  <si>
    <t>WILSON BORO 2ND WARD</t>
  </si>
  <si>
    <t>WILSON BORO 3RD WARD</t>
  </si>
  <si>
    <t>WIND GAP BORO</t>
  </si>
  <si>
    <t>WIND GAP</t>
  </si>
  <si>
    <t>Enter votes only in the Brooks / Mackenzie / Other columns. Compare district totals to the municipal template and explain any gap.  |  2024 Backtest: MAE=2.46 pts, accuracy=366/408</t>
  </si>
  <si>
    <t>Multi-Variable Regression (v3)</t>
  </si>
  <si>
    <t>District headline: Multi-Variable Regression (v3). 205/370 precincts matched directly; remainder use municipality-level split (yellow).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</si>
</sst>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4">
    <font>
      <sz val="11.0"/>
      <color theme="1"/>
      <name val="Calibri"/>
      <scheme val="minor"/>
    </font>
    <font>
      <b/>
      <sz val="12.0"/>
      <color theme="1"/>
      <name val="Calibri"/>
    </font>
    <font>
      <b/>
      <sz val="14.0"/>
      <color rgb="FF1F4E79"/>
      <name val="Calibri"/>
    </font>
    <font>
      <b/>
      <sz val="13.0"/>
      <color theme="1"/>
      <name val="Arial"/>
    </font>
    <font>
      <sz val="11.0"/>
      <color theme="1"/>
      <name val="Calibri"/>
    </font>
    <font>
      <i/>
      <sz val="9.0"/>
      <color theme="1"/>
      <name val="Arial"/>
    </font>
    <font>
      <b/>
      <sz val="11.0"/>
      <color rgb="FFFFFFFF"/>
      <name val="Arial"/>
    </font>
    <font>
      <sz val="11.0"/>
      <color theme="1"/>
      <name val="Arial"/>
    </font>
    <font>
      <b/>
      <sz val="11.0"/>
      <color theme="1"/>
      <name val="Arial"/>
    </font>
    <font>
      <i/>
      <sz val="11.0"/>
      <color theme="1"/>
      <name val="Arial"/>
    </font>
    <font>
      <i/>
      <sz val="10.0"/>
      <color rgb="FF666666"/>
      <name val="Calibri"/>
    </font>
    <font>
      <b/>
      <sz val="11.0"/>
      <color theme="1"/>
      <name val="Calibri"/>
    </font>
    <font/>
    <font>
      <b/>
      <sz val="11.0"/>
      <color rgb="FFFFFFFF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C6EFCE"/>
        <bgColor rgb="FFC6EFCE"/>
      </patternFill>
    </fill>
    <fill>
      <patternFill patternType="solid">
        <fgColor rgb="FFD6E3F0"/>
        <bgColor rgb="FFD6E3F0"/>
      </patternFill>
    </fill>
    <fill>
      <patternFill patternType="solid">
        <fgColor rgb="FF1F4E79"/>
        <bgColor rgb="FF1F4E79"/>
      </patternFill>
    </fill>
    <fill>
      <patternFill patternType="solid">
        <fgColor rgb="FFFFF2CC"/>
        <bgColor rgb="FFFFF2CC"/>
      </patternFill>
    </fill>
    <fill>
      <patternFill patternType="solid">
        <fgColor rgb="FFFFEB9C"/>
        <bgColor rgb="FFFFEB9C"/>
      </patternFill>
    </fill>
  </fills>
  <borders count="6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1" fillId="2" fontId="6" numFmtId="0" xfId="0" applyAlignment="1" applyBorder="1" applyFill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7" numFmtId="2" xfId="0" applyAlignment="1" applyFont="1" applyNumberFormat="1">
      <alignment shrinkToFit="0" vertical="bottom" wrapText="0"/>
    </xf>
    <xf borderId="1" fillId="3" fontId="8" numFmtId="0" xfId="0" applyAlignment="1" applyBorder="1" applyFill="1" applyFont="1">
      <alignment shrinkToFit="0" vertical="bottom" wrapText="0"/>
    </xf>
    <xf borderId="1" fillId="3" fontId="8" numFmtId="2" xfId="0" applyAlignment="1" applyBorder="1" applyFill="1" applyFont="1" applyNumberFormat="1">
      <alignment shrinkToFit="0" vertical="bottom" wrapText="0"/>
    </xf>
    <xf borderId="1" fillId="3" fontId="7" numFmtId="0" xfId="0" applyAlignment="1" applyBorder="1" applyFill="1" applyFont="1">
      <alignment shrinkToFit="0" vertical="bottom" wrapText="0"/>
    </xf>
    <xf borderId="0" fillId="0" fontId="9" numFmtId="0" xfId="0" applyAlignment="1" applyFont="1">
      <alignment shrinkToFit="0" vertical="bottom" wrapText="1"/>
    </xf>
    <xf borderId="0" fillId="0" fontId="10" numFmtId="0" xfId="0" applyAlignment="1" applyFont="1">
      <alignment shrinkToFit="0" vertical="bottom" wrapText="0"/>
    </xf>
    <xf borderId="2" fillId="4" fontId="11" numFmtId="0" xfId="0" applyAlignment="1" applyBorder="1" applyFill="1" applyFont="1">
      <alignment shrinkToFit="0" vertical="bottom" wrapText="0"/>
    </xf>
    <xf borderId="3" fillId="0" fontId="12" numFmtId="0" xfId="0" applyBorder="1" applyFont="1"/>
    <xf borderId="4" fillId="0" fontId="12" numFmtId="0" xfId="0" applyBorder="1" applyFont="1"/>
    <xf borderId="5" fillId="5" fontId="13" numFmtId="0" xfId="0" applyAlignment="1" applyBorder="1" applyFill="1" applyFont="1">
      <alignment horizontal="center" shrinkToFit="0" vertical="center" wrapText="1"/>
    </xf>
    <xf borderId="5" fillId="6" fontId="11" numFmtId="0" xfId="0" applyAlignment="1" applyBorder="1" applyFill="1" applyFont="1">
      <alignment shrinkToFit="0" vertical="bottom" wrapText="0"/>
    </xf>
    <xf borderId="5" fillId="6" fontId="11" numFmtId="3" xfId="0" applyAlignment="1" applyBorder="1" applyFill="1" applyFont="1" applyNumberFormat="1">
      <alignment shrinkToFit="0" vertical="bottom" wrapText="0"/>
    </xf>
    <xf borderId="5" fillId="6" fontId="11" numFmtId="164" xfId="0" applyAlignment="1" applyBorder="1" applyFill="1" applyFont="1" applyNumberFormat="1">
      <alignment shrinkToFit="0" vertical="bottom" wrapText="0"/>
    </xf>
    <xf borderId="5" fillId="0" fontId="4" numFmtId="0" xfId="0" applyAlignment="1" applyBorder="1" applyFont="1">
      <alignment shrinkToFit="0" vertical="bottom" wrapText="0"/>
    </xf>
    <xf borderId="5" fillId="0" fontId="4" numFmtId="3" xfId="0" applyAlignment="1" applyBorder="1" applyFont="1" applyNumberFormat="1">
      <alignment shrinkToFit="0" vertical="bottom" wrapText="0"/>
    </xf>
    <xf borderId="5" fillId="0" fontId="4" numFmtId="164" xfId="0" applyAlignment="1" applyBorder="1" applyFont="1" applyNumberFormat="1">
      <alignment shrinkToFit="0" vertical="bottom" wrapText="0"/>
    </xf>
    <xf borderId="5" fillId="7" fontId="4" numFmtId="0" xfId="0" applyAlignment="1" applyBorder="1" applyFill="1" applyFont="1">
      <alignment shrinkToFit="0" vertical="bottom" wrapText="0"/>
    </xf>
    <xf borderId="5" fillId="7" fontId="4" numFmtId="3" xfId="0" applyAlignment="1" applyBorder="1" applyFill="1" applyFont="1" applyNumberFormat="1">
      <alignment shrinkToFit="0" vertical="bottom" wrapText="0"/>
    </xf>
    <xf borderId="5" fillId="7" fontId="4" numFmtId="164" xfId="0" applyAlignment="1" applyBorder="1" applyFill="1" applyFont="1" applyNumberFormat="1">
      <alignment shrinkToFit="0" vertical="bottom" wrapText="0"/>
    </xf>
    <xf borderId="0" fillId="0" fontId="7" numFmtId="0" xfId="0" applyAlignment="1" applyFont="1">
      <alignment shrinkToFit="0" vertical="bottom" wrapText="1"/>
    </xf>
    <xf borderId="1" fillId="7" fontId="7" numFmtId="0" xfId="0" applyAlignment="1" applyBorder="1" applyFill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0.0"/>
    <col customWidth="1" min="2" max="6" width="8.71"/>
  </cols>
  <sheetData>
    <row r="1" ht="14.25" customHeight="1">
      <c r="A1" s="2" t="s">
        <v>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4" t="s">
        <v>22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4" t="s">
        <v>24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4" t="s">
        <v>27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4" t="s">
        <v>29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4" t="s">
        <v>32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4" t="s">
        <v>35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4" t="s">
        <v>37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4" t="s">
        <v>38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4" t="s">
        <v>46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4" t="s">
        <v>48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4" t="s">
        <v>49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0.0"/>
    <col customWidth="1" min="2" max="6" width="8.71"/>
  </cols>
  <sheetData>
    <row r="1" ht="14.25" customHeight="1">
      <c r="A1" s="1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4" t="s">
        <v>13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4" t="s">
        <v>18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4" t="s">
        <v>23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4" t="s">
        <v>25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4" t="s">
        <v>26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4" t="s">
        <v>28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1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4" t="s">
        <v>30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4" t="s">
        <v>31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4" t="s">
        <v>33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4" t="s">
        <v>34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26.0"/>
    <col customWidth="1" min="3" max="3" width="16.0"/>
    <col customWidth="1" min="4" max="4" width="14.0"/>
    <col customWidth="1" min="5" max="26" width="8.71"/>
  </cols>
  <sheetData>
    <row r="1">
      <c r="A1" s="3" t="s">
        <v>3</v>
      </c>
    </row>
    <row r="2" ht="27.75" customHeight="1">
      <c r="A2" s="5" t="s">
        <v>4</v>
      </c>
    </row>
    <row r="4">
      <c r="A4" s="6" t="s">
        <v>5</v>
      </c>
      <c r="B4" s="6" t="s">
        <v>7</v>
      </c>
      <c r="C4" s="6" t="s">
        <v>8</v>
      </c>
      <c r="D4" s="6" t="s">
        <v>9</v>
      </c>
    </row>
    <row r="5">
      <c r="A5" s="7" t="s">
        <v>10</v>
      </c>
      <c r="B5" s="8">
        <v>2.24</v>
      </c>
      <c r="C5" s="7" t="s">
        <v>11</v>
      </c>
      <c r="D5" s="7" t="s">
        <v>12</v>
      </c>
    </row>
    <row r="6">
      <c r="A6" s="9" t="s">
        <v>14</v>
      </c>
      <c r="B6" s="10">
        <v>2.09</v>
      </c>
      <c r="C6" s="11" t="s">
        <v>15</v>
      </c>
      <c r="D6" s="11" t="s">
        <v>16</v>
      </c>
    </row>
    <row r="7">
      <c r="A7" s="7" t="s">
        <v>17</v>
      </c>
      <c r="B7" s="8">
        <v>2.46</v>
      </c>
      <c r="C7" s="7" t="s">
        <v>19</v>
      </c>
      <c r="D7" s="7" t="s">
        <v>20</v>
      </c>
    </row>
    <row r="9" ht="49.5" customHeight="1">
      <c r="A9" s="12" t="s">
        <v>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9:D9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6.0"/>
    <col customWidth="1" min="3" max="3" width="40.29"/>
    <col customWidth="1" min="4" max="4" width="14.0"/>
    <col customWidth="1" min="5" max="5" width="16.0"/>
    <col customWidth="1" min="6" max="6" width="12.0"/>
    <col customWidth="1" min="7" max="7" width="13.0"/>
    <col customWidth="1" min="8" max="8" width="15.0"/>
    <col customWidth="1" min="9" max="9" width="37.14"/>
  </cols>
  <sheetData>
    <row r="1" ht="14.25" customHeight="1">
      <c r="A1" s="2" t="s">
        <v>2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4" t="s">
        <v>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13" t="s">
        <v>36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4" t="s">
        <v>39</v>
      </c>
      <c r="B4" s="4" t="s">
        <v>40</v>
      </c>
      <c r="C4" s="4" t="s">
        <v>41</v>
      </c>
      <c r="D4" s="4" t="s">
        <v>42</v>
      </c>
      <c r="E4" s="4" t="s">
        <v>43</v>
      </c>
      <c r="F4" s="4" t="s">
        <v>44</v>
      </c>
      <c r="G4" s="4" t="s">
        <v>45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14" t="s">
        <v>47</v>
      </c>
      <c r="B6" s="15"/>
      <c r="C6" s="15"/>
      <c r="D6" s="15"/>
      <c r="E6" s="15"/>
      <c r="F6" s="15"/>
      <c r="G6" s="15"/>
      <c r="H6" s="15"/>
      <c r="I6" s="16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17" t="s">
        <v>50</v>
      </c>
      <c r="B7" s="17" t="s">
        <v>51</v>
      </c>
      <c r="C7" s="17" t="s">
        <v>52</v>
      </c>
      <c r="D7" s="17" t="s">
        <v>53</v>
      </c>
      <c r="E7" s="17" t="s">
        <v>54</v>
      </c>
      <c r="F7" s="17" t="s">
        <v>55</v>
      </c>
      <c r="G7" s="17" t="s">
        <v>56</v>
      </c>
      <c r="H7" s="17" t="s">
        <v>57</v>
      </c>
      <c r="I7" s="17" t="s">
        <v>58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18" t="s">
        <v>59</v>
      </c>
      <c r="B8" s="18" t="s">
        <v>60</v>
      </c>
      <c r="C8" s="18"/>
      <c r="D8" s="19">
        <f t="shared" ref="D8:E8" si="1">SUM(D12:D381)</f>
        <v>166113</v>
      </c>
      <c r="E8" s="19">
        <f t="shared" si="1"/>
        <v>182644</v>
      </c>
      <c r="F8" s="19">
        <f>D8+E8</f>
        <v>348757</v>
      </c>
      <c r="G8" s="20">
        <f>IF(F8=0,"",D8/F8)</f>
        <v>0.4763001173</v>
      </c>
      <c r="H8" s="20">
        <f>IF(F8=0,"",E8/F8)</f>
        <v>0.5236998827</v>
      </c>
      <c r="I8" s="18" t="s">
        <v>61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13" t="s">
        <v>62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14" t="s">
        <v>63</v>
      </c>
      <c r="B10" s="15"/>
      <c r="C10" s="15"/>
      <c r="D10" s="15"/>
      <c r="E10" s="15"/>
      <c r="F10" s="15"/>
      <c r="G10" s="15"/>
      <c r="H10" s="15"/>
      <c r="I10" s="16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1.5" customHeight="1">
      <c r="A11" s="17" t="s">
        <v>64</v>
      </c>
      <c r="B11" s="17" t="s">
        <v>65</v>
      </c>
      <c r="C11" s="17" t="s">
        <v>66</v>
      </c>
      <c r="D11" s="17" t="s">
        <v>53</v>
      </c>
      <c r="E11" s="17" t="s">
        <v>54</v>
      </c>
      <c r="F11" s="17" t="s">
        <v>55</v>
      </c>
      <c r="G11" s="17" t="s">
        <v>56</v>
      </c>
      <c r="H11" s="17" t="s">
        <v>57</v>
      </c>
      <c r="I11" s="17" t="s">
        <v>67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21" t="s">
        <v>71</v>
      </c>
      <c r="B12" s="21" t="s">
        <v>72</v>
      </c>
      <c r="C12" s="21" t="s">
        <v>72</v>
      </c>
      <c r="D12" s="22">
        <v>139.0</v>
      </c>
      <c r="E12" s="22">
        <v>252.0</v>
      </c>
      <c r="F12" s="22">
        <f t="shared" ref="F12:F381" si="2">D12+E12</f>
        <v>391</v>
      </c>
      <c r="G12" s="23">
        <f t="shared" ref="G12:G381" si="3">IF(F12=0,"",D12/F12)</f>
        <v>0.3554987212</v>
      </c>
      <c r="H12" s="23">
        <f t="shared" ref="H12:H381" si="4">IF(F12=0,"",E12/F12)</f>
        <v>0.6445012788</v>
      </c>
      <c r="I12" s="21" t="s">
        <v>73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21" t="s">
        <v>71</v>
      </c>
      <c r="B13" s="21" t="s">
        <v>74</v>
      </c>
      <c r="C13" s="21" t="s">
        <v>74</v>
      </c>
      <c r="D13" s="22">
        <v>85.0</v>
      </c>
      <c r="E13" s="22">
        <v>256.0</v>
      </c>
      <c r="F13" s="22">
        <f t="shared" si="2"/>
        <v>341</v>
      </c>
      <c r="G13" s="23">
        <f t="shared" si="3"/>
        <v>0.2492668622</v>
      </c>
      <c r="H13" s="23">
        <f t="shared" si="4"/>
        <v>0.7507331378</v>
      </c>
      <c r="I13" s="21" t="s">
        <v>73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21" t="s">
        <v>71</v>
      </c>
      <c r="B14" s="21" t="s">
        <v>75</v>
      </c>
      <c r="C14" s="21" t="s">
        <v>75</v>
      </c>
      <c r="D14" s="22">
        <v>125.0</v>
      </c>
      <c r="E14" s="22">
        <v>286.0</v>
      </c>
      <c r="F14" s="22">
        <f t="shared" si="2"/>
        <v>411</v>
      </c>
      <c r="G14" s="23">
        <f t="shared" si="3"/>
        <v>0.304136253</v>
      </c>
      <c r="H14" s="23">
        <f t="shared" si="4"/>
        <v>0.695863747</v>
      </c>
      <c r="I14" s="21" t="s">
        <v>73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21" t="s">
        <v>71</v>
      </c>
      <c r="B15" s="21" t="s">
        <v>76</v>
      </c>
      <c r="C15" s="21" t="s">
        <v>77</v>
      </c>
      <c r="D15" s="22">
        <v>170.0</v>
      </c>
      <c r="E15" s="22">
        <v>616.0</v>
      </c>
      <c r="F15" s="22">
        <f t="shared" si="2"/>
        <v>786</v>
      </c>
      <c r="G15" s="23">
        <f t="shared" si="3"/>
        <v>0.2162849873</v>
      </c>
      <c r="H15" s="23">
        <f t="shared" si="4"/>
        <v>0.7837150127</v>
      </c>
      <c r="I15" s="21" t="s">
        <v>73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21" t="s">
        <v>71</v>
      </c>
      <c r="B16" s="21" t="s">
        <v>76</v>
      </c>
      <c r="C16" s="21" t="s">
        <v>78</v>
      </c>
      <c r="D16" s="22">
        <v>179.0</v>
      </c>
      <c r="E16" s="22">
        <v>518.0</v>
      </c>
      <c r="F16" s="22">
        <f t="shared" si="2"/>
        <v>697</v>
      </c>
      <c r="G16" s="23">
        <f t="shared" si="3"/>
        <v>0.2568149211</v>
      </c>
      <c r="H16" s="23">
        <f t="shared" si="4"/>
        <v>0.7431850789</v>
      </c>
      <c r="I16" s="21" t="s">
        <v>73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21" t="s">
        <v>71</v>
      </c>
      <c r="B17" s="21" t="s">
        <v>79</v>
      </c>
      <c r="C17" s="21" t="s">
        <v>79</v>
      </c>
      <c r="D17" s="22">
        <v>31.0</v>
      </c>
      <c r="E17" s="22">
        <v>80.0</v>
      </c>
      <c r="F17" s="22">
        <f t="shared" si="2"/>
        <v>111</v>
      </c>
      <c r="G17" s="23">
        <f t="shared" si="3"/>
        <v>0.2792792793</v>
      </c>
      <c r="H17" s="23">
        <f t="shared" si="4"/>
        <v>0.7207207207</v>
      </c>
      <c r="I17" s="21" t="s">
        <v>73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21" t="s">
        <v>71</v>
      </c>
      <c r="B18" s="21" t="s">
        <v>80</v>
      </c>
      <c r="C18" s="21" t="s">
        <v>81</v>
      </c>
      <c r="D18" s="22">
        <v>255.0</v>
      </c>
      <c r="E18" s="22">
        <v>705.0</v>
      </c>
      <c r="F18" s="22">
        <f t="shared" si="2"/>
        <v>960</v>
      </c>
      <c r="G18" s="23">
        <f t="shared" si="3"/>
        <v>0.265625</v>
      </c>
      <c r="H18" s="23">
        <f t="shared" si="4"/>
        <v>0.734375</v>
      </c>
      <c r="I18" s="21" t="s">
        <v>73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24" t="s">
        <v>71</v>
      </c>
      <c r="B19" s="24" t="s">
        <v>80</v>
      </c>
      <c r="C19" s="24" t="s">
        <v>82</v>
      </c>
      <c r="D19" s="25">
        <v>584.0</v>
      </c>
      <c r="E19" s="25">
        <v>1674.0</v>
      </c>
      <c r="F19" s="25">
        <f t="shared" si="2"/>
        <v>2258</v>
      </c>
      <c r="G19" s="26">
        <f t="shared" si="3"/>
        <v>0.258635961</v>
      </c>
      <c r="H19" s="26">
        <f t="shared" si="4"/>
        <v>0.741364039</v>
      </c>
      <c r="I19" s="24" t="s">
        <v>83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21" t="s">
        <v>71</v>
      </c>
      <c r="B20" s="21" t="s">
        <v>80</v>
      </c>
      <c r="C20" s="21" t="s">
        <v>84</v>
      </c>
      <c r="D20" s="22">
        <v>203.0</v>
      </c>
      <c r="E20" s="22">
        <v>573.0</v>
      </c>
      <c r="F20" s="22">
        <f t="shared" si="2"/>
        <v>776</v>
      </c>
      <c r="G20" s="23">
        <f t="shared" si="3"/>
        <v>0.2615979381</v>
      </c>
      <c r="H20" s="23">
        <f t="shared" si="4"/>
        <v>0.7384020619</v>
      </c>
      <c r="I20" s="21" t="s">
        <v>73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21" t="s">
        <v>71</v>
      </c>
      <c r="B21" s="21" t="s">
        <v>85</v>
      </c>
      <c r="C21" s="21" t="s">
        <v>86</v>
      </c>
      <c r="D21" s="22">
        <v>189.0</v>
      </c>
      <c r="E21" s="22">
        <v>291.0</v>
      </c>
      <c r="F21" s="22">
        <f t="shared" si="2"/>
        <v>480</v>
      </c>
      <c r="G21" s="23">
        <f t="shared" si="3"/>
        <v>0.39375</v>
      </c>
      <c r="H21" s="23">
        <f t="shared" si="4"/>
        <v>0.60625</v>
      </c>
      <c r="I21" s="21" t="s">
        <v>73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21" t="s">
        <v>71</v>
      </c>
      <c r="B22" s="21" t="s">
        <v>85</v>
      </c>
      <c r="C22" s="21" t="s">
        <v>87</v>
      </c>
      <c r="D22" s="22">
        <v>147.0</v>
      </c>
      <c r="E22" s="22">
        <v>191.0</v>
      </c>
      <c r="F22" s="22">
        <f t="shared" si="2"/>
        <v>338</v>
      </c>
      <c r="G22" s="23">
        <f t="shared" si="3"/>
        <v>0.4349112426</v>
      </c>
      <c r="H22" s="23">
        <f t="shared" si="4"/>
        <v>0.5650887574</v>
      </c>
      <c r="I22" s="21" t="s">
        <v>73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21" t="s">
        <v>71</v>
      </c>
      <c r="B23" s="21" t="s">
        <v>85</v>
      </c>
      <c r="C23" s="21" t="s">
        <v>88</v>
      </c>
      <c r="D23" s="22">
        <v>240.0</v>
      </c>
      <c r="E23" s="22">
        <v>450.0</v>
      </c>
      <c r="F23" s="22">
        <f t="shared" si="2"/>
        <v>690</v>
      </c>
      <c r="G23" s="23">
        <f t="shared" si="3"/>
        <v>0.347826087</v>
      </c>
      <c r="H23" s="23">
        <f t="shared" si="4"/>
        <v>0.652173913</v>
      </c>
      <c r="I23" s="21" t="s">
        <v>73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21" t="s">
        <v>71</v>
      </c>
      <c r="B24" s="21" t="s">
        <v>85</v>
      </c>
      <c r="C24" s="21" t="s">
        <v>89</v>
      </c>
      <c r="D24" s="22">
        <v>135.0</v>
      </c>
      <c r="E24" s="22">
        <v>136.0</v>
      </c>
      <c r="F24" s="22">
        <f t="shared" si="2"/>
        <v>271</v>
      </c>
      <c r="G24" s="23">
        <f t="shared" si="3"/>
        <v>0.4981549815</v>
      </c>
      <c r="H24" s="23">
        <f t="shared" si="4"/>
        <v>0.5018450185</v>
      </c>
      <c r="I24" s="21" t="s">
        <v>73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21" t="s">
        <v>71</v>
      </c>
      <c r="B25" s="21" t="s">
        <v>85</v>
      </c>
      <c r="C25" s="21" t="s">
        <v>90</v>
      </c>
      <c r="D25" s="22">
        <v>287.0</v>
      </c>
      <c r="E25" s="22">
        <v>345.0</v>
      </c>
      <c r="F25" s="22">
        <f t="shared" si="2"/>
        <v>632</v>
      </c>
      <c r="G25" s="23">
        <f t="shared" si="3"/>
        <v>0.4541139241</v>
      </c>
      <c r="H25" s="23">
        <f t="shared" si="4"/>
        <v>0.5458860759</v>
      </c>
      <c r="I25" s="21" t="s">
        <v>73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21" t="s">
        <v>71</v>
      </c>
      <c r="B26" s="21" t="s">
        <v>91</v>
      </c>
      <c r="C26" s="21" t="s">
        <v>92</v>
      </c>
      <c r="D26" s="22">
        <v>103.0</v>
      </c>
      <c r="E26" s="22">
        <v>184.0</v>
      </c>
      <c r="F26" s="22">
        <f t="shared" si="2"/>
        <v>287</v>
      </c>
      <c r="G26" s="23">
        <f t="shared" si="3"/>
        <v>0.3588850174</v>
      </c>
      <c r="H26" s="23">
        <f t="shared" si="4"/>
        <v>0.6411149826</v>
      </c>
      <c r="I26" s="21" t="s">
        <v>73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21" t="s">
        <v>71</v>
      </c>
      <c r="B27" s="21" t="s">
        <v>91</v>
      </c>
      <c r="C27" s="21" t="s">
        <v>93</v>
      </c>
      <c r="D27" s="22">
        <v>194.0</v>
      </c>
      <c r="E27" s="22">
        <v>431.0</v>
      </c>
      <c r="F27" s="22">
        <f t="shared" si="2"/>
        <v>625</v>
      </c>
      <c r="G27" s="23">
        <f t="shared" si="3"/>
        <v>0.3104</v>
      </c>
      <c r="H27" s="23">
        <f t="shared" si="4"/>
        <v>0.6896</v>
      </c>
      <c r="I27" s="21" t="s">
        <v>73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21" t="s">
        <v>71</v>
      </c>
      <c r="B28" s="21" t="s">
        <v>94</v>
      </c>
      <c r="C28" s="21" t="s">
        <v>95</v>
      </c>
      <c r="D28" s="22">
        <v>183.0</v>
      </c>
      <c r="E28" s="22">
        <v>363.0</v>
      </c>
      <c r="F28" s="22">
        <f t="shared" si="2"/>
        <v>546</v>
      </c>
      <c r="G28" s="23">
        <f t="shared" si="3"/>
        <v>0.3351648352</v>
      </c>
      <c r="H28" s="23">
        <f t="shared" si="4"/>
        <v>0.6648351648</v>
      </c>
      <c r="I28" s="21" t="s">
        <v>73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21" t="s">
        <v>71</v>
      </c>
      <c r="B29" s="21" t="s">
        <v>94</v>
      </c>
      <c r="C29" s="21" t="s">
        <v>96</v>
      </c>
      <c r="D29" s="22">
        <v>108.0</v>
      </c>
      <c r="E29" s="22">
        <v>187.0</v>
      </c>
      <c r="F29" s="22">
        <f t="shared" si="2"/>
        <v>295</v>
      </c>
      <c r="G29" s="23">
        <f t="shared" si="3"/>
        <v>0.3661016949</v>
      </c>
      <c r="H29" s="23">
        <f t="shared" si="4"/>
        <v>0.6338983051</v>
      </c>
      <c r="I29" s="21" t="s">
        <v>73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21" t="s">
        <v>71</v>
      </c>
      <c r="B30" s="21" t="s">
        <v>94</v>
      </c>
      <c r="C30" s="21" t="s">
        <v>97</v>
      </c>
      <c r="D30" s="22">
        <v>92.0</v>
      </c>
      <c r="E30" s="22">
        <v>145.0</v>
      </c>
      <c r="F30" s="22">
        <f t="shared" si="2"/>
        <v>237</v>
      </c>
      <c r="G30" s="23">
        <f t="shared" si="3"/>
        <v>0.388185654</v>
      </c>
      <c r="H30" s="23">
        <f t="shared" si="4"/>
        <v>0.611814346</v>
      </c>
      <c r="I30" s="21" t="s">
        <v>73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21" t="s">
        <v>71</v>
      </c>
      <c r="B31" s="21" t="s">
        <v>98</v>
      </c>
      <c r="C31" s="21" t="s">
        <v>98</v>
      </c>
      <c r="D31" s="22">
        <v>36.0</v>
      </c>
      <c r="E31" s="22">
        <v>106.0</v>
      </c>
      <c r="F31" s="22">
        <f t="shared" si="2"/>
        <v>142</v>
      </c>
      <c r="G31" s="23">
        <f t="shared" si="3"/>
        <v>0.2535211268</v>
      </c>
      <c r="H31" s="23">
        <f t="shared" si="4"/>
        <v>0.7464788732</v>
      </c>
      <c r="I31" s="21" t="s">
        <v>73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21" t="s">
        <v>71</v>
      </c>
      <c r="B32" s="21" t="s">
        <v>99</v>
      </c>
      <c r="C32" s="21" t="s">
        <v>99</v>
      </c>
      <c r="D32" s="22">
        <v>61.0</v>
      </c>
      <c r="E32" s="22">
        <v>217.0</v>
      </c>
      <c r="F32" s="22">
        <f t="shared" si="2"/>
        <v>278</v>
      </c>
      <c r="G32" s="23">
        <f t="shared" si="3"/>
        <v>0.2194244604</v>
      </c>
      <c r="H32" s="23">
        <f t="shared" si="4"/>
        <v>0.7805755396</v>
      </c>
      <c r="I32" s="21" t="s">
        <v>73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21" t="s">
        <v>71</v>
      </c>
      <c r="B33" s="21" t="s">
        <v>100</v>
      </c>
      <c r="C33" s="21" t="s">
        <v>101</v>
      </c>
      <c r="D33" s="22">
        <v>237.0</v>
      </c>
      <c r="E33" s="22">
        <v>397.0</v>
      </c>
      <c r="F33" s="22">
        <f t="shared" si="2"/>
        <v>634</v>
      </c>
      <c r="G33" s="23">
        <f t="shared" si="3"/>
        <v>0.3738170347</v>
      </c>
      <c r="H33" s="23">
        <f t="shared" si="4"/>
        <v>0.6261829653</v>
      </c>
      <c r="I33" s="21" t="s">
        <v>73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21" t="s">
        <v>71</v>
      </c>
      <c r="B34" s="21" t="s">
        <v>100</v>
      </c>
      <c r="C34" s="21" t="s">
        <v>102</v>
      </c>
      <c r="D34" s="22">
        <v>238.0</v>
      </c>
      <c r="E34" s="22">
        <v>359.0</v>
      </c>
      <c r="F34" s="22">
        <f t="shared" si="2"/>
        <v>597</v>
      </c>
      <c r="G34" s="23">
        <f t="shared" si="3"/>
        <v>0.3986599665</v>
      </c>
      <c r="H34" s="23">
        <f t="shared" si="4"/>
        <v>0.6013400335</v>
      </c>
      <c r="I34" s="21" t="s">
        <v>73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21" t="s">
        <v>71</v>
      </c>
      <c r="B35" s="21" t="s">
        <v>100</v>
      </c>
      <c r="C35" s="21" t="s">
        <v>103</v>
      </c>
      <c r="D35" s="22">
        <v>229.0</v>
      </c>
      <c r="E35" s="22">
        <v>440.0</v>
      </c>
      <c r="F35" s="22">
        <f t="shared" si="2"/>
        <v>669</v>
      </c>
      <c r="G35" s="23">
        <f t="shared" si="3"/>
        <v>0.3423019432</v>
      </c>
      <c r="H35" s="23">
        <f t="shared" si="4"/>
        <v>0.6576980568</v>
      </c>
      <c r="I35" s="21" t="s">
        <v>73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21" t="s">
        <v>71</v>
      </c>
      <c r="B36" s="21" t="s">
        <v>104</v>
      </c>
      <c r="C36" s="21" t="s">
        <v>105</v>
      </c>
      <c r="D36" s="22">
        <v>238.0</v>
      </c>
      <c r="E36" s="22">
        <v>719.0</v>
      </c>
      <c r="F36" s="22">
        <f t="shared" si="2"/>
        <v>957</v>
      </c>
      <c r="G36" s="23">
        <f t="shared" si="3"/>
        <v>0.2486938349</v>
      </c>
      <c r="H36" s="23">
        <f t="shared" si="4"/>
        <v>0.7513061651</v>
      </c>
      <c r="I36" s="21" t="s">
        <v>73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21" t="s">
        <v>71</v>
      </c>
      <c r="B37" s="21" t="s">
        <v>104</v>
      </c>
      <c r="C37" s="21" t="s">
        <v>106</v>
      </c>
      <c r="D37" s="22">
        <v>179.0</v>
      </c>
      <c r="E37" s="22">
        <v>468.0</v>
      </c>
      <c r="F37" s="22">
        <f t="shared" si="2"/>
        <v>647</v>
      </c>
      <c r="G37" s="23">
        <f t="shared" si="3"/>
        <v>0.2766615147</v>
      </c>
      <c r="H37" s="23">
        <f t="shared" si="4"/>
        <v>0.7233384853</v>
      </c>
      <c r="I37" s="21" t="s">
        <v>73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21" t="s">
        <v>71</v>
      </c>
      <c r="B38" s="21" t="s">
        <v>107</v>
      </c>
      <c r="C38" s="21" t="s">
        <v>108</v>
      </c>
      <c r="D38" s="22">
        <v>110.0</v>
      </c>
      <c r="E38" s="22">
        <v>348.0</v>
      </c>
      <c r="F38" s="22">
        <f t="shared" si="2"/>
        <v>458</v>
      </c>
      <c r="G38" s="23">
        <f t="shared" si="3"/>
        <v>0.2401746725</v>
      </c>
      <c r="H38" s="23">
        <f t="shared" si="4"/>
        <v>0.7598253275</v>
      </c>
      <c r="I38" s="21" t="s">
        <v>73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21" t="s">
        <v>71</v>
      </c>
      <c r="B39" s="21" t="s">
        <v>107</v>
      </c>
      <c r="C39" s="21" t="s">
        <v>109</v>
      </c>
      <c r="D39" s="22">
        <v>98.0</v>
      </c>
      <c r="E39" s="22">
        <v>278.0</v>
      </c>
      <c r="F39" s="22">
        <f t="shared" si="2"/>
        <v>376</v>
      </c>
      <c r="G39" s="23">
        <f t="shared" si="3"/>
        <v>0.2606382979</v>
      </c>
      <c r="H39" s="23">
        <f t="shared" si="4"/>
        <v>0.7393617021</v>
      </c>
      <c r="I39" s="21" t="s">
        <v>73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21" t="s">
        <v>71</v>
      </c>
      <c r="B40" s="21" t="s">
        <v>107</v>
      </c>
      <c r="C40" s="21" t="s">
        <v>110</v>
      </c>
      <c r="D40" s="22">
        <v>355.0</v>
      </c>
      <c r="E40" s="22">
        <v>887.0</v>
      </c>
      <c r="F40" s="22">
        <f t="shared" si="2"/>
        <v>1242</v>
      </c>
      <c r="G40" s="23">
        <f t="shared" si="3"/>
        <v>0.2858293076</v>
      </c>
      <c r="H40" s="23">
        <f t="shared" si="4"/>
        <v>0.7141706924</v>
      </c>
      <c r="I40" s="21" t="s">
        <v>73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21" t="s">
        <v>71</v>
      </c>
      <c r="B41" s="21" t="s">
        <v>111</v>
      </c>
      <c r="C41" s="21" t="s">
        <v>112</v>
      </c>
      <c r="D41" s="22">
        <v>228.0</v>
      </c>
      <c r="E41" s="22">
        <v>397.0</v>
      </c>
      <c r="F41" s="22">
        <f t="shared" si="2"/>
        <v>625</v>
      </c>
      <c r="G41" s="23">
        <f t="shared" si="3"/>
        <v>0.3648</v>
      </c>
      <c r="H41" s="23">
        <f t="shared" si="4"/>
        <v>0.6352</v>
      </c>
      <c r="I41" s="21" t="s">
        <v>73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21" t="s">
        <v>71</v>
      </c>
      <c r="B42" s="21" t="s">
        <v>111</v>
      </c>
      <c r="C42" s="21" t="s">
        <v>113</v>
      </c>
      <c r="D42" s="22">
        <v>244.0</v>
      </c>
      <c r="E42" s="22">
        <v>473.0</v>
      </c>
      <c r="F42" s="22">
        <f t="shared" si="2"/>
        <v>717</v>
      </c>
      <c r="G42" s="23">
        <f t="shared" si="3"/>
        <v>0.340306834</v>
      </c>
      <c r="H42" s="23">
        <f t="shared" si="4"/>
        <v>0.659693166</v>
      </c>
      <c r="I42" s="21" t="s">
        <v>73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21" t="s">
        <v>71</v>
      </c>
      <c r="B43" s="21" t="s">
        <v>114</v>
      </c>
      <c r="C43" s="21" t="s">
        <v>114</v>
      </c>
      <c r="D43" s="22">
        <v>110.0</v>
      </c>
      <c r="E43" s="22">
        <v>487.0</v>
      </c>
      <c r="F43" s="22">
        <f t="shared" si="2"/>
        <v>597</v>
      </c>
      <c r="G43" s="23">
        <f t="shared" si="3"/>
        <v>0.1842546064</v>
      </c>
      <c r="H43" s="23">
        <f t="shared" si="4"/>
        <v>0.8157453936</v>
      </c>
      <c r="I43" s="21" t="s">
        <v>73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21" t="s">
        <v>71</v>
      </c>
      <c r="B44" s="21" t="s">
        <v>115</v>
      </c>
      <c r="C44" s="21" t="s">
        <v>116</v>
      </c>
      <c r="D44" s="22">
        <v>244.0</v>
      </c>
      <c r="E44" s="22">
        <v>514.0</v>
      </c>
      <c r="F44" s="22">
        <f t="shared" si="2"/>
        <v>758</v>
      </c>
      <c r="G44" s="23">
        <f t="shared" si="3"/>
        <v>0.3218997361</v>
      </c>
      <c r="H44" s="23">
        <f t="shared" si="4"/>
        <v>0.6781002639</v>
      </c>
      <c r="I44" s="21" t="s">
        <v>73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21" t="s">
        <v>71</v>
      </c>
      <c r="B45" s="21" t="s">
        <v>115</v>
      </c>
      <c r="C45" s="21" t="s">
        <v>117</v>
      </c>
      <c r="D45" s="22">
        <v>381.0</v>
      </c>
      <c r="E45" s="22">
        <v>711.0</v>
      </c>
      <c r="F45" s="22">
        <f t="shared" si="2"/>
        <v>1092</v>
      </c>
      <c r="G45" s="23">
        <f t="shared" si="3"/>
        <v>0.3489010989</v>
      </c>
      <c r="H45" s="23">
        <f t="shared" si="4"/>
        <v>0.6510989011</v>
      </c>
      <c r="I45" s="21" t="s">
        <v>73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21" t="s">
        <v>71</v>
      </c>
      <c r="B46" s="21" t="s">
        <v>115</v>
      </c>
      <c r="C46" s="21" t="s">
        <v>118</v>
      </c>
      <c r="D46" s="22">
        <v>111.0</v>
      </c>
      <c r="E46" s="22">
        <v>231.0</v>
      </c>
      <c r="F46" s="22">
        <f t="shared" si="2"/>
        <v>342</v>
      </c>
      <c r="G46" s="23">
        <f t="shared" si="3"/>
        <v>0.3245614035</v>
      </c>
      <c r="H46" s="23">
        <f t="shared" si="4"/>
        <v>0.6754385965</v>
      </c>
      <c r="I46" s="21" t="s">
        <v>73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21" t="s">
        <v>71</v>
      </c>
      <c r="B47" s="21" t="s">
        <v>119</v>
      </c>
      <c r="C47" s="21" t="s">
        <v>119</v>
      </c>
      <c r="D47" s="22">
        <v>60.0</v>
      </c>
      <c r="E47" s="22">
        <v>149.0</v>
      </c>
      <c r="F47" s="22">
        <f t="shared" si="2"/>
        <v>209</v>
      </c>
      <c r="G47" s="23">
        <f t="shared" si="3"/>
        <v>0.2870813397</v>
      </c>
      <c r="H47" s="23">
        <f t="shared" si="4"/>
        <v>0.7129186603</v>
      </c>
      <c r="I47" s="21" t="s">
        <v>73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21" t="s">
        <v>71</v>
      </c>
      <c r="B48" s="21" t="s">
        <v>120</v>
      </c>
      <c r="C48" s="21" t="s">
        <v>121</v>
      </c>
      <c r="D48" s="22">
        <v>345.0</v>
      </c>
      <c r="E48" s="22">
        <v>632.0</v>
      </c>
      <c r="F48" s="22">
        <f t="shared" si="2"/>
        <v>977</v>
      </c>
      <c r="G48" s="23">
        <f t="shared" si="3"/>
        <v>0.3531218014</v>
      </c>
      <c r="H48" s="23">
        <f t="shared" si="4"/>
        <v>0.6468781986</v>
      </c>
      <c r="I48" s="21" t="s">
        <v>73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21" t="s">
        <v>71</v>
      </c>
      <c r="B49" s="21" t="s">
        <v>120</v>
      </c>
      <c r="C49" s="21" t="s">
        <v>122</v>
      </c>
      <c r="D49" s="22">
        <v>254.0</v>
      </c>
      <c r="E49" s="22">
        <v>475.0</v>
      </c>
      <c r="F49" s="22">
        <f t="shared" si="2"/>
        <v>729</v>
      </c>
      <c r="G49" s="23">
        <f t="shared" si="3"/>
        <v>0.3484224966</v>
      </c>
      <c r="H49" s="23">
        <f t="shared" si="4"/>
        <v>0.6515775034</v>
      </c>
      <c r="I49" s="21" t="s">
        <v>73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24" t="s">
        <v>71</v>
      </c>
      <c r="B50" s="24" t="s">
        <v>120</v>
      </c>
      <c r="C50" s="24" t="s">
        <v>123</v>
      </c>
      <c r="D50" s="25">
        <v>567.0</v>
      </c>
      <c r="E50" s="25">
        <v>1138.0</v>
      </c>
      <c r="F50" s="25">
        <f t="shared" si="2"/>
        <v>1705</v>
      </c>
      <c r="G50" s="26">
        <f t="shared" si="3"/>
        <v>0.3325513196</v>
      </c>
      <c r="H50" s="26">
        <f t="shared" si="4"/>
        <v>0.6674486804</v>
      </c>
      <c r="I50" s="24" t="s">
        <v>83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24" t="s">
        <v>71</v>
      </c>
      <c r="B51" s="24" t="s">
        <v>120</v>
      </c>
      <c r="C51" s="24" t="s">
        <v>124</v>
      </c>
      <c r="D51" s="25">
        <v>567.0</v>
      </c>
      <c r="E51" s="25">
        <v>1138.0</v>
      </c>
      <c r="F51" s="25">
        <f t="shared" si="2"/>
        <v>1705</v>
      </c>
      <c r="G51" s="26">
        <f t="shared" si="3"/>
        <v>0.3325513196</v>
      </c>
      <c r="H51" s="26">
        <f t="shared" si="4"/>
        <v>0.6674486804</v>
      </c>
      <c r="I51" s="24" t="s">
        <v>83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24" t="s">
        <v>71</v>
      </c>
      <c r="B52" s="24" t="s">
        <v>120</v>
      </c>
      <c r="C52" s="24" t="s">
        <v>125</v>
      </c>
      <c r="D52" s="25">
        <v>567.0</v>
      </c>
      <c r="E52" s="25">
        <v>1138.0</v>
      </c>
      <c r="F52" s="25">
        <f t="shared" si="2"/>
        <v>1705</v>
      </c>
      <c r="G52" s="26">
        <f t="shared" si="3"/>
        <v>0.3325513196</v>
      </c>
      <c r="H52" s="26">
        <f t="shared" si="4"/>
        <v>0.6674486804</v>
      </c>
      <c r="I52" s="24" t="s">
        <v>83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21" t="s">
        <v>71</v>
      </c>
      <c r="B53" s="21" t="s">
        <v>126</v>
      </c>
      <c r="C53" s="21" t="s">
        <v>127</v>
      </c>
      <c r="D53" s="22">
        <v>120.0</v>
      </c>
      <c r="E53" s="22">
        <v>175.0</v>
      </c>
      <c r="F53" s="22">
        <f t="shared" si="2"/>
        <v>295</v>
      </c>
      <c r="G53" s="23">
        <f t="shared" si="3"/>
        <v>0.406779661</v>
      </c>
      <c r="H53" s="23">
        <f t="shared" si="4"/>
        <v>0.593220339</v>
      </c>
      <c r="I53" s="21" t="s">
        <v>73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21" t="s">
        <v>71</v>
      </c>
      <c r="B54" s="21" t="s">
        <v>126</v>
      </c>
      <c r="C54" s="21" t="s">
        <v>128</v>
      </c>
      <c r="D54" s="22">
        <v>145.0</v>
      </c>
      <c r="E54" s="22">
        <v>178.0</v>
      </c>
      <c r="F54" s="22">
        <f t="shared" si="2"/>
        <v>323</v>
      </c>
      <c r="G54" s="23">
        <f t="shared" si="3"/>
        <v>0.4489164087</v>
      </c>
      <c r="H54" s="23">
        <f t="shared" si="4"/>
        <v>0.5510835913</v>
      </c>
      <c r="I54" s="21" t="s">
        <v>73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21" t="s">
        <v>71</v>
      </c>
      <c r="B55" s="21" t="s">
        <v>126</v>
      </c>
      <c r="C55" s="21" t="s">
        <v>129</v>
      </c>
      <c r="D55" s="22">
        <v>97.0</v>
      </c>
      <c r="E55" s="22">
        <v>173.0</v>
      </c>
      <c r="F55" s="22">
        <f t="shared" si="2"/>
        <v>270</v>
      </c>
      <c r="G55" s="23">
        <f t="shared" si="3"/>
        <v>0.3592592593</v>
      </c>
      <c r="H55" s="23">
        <f t="shared" si="4"/>
        <v>0.6407407407</v>
      </c>
      <c r="I55" s="21" t="s">
        <v>73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21" t="s">
        <v>71</v>
      </c>
      <c r="B56" s="21" t="s">
        <v>126</v>
      </c>
      <c r="C56" s="21" t="s">
        <v>130</v>
      </c>
      <c r="D56" s="22">
        <v>159.0</v>
      </c>
      <c r="E56" s="22">
        <v>287.0</v>
      </c>
      <c r="F56" s="22">
        <f t="shared" si="2"/>
        <v>446</v>
      </c>
      <c r="G56" s="23">
        <f t="shared" si="3"/>
        <v>0.3565022422</v>
      </c>
      <c r="H56" s="23">
        <f t="shared" si="4"/>
        <v>0.6434977578</v>
      </c>
      <c r="I56" s="21" t="s">
        <v>73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21" t="s">
        <v>71</v>
      </c>
      <c r="B57" s="21" t="s">
        <v>131</v>
      </c>
      <c r="C57" s="21" t="s">
        <v>132</v>
      </c>
      <c r="D57" s="22">
        <v>248.0</v>
      </c>
      <c r="E57" s="22">
        <v>594.0</v>
      </c>
      <c r="F57" s="22">
        <f t="shared" si="2"/>
        <v>842</v>
      </c>
      <c r="G57" s="23">
        <f t="shared" si="3"/>
        <v>0.2945368171</v>
      </c>
      <c r="H57" s="23">
        <f t="shared" si="4"/>
        <v>0.7054631829</v>
      </c>
      <c r="I57" s="21" t="s">
        <v>73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21" t="s">
        <v>71</v>
      </c>
      <c r="B58" s="21" t="s">
        <v>131</v>
      </c>
      <c r="C58" s="21" t="s">
        <v>133</v>
      </c>
      <c r="D58" s="22">
        <v>212.0</v>
      </c>
      <c r="E58" s="22">
        <v>577.0</v>
      </c>
      <c r="F58" s="22">
        <f t="shared" si="2"/>
        <v>789</v>
      </c>
      <c r="G58" s="23">
        <f t="shared" si="3"/>
        <v>0.2686945501</v>
      </c>
      <c r="H58" s="23">
        <f t="shared" si="4"/>
        <v>0.7313054499</v>
      </c>
      <c r="I58" s="21" t="s">
        <v>73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21" t="s">
        <v>71</v>
      </c>
      <c r="B59" s="21" t="s">
        <v>131</v>
      </c>
      <c r="C59" s="21" t="s">
        <v>134</v>
      </c>
      <c r="D59" s="22">
        <v>212.0</v>
      </c>
      <c r="E59" s="22">
        <v>577.0</v>
      </c>
      <c r="F59" s="22">
        <f t="shared" si="2"/>
        <v>789</v>
      </c>
      <c r="G59" s="23">
        <f t="shared" si="3"/>
        <v>0.2686945501</v>
      </c>
      <c r="H59" s="23">
        <f t="shared" si="4"/>
        <v>0.7313054499</v>
      </c>
      <c r="I59" s="21" t="s">
        <v>73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21" t="s">
        <v>71</v>
      </c>
      <c r="B60" s="21" t="s">
        <v>135</v>
      </c>
      <c r="C60" s="21" t="s">
        <v>136</v>
      </c>
      <c r="D60" s="22">
        <v>182.0</v>
      </c>
      <c r="E60" s="22">
        <v>462.0</v>
      </c>
      <c r="F60" s="22">
        <f t="shared" si="2"/>
        <v>644</v>
      </c>
      <c r="G60" s="23">
        <f t="shared" si="3"/>
        <v>0.2826086957</v>
      </c>
      <c r="H60" s="23">
        <f t="shared" si="4"/>
        <v>0.7173913043</v>
      </c>
      <c r="I60" s="21" t="s">
        <v>73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21" t="s">
        <v>71</v>
      </c>
      <c r="B61" s="21" t="s">
        <v>135</v>
      </c>
      <c r="C61" s="21" t="s">
        <v>137</v>
      </c>
      <c r="D61" s="22">
        <v>74.0</v>
      </c>
      <c r="E61" s="22">
        <v>237.0</v>
      </c>
      <c r="F61" s="22">
        <f t="shared" si="2"/>
        <v>311</v>
      </c>
      <c r="G61" s="23">
        <f t="shared" si="3"/>
        <v>0.2379421222</v>
      </c>
      <c r="H61" s="23">
        <f t="shared" si="4"/>
        <v>0.7620578778</v>
      </c>
      <c r="I61" s="21" t="s">
        <v>73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21" t="s">
        <v>71</v>
      </c>
      <c r="B62" s="21" t="s">
        <v>138</v>
      </c>
      <c r="C62" s="21" t="s">
        <v>138</v>
      </c>
      <c r="D62" s="22">
        <v>34.0</v>
      </c>
      <c r="E62" s="22">
        <v>68.0</v>
      </c>
      <c r="F62" s="22">
        <f t="shared" si="2"/>
        <v>102</v>
      </c>
      <c r="G62" s="23">
        <f t="shared" si="3"/>
        <v>0.3333333333</v>
      </c>
      <c r="H62" s="23">
        <f t="shared" si="4"/>
        <v>0.6666666667</v>
      </c>
      <c r="I62" s="21" t="s">
        <v>73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21" t="s">
        <v>139</v>
      </c>
      <c r="B63" s="21" t="s">
        <v>140</v>
      </c>
      <c r="C63" s="21" t="s">
        <v>140</v>
      </c>
      <c r="D63" s="22">
        <v>489.0</v>
      </c>
      <c r="E63" s="22">
        <v>677.0</v>
      </c>
      <c r="F63" s="22">
        <f t="shared" si="2"/>
        <v>1166</v>
      </c>
      <c r="G63" s="23">
        <f t="shared" si="3"/>
        <v>0.4193825043</v>
      </c>
      <c r="H63" s="23">
        <f t="shared" si="4"/>
        <v>0.5806174957</v>
      </c>
      <c r="I63" s="21" t="s">
        <v>73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21" t="s">
        <v>139</v>
      </c>
      <c r="B64" s="21" t="s">
        <v>141</v>
      </c>
      <c r="C64" s="21" t="s">
        <v>142</v>
      </c>
      <c r="D64" s="22">
        <v>188.0</v>
      </c>
      <c r="E64" s="22">
        <v>91.0</v>
      </c>
      <c r="F64" s="22">
        <f t="shared" si="2"/>
        <v>279</v>
      </c>
      <c r="G64" s="23">
        <f t="shared" si="3"/>
        <v>0.6738351254</v>
      </c>
      <c r="H64" s="23">
        <f t="shared" si="4"/>
        <v>0.3261648746</v>
      </c>
      <c r="I64" s="21" t="s">
        <v>73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21" t="s">
        <v>139</v>
      </c>
      <c r="B65" s="21" t="s">
        <v>141</v>
      </c>
      <c r="C65" s="21" t="s">
        <v>143</v>
      </c>
      <c r="D65" s="22">
        <v>62.0</v>
      </c>
      <c r="E65" s="22">
        <v>37.0</v>
      </c>
      <c r="F65" s="22">
        <f t="shared" si="2"/>
        <v>99</v>
      </c>
      <c r="G65" s="23">
        <f t="shared" si="3"/>
        <v>0.6262626263</v>
      </c>
      <c r="H65" s="23">
        <f t="shared" si="4"/>
        <v>0.3737373737</v>
      </c>
      <c r="I65" s="21" t="s">
        <v>73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21" t="s">
        <v>139</v>
      </c>
      <c r="B66" s="21" t="s">
        <v>141</v>
      </c>
      <c r="C66" s="21" t="s">
        <v>144</v>
      </c>
      <c r="D66" s="22">
        <v>111.0</v>
      </c>
      <c r="E66" s="22">
        <v>52.0</v>
      </c>
      <c r="F66" s="22">
        <f t="shared" si="2"/>
        <v>163</v>
      </c>
      <c r="G66" s="23">
        <f t="shared" si="3"/>
        <v>0.6809815951</v>
      </c>
      <c r="H66" s="23">
        <f t="shared" si="4"/>
        <v>0.3190184049</v>
      </c>
      <c r="I66" s="21" t="s">
        <v>73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21" t="s">
        <v>139</v>
      </c>
      <c r="B67" s="21" t="s">
        <v>141</v>
      </c>
      <c r="C67" s="21" t="s">
        <v>145</v>
      </c>
      <c r="D67" s="22">
        <v>117.0</v>
      </c>
      <c r="E67" s="22">
        <v>56.0</v>
      </c>
      <c r="F67" s="22">
        <f t="shared" si="2"/>
        <v>173</v>
      </c>
      <c r="G67" s="23">
        <f t="shared" si="3"/>
        <v>0.676300578</v>
      </c>
      <c r="H67" s="23">
        <f t="shared" si="4"/>
        <v>0.323699422</v>
      </c>
      <c r="I67" s="21" t="s">
        <v>73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21" t="s">
        <v>139</v>
      </c>
      <c r="B68" s="21" t="s">
        <v>141</v>
      </c>
      <c r="C68" s="21" t="s">
        <v>146</v>
      </c>
      <c r="D68" s="22">
        <v>76.0</v>
      </c>
      <c r="E68" s="22">
        <v>33.0</v>
      </c>
      <c r="F68" s="22">
        <f t="shared" si="2"/>
        <v>109</v>
      </c>
      <c r="G68" s="23">
        <f t="shared" si="3"/>
        <v>0.6972477064</v>
      </c>
      <c r="H68" s="23">
        <f t="shared" si="4"/>
        <v>0.3027522936</v>
      </c>
      <c r="I68" s="21" t="s">
        <v>73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21" t="s">
        <v>139</v>
      </c>
      <c r="B69" s="21" t="s">
        <v>141</v>
      </c>
      <c r="C69" s="21" t="s">
        <v>147</v>
      </c>
      <c r="D69" s="22">
        <v>171.0</v>
      </c>
      <c r="E69" s="22">
        <v>87.0</v>
      </c>
      <c r="F69" s="22">
        <f t="shared" si="2"/>
        <v>258</v>
      </c>
      <c r="G69" s="23">
        <f t="shared" si="3"/>
        <v>0.6627906977</v>
      </c>
      <c r="H69" s="23">
        <f t="shared" si="4"/>
        <v>0.3372093023</v>
      </c>
      <c r="I69" s="21" t="s">
        <v>73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21" t="s">
        <v>139</v>
      </c>
      <c r="B70" s="21" t="s">
        <v>141</v>
      </c>
      <c r="C70" s="21" t="s">
        <v>148</v>
      </c>
      <c r="D70" s="22">
        <v>469.0</v>
      </c>
      <c r="E70" s="22">
        <v>137.0</v>
      </c>
      <c r="F70" s="22">
        <f t="shared" si="2"/>
        <v>606</v>
      </c>
      <c r="G70" s="23">
        <f t="shared" si="3"/>
        <v>0.7739273927</v>
      </c>
      <c r="H70" s="23">
        <f t="shared" si="4"/>
        <v>0.2260726073</v>
      </c>
      <c r="I70" s="21" t="s">
        <v>73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21" t="s">
        <v>139</v>
      </c>
      <c r="B71" s="21" t="s">
        <v>141</v>
      </c>
      <c r="C71" s="21" t="s">
        <v>149</v>
      </c>
      <c r="D71" s="22">
        <v>245.0</v>
      </c>
      <c r="E71" s="22">
        <v>124.0</v>
      </c>
      <c r="F71" s="22">
        <f t="shared" si="2"/>
        <v>369</v>
      </c>
      <c r="G71" s="23">
        <f t="shared" si="3"/>
        <v>0.6639566396</v>
      </c>
      <c r="H71" s="23">
        <f t="shared" si="4"/>
        <v>0.3360433604</v>
      </c>
      <c r="I71" s="21" t="s">
        <v>73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21" t="s">
        <v>139</v>
      </c>
      <c r="B72" s="21" t="s">
        <v>141</v>
      </c>
      <c r="C72" s="21" t="s">
        <v>150</v>
      </c>
      <c r="D72" s="22">
        <v>377.0</v>
      </c>
      <c r="E72" s="22">
        <v>266.0</v>
      </c>
      <c r="F72" s="22">
        <f t="shared" si="2"/>
        <v>643</v>
      </c>
      <c r="G72" s="23">
        <f t="shared" si="3"/>
        <v>0.5863141524</v>
      </c>
      <c r="H72" s="23">
        <f t="shared" si="4"/>
        <v>0.4136858476</v>
      </c>
      <c r="I72" s="21" t="s">
        <v>73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21" t="s">
        <v>139</v>
      </c>
      <c r="B73" s="21" t="s">
        <v>141</v>
      </c>
      <c r="C73" s="21" t="s">
        <v>151</v>
      </c>
      <c r="D73" s="22">
        <v>334.0</v>
      </c>
      <c r="E73" s="22">
        <v>209.0</v>
      </c>
      <c r="F73" s="22">
        <f t="shared" si="2"/>
        <v>543</v>
      </c>
      <c r="G73" s="23">
        <f t="shared" si="3"/>
        <v>0.6151012891</v>
      </c>
      <c r="H73" s="23">
        <f t="shared" si="4"/>
        <v>0.3848987109</v>
      </c>
      <c r="I73" s="21" t="s">
        <v>73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21" t="s">
        <v>139</v>
      </c>
      <c r="B74" s="21" t="s">
        <v>141</v>
      </c>
      <c r="C74" s="21" t="s">
        <v>152</v>
      </c>
      <c r="D74" s="22">
        <v>201.0</v>
      </c>
      <c r="E74" s="22">
        <v>96.0</v>
      </c>
      <c r="F74" s="22">
        <f t="shared" si="2"/>
        <v>297</v>
      </c>
      <c r="G74" s="23">
        <f t="shared" si="3"/>
        <v>0.6767676768</v>
      </c>
      <c r="H74" s="23">
        <f t="shared" si="4"/>
        <v>0.3232323232</v>
      </c>
      <c r="I74" s="21" t="s">
        <v>73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21" t="s">
        <v>139</v>
      </c>
      <c r="B75" s="21" t="s">
        <v>141</v>
      </c>
      <c r="C75" s="21" t="s">
        <v>153</v>
      </c>
      <c r="D75" s="22">
        <v>224.0</v>
      </c>
      <c r="E75" s="22">
        <v>151.0</v>
      </c>
      <c r="F75" s="22">
        <f t="shared" si="2"/>
        <v>375</v>
      </c>
      <c r="G75" s="23">
        <f t="shared" si="3"/>
        <v>0.5973333333</v>
      </c>
      <c r="H75" s="23">
        <f t="shared" si="4"/>
        <v>0.4026666667</v>
      </c>
      <c r="I75" s="21" t="s">
        <v>73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21" t="s">
        <v>139</v>
      </c>
      <c r="B76" s="21" t="s">
        <v>141</v>
      </c>
      <c r="C76" s="21" t="s">
        <v>154</v>
      </c>
      <c r="D76" s="22">
        <v>305.0</v>
      </c>
      <c r="E76" s="22">
        <v>186.0</v>
      </c>
      <c r="F76" s="22">
        <f t="shared" si="2"/>
        <v>491</v>
      </c>
      <c r="G76" s="23">
        <f t="shared" si="3"/>
        <v>0.6211812627</v>
      </c>
      <c r="H76" s="23">
        <f t="shared" si="4"/>
        <v>0.3788187373</v>
      </c>
      <c r="I76" s="21" t="s">
        <v>73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21" t="s">
        <v>139</v>
      </c>
      <c r="B77" s="21" t="s">
        <v>141</v>
      </c>
      <c r="C77" s="21" t="s">
        <v>155</v>
      </c>
      <c r="D77" s="22">
        <v>348.0</v>
      </c>
      <c r="E77" s="22">
        <v>284.0</v>
      </c>
      <c r="F77" s="22">
        <f t="shared" si="2"/>
        <v>632</v>
      </c>
      <c r="G77" s="23">
        <f t="shared" si="3"/>
        <v>0.5506329114</v>
      </c>
      <c r="H77" s="23">
        <f t="shared" si="4"/>
        <v>0.4493670886</v>
      </c>
      <c r="I77" s="21" t="s">
        <v>73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21" t="s">
        <v>139</v>
      </c>
      <c r="B78" s="21" t="s">
        <v>141</v>
      </c>
      <c r="C78" s="21" t="s">
        <v>156</v>
      </c>
      <c r="D78" s="22">
        <v>197.0</v>
      </c>
      <c r="E78" s="22">
        <v>157.0</v>
      </c>
      <c r="F78" s="22">
        <f t="shared" si="2"/>
        <v>354</v>
      </c>
      <c r="G78" s="23">
        <f t="shared" si="3"/>
        <v>0.5564971751</v>
      </c>
      <c r="H78" s="23">
        <f t="shared" si="4"/>
        <v>0.4435028249</v>
      </c>
      <c r="I78" s="21" t="s">
        <v>73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21" t="s">
        <v>139</v>
      </c>
      <c r="B79" s="21" t="s">
        <v>141</v>
      </c>
      <c r="C79" s="21" t="s">
        <v>157</v>
      </c>
      <c r="D79" s="22">
        <v>176.0</v>
      </c>
      <c r="E79" s="22">
        <v>87.0</v>
      </c>
      <c r="F79" s="22">
        <f t="shared" si="2"/>
        <v>263</v>
      </c>
      <c r="G79" s="23">
        <f t="shared" si="3"/>
        <v>0.6692015209</v>
      </c>
      <c r="H79" s="23">
        <f t="shared" si="4"/>
        <v>0.3307984791</v>
      </c>
      <c r="I79" s="21" t="s">
        <v>73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21" t="s">
        <v>139</v>
      </c>
      <c r="B80" s="21" t="s">
        <v>141</v>
      </c>
      <c r="C80" s="21" t="s">
        <v>158</v>
      </c>
      <c r="D80" s="22">
        <v>127.0</v>
      </c>
      <c r="E80" s="22">
        <v>77.0</v>
      </c>
      <c r="F80" s="22">
        <f t="shared" si="2"/>
        <v>204</v>
      </c>
      <c r="G80" s="23">
        <f t="shared" si="3"/>
        <v>0.6225490196</v>
      </c>
      <c r="H80" s="23">
        <f t="shared" si="4"/>
        <v>0.3774509804</v>
      </c>
      <c r="I80" s="21" t="s">
        <v>73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21" t="s">
        <v>139</v>
      </c>
      <c r="B81" s="21" t="s">
        <v>141</v>
      </c>
      <c r="C81" s="21" t="s">
        <v>159</v>
      </c>
      <c r="D81" s="22">
        <v>184.0</v>
      </c>
      <c r="E81" s="22">
        <v>113.0</v>
      </c>
      <c r="F81" s="22">
        <f t="shared" si="2"/>
        <v>297</v>
      </c>
      <c r="G81" s="23">
        <f t="shared" si="3"/>
        <v>0.6195286195</v>
      </c>
      <c r="H81" s="23">
        <f t="shared" si="4"/>
        <v>0.3804713805</v>
      </c>
      <c r="I81" s="21" t="s">
        <v>73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21" t="s">
        <v>139</v>
      </c>
      <c r="B82" s="21" t="s">
        <v>141</v>
      </c>
      <c r="C82" s="21" t="s">
        <v>160</v>
      </c>
      <c r="D82" s="22">
        <v>165.0</v>
      </c>
      <c r="E82" s="22">
        <v>80.0</v>
      </c>
      <c r="F82" s="22">
        <f t="shared" si="2"/>
        <v>245</v>
      </c>
      <c r="G82" s="23">
        <f t="shared" si="3"/>
        <v>0.6734693878</v>
      </c>
      <c r="H82" s="23">
        <f t="shared" si="4"/>
        <v>0.3265306122</v>
      </c>
      <c r="I82" s="21" t="s">
        <v>73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21" t="s">
        <v>139</v>
      </c>
      <c r="B83" s="21" t="s">
        <v>141</v>
      </c>
      <c r="C83" s="21" t="s">
        <v>161</v>
      </c>
      <c r="D83" s="22">
        <v>291.0</v>
      </c>
      <c r="E83" s="22">
        <v>202.0</v>
      </c>
      <c r="F83" s="22">
        <f t="shared" si="2"/>
        <v>493</v>
      </c>
      <c r="G83" s="23">
        <f t="shared" si="3"/>
        <v>0.5902636917</v>
      </c>
      <c r="H83" s="23">
        <f t="shared" si="4"/>
        <v>0.4097363083</v>
      </c>
      <c r="I83" s="21" t="s">
        <v>73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21" t="s">
        <v>139</v>
      </c>
      <c r="B84" s="21" t="s">
        <v>141</v>
      </c>
      <c r="C84" s="21" t="s">
        <v>162</v>
      </c>
      <c r="D84" s="22">
        <v>285.0</v>
      </c>
      <c r="E84" s="22">
        <v>200.0</v>
      </c>
      <c r="F84" s="22">
        <f t="shared" si="2"/>
        <v>485</v>
      </c>
      <c r="G84" s="23">
        <f t="shared" si="3"/>
        <v>0.587628866</v>
      </c>
      <c r="H84" s="23">
        <f t="shared" si="4"/>
        <v>0.412371134</v>
      </c>
      <c r="I84" s="21" t="s">
        <v>73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21" t="s">
        <v>139</v>
      </c>
      <c r="B85" s="21" t="s">
        <v>141</v>
      </c>
      <c r="C85" s="21" t="s">
        <v>163</v>
      </c>
      <c r="D85" s="22">
        <v>263.0</v>
      </c>
      <c r="E85" s="22">
        <v>266.0</v>
      </c>
      <c r="F85" s="22">
        <f t="shared" si="2"/>
        <v>529</v>
      </c>
      <c r="G85" s="23">
        <f t="shared" si="3"/>
        <v>0.4971644612</v>
      </c>
      <c r="H85" s="23">
        <f t="shared" si="4"/>
        <v>0.5028355388</v>
      </c>
      <c r="I85" s="21" t="s">
        <v>73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21" t="s">
        <v>139</v>
      </c>
      <c r="B86" s="21" t="s">
        <v>141</v>
      </c>
      <c r="C86" s="21" t="s">
        <v>164</v>
      </c>
      <c r="D86" s="22">
        <v>369.0</v>
      </c>
      <c r="E86" s="22">
        <v>242.0</v>
      </c>
      <c r="F86" s="22">
        <f t="shared" si="2"/>
        <v>611</v>
      </c>
      <c r="G86" s="23">
        <f t="shared" si="3"/>
        <v>0.6039279869</v>
      </c>
      <c r="H86" s="23">
        <f t="shared" si="4"/>
        <v>0.3960720131</v>
      </c>
      <c r="I86" s="21" t="s">
        <v>73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21" t="s">
        <v>139</v>
      </c>
      <c r="B87" s="21" t="s">
        <v>141</v>
      </c>
      <c r="C87" s="21" t="s">
        <v>165</v>
      </c>
      <c r="D87" s="22">
        <v>361.0</v>
      </c>
      <c r="E87" s="22">
        <v>251.0</v>
      </c>
      <c r="F87" s="22">
        <f t="shared" si="2"/>
        <v>612</v>
      </c>
      <c r="G87" s="23">
        <f t="shared" si="3"/>
        <v>0.589869281</v>
      </c>
      <c r="H87" s="23">
        <f t="shared" si="4"/>
        <v>0.410130719</v>
      </c>
      <c r="I87" s="21" t="s">
        <v>73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21" t="s">
        <v>139</v>
      </c>
      <c r="B88" s="21" t="s">
        <v>141</v>
      </c>
      <c r="C88" s="21" t="s">
        <v>166</v>
      </c>
      <c r="D88" s="22">
        <v>237.0</v>
      </c>
      <c r="E88" s="22">
        <v>214.0</v>
      </c>
      <c r="F88" s="22">
        <f t="shared" si="2"/>
        <v>451</v>
      </c>
      <c r="G88" s="23">
        <f t="shared" si="3"/>
        <v>0.5254988914</v>
      </c>
      <c r="H88" s="23">
        <f t="shared" si="4"/>
        <v>0.4745011086</v>
      </c>
      <c r="I88" s="21" t="s">
        <v>73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21" t="s">
        <v>139</v>
      </c>
      <c r="B89" s="21" t="s">
        <v>141</v>
      </c>
      <c r="C89" s="21" t="s">
        <v>167</v>
      </c>
      <c r="D89" s="22">
        <v>200.0</v>
      </c>
      <c r="E89" s="22">
        <v>141.0</v>
      </c>
      <c r="F89" s="22">
        <f t="shared" si="2"/>
        <v>341</v>
      </c>
      <c r="G89" s="23">
        <f t="shared" si="3"/>
        <v>0.5865102639</v>
      </c>
      <c r="H89" s="23">
        <f t="shared" si="4"/>
        <v>0.4134897361</v>
      </c>
      <c r="I89" s="21" t="s">
        <v>73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21" t="s">
        <v>139</v>
      </c>
      <c r="B90" s="21" t="s">
        <v>141</v>
      </c>
      <c r="C90" s="21" t="s">
        <v>168</v>
      </c>
      <c r="D90" s="22">
        <v>400.0</v>
      </c>
      <c r="E90" s="22">
        <v>334.0</v>
      </c>
      <c r="F90" s="22">
        <f t="shared" si="2"/>
        <v>734</v>
      </c>
      <c r="G90" s="23">
        <f t="shared" si="3"/>
        <v>0.5449591281</v>
      </c>
      <c r="H90" s="23">
        <f t="shared" si="4"/>
        <v>0.4550408719</v>
      </c>
      <c r="I90" s="21" t="s">
        <v>73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21" t="s">
        <v>139</v>
      </c>
      <c r="B91" s="21" t="s">
        <v>141</v>
      </c>
      <c r="C91" s="21" t="s">
        <v>169</v>
      </c>
      <c r="D91" s="22">
        <v>335.0</v>
      </c>
      <c r="E91" s="22">
        <v>151.0</v>
      </c>
      <c r="F91" s="22">
        <f t="shared" si="2"/>
        <v>486</v>
      </c>
      <c r="G91" s="23">
        <f t="shared" si="3"/>
        <v>0.6893004115</v>
      </c>
      <c r="H91" s="23">
        <f t="shared" si="4"/>
        <v>0.3106995885</v>
      </c>
      <c r="I91" s="21" t="s">
        <v>73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21" t="s">
        <v>139</v>
      </c>
      <c r="B92" s="21" t="s">
        <v>141</v>
      </c>
      <c r="C92" s="21" t="s">
        <v>170</v>
      </c>
      <c r="D92" s="22">
        <v>428.0</v>
      </c>
      <c r="E92" s="22">
        <v>229.0</v>
      </c>
      <c r="F92" s="22">
        <f t="shared" si="2"/>
        <v>657</v>
      </c>
      <c r="G92" s="23">
        <f t="shared" si="3"/>
        <v>0.6514459665</v>
      </c>
      <c r="H92" s="23">
        <f t="shared" si="4"/>
        <v>0.3485540335</v>
      </c>
      <c r="I92" s="21" t="s">
        <v>73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21" t="s">
        <v>139</v>
      </c>
      <c r="B93" s="21" t="s">
        <v>141</v>
      </c>
      <c r="C93" s="21" t="s">
        <v>171</v>
      </c>
      <c r="D93" s="22">
        <v>465.0</v>
      </c>
      <c r="E93" s="22">
        <v>255.0</v>
      </c>
      <c r="F93" s="22">
        <f t="shared" si="2"/>
        <v>720</v>
      </c>
      <c r="G93" s="23">
        <f t="shared" si="3"/>
        <v>0.6458333333</v>
      </c>
      <c r="H93" s="23">
        <f t="shared" si="4"/>
        <v>0.3541666667</v>
      </c>
      <c r="I93" s="21" t="s">
        <v>73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24" t="s">
        <v>139</v>
      </c>
      <c r="B94" s="24" t="s">
        <v>141</v>
      </c>
      <c r="C94" s="24" t="s">
        <v>172</v>
      </c>
      <c r="D94" s="25">
        <v>2799.0</v>
      </c>
      <c r="E94" s="25">
        <v>1709.0</v>
      </c>
      <c r="F94" s="25">
        <f t="shared" si="2"/>
        <v>4508</v>
      </c>
      <c r="G94" s="26">
        <f t="shared" si="3"/>
        <v>0.6208961846</v>
      </c>
      <c r="H94" s="26">
        <f t="shared" si="4"/>
        <v>0.3791038154</v>
      </c>
      <c r="I94" s="24" t="s">
        <v>83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24" t="s">
        <v>139</v>
      </c>
      <c r="B95" s="24" t="s">
        <v>141</v>
      </c>
      <c r="C95" s="24" t="s">
        <v>173</v>
      </c>
      <c r="D95" s="25">
        <v>2799.0</v>
      </c>
      <c r="E95" s="25">
        <v>1709.0</v>
      </c>
      <c r="F95" s="25">
        <f t="shared" si="2"/>
        <v>4508</v>
      </c>
      <c r="G95" s="26">
        <f t="shared" si="3"/>
        <v>0.6208961846</v>
      </c>
      <c r="H95" s="26">
        <f t="shared" si="4"/>
        <v>0.3791038154</v>
      </c>
      <c r="I95" s="24" t="s">
        <v>83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21" t="s">
        <v>139</v>
      </c>
      <c r="B96" s="21" t="s">
        <v>141</v>
      </c>
      <c r="C96" s="21" t="s">
        <v>174</v>
      </c>
      <c r="D96" s="22">
        <v>388.0</v>
      </c>
      <c r="E96" s="22">
        <v>197.0</v>
      </c>
      <c r="F96" s="22">
        <f t="shared" si="2"/>
        <v>585</v>
      </c>
      <c r="G96" s="23">
        <f t="shared" si="3"/>
        <v>0.6632478632</v>
      </c>
      <c r="H96" s="23">
        <f t="shared" si="4"/>
        <v>0.3367521368</v>
      </c>
      <c r="I96" s="21" t="s">
        <v>73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24" t="s">
        <v>139</v>
      </c>
      <c r="B97" s="24" t="s">
        <v>141</v>
      </c>
      <c r="C97" s="24" t="s">
        <v>175</v>
      </c>
      <c r="D97" s="25">
        <v>2799.0</v>
      </c>
      <c r="E97" s="25">
        <v>1709.0</v>
      </c>
      <c r="F97" s="25">
        <f t="shared" si="2"/>
        <v>4508</v>
      </c>
      <c r="G97" s="26">
        <f t="shared" si="3"/>
        <v>0.6208961846</v>
      </c>
      <c r="H97" s="26">
        <f t="shared" si="4"/>
        <v>0.3791038154</v>
      </c>
      <c r="I97" s="24" t="s">
        <v>83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24" t="s">
        <v>139</v>
      </c>
      <c r="B98" s="24" t="s">
        <v>141</v>
      </c>
      <c r="C98" s="24" t="s">
        <v>176</v>
      </c>
      <c r="D98" s="25">
        <v>2799.0</v>
      </c>
      <c r="E98" s="25">
        <v>1709.0</v>
      </c>
      <c r="F98" s="25">
        <f t="shared" si="2"/>
        <v>4508</v>
      </c>
      <c r="G98" s="26">
        <f t="shared" si="3"/>
        <v>0.6208961846</v>
      </c>
      <c r="H98" s="26">
        <f t="shared" si="4"/>
        <v>0.3791038154</v>
      </c>
      <c r="I98" s="24" t="s">
        <v>83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21" t="s">
        <v>139</v>
      </c>
      <c r="B99" s="21" t="s">
        <v>141</v>
      </c>
      <c r="C99" s="21" t="s">
        <v>177</v>
      </c>
      <c r="D99" s="22">
        <v>175.0</v>
      </c>
      <c r="E99" s="22">
        <v>178.0</v>
      </c>
      <c r="F99" s="22">
        <f t="shared" si="2"/>
        <v>353</v>
      </c>
      <c r="G99" s="23">
        <f t="shared" si="3"/>
        <v>0.4957507082</v>
      </c>
      <c r="H99" s="23">
        <f t="shared" si="4"/>
        <v>0.5042492918</v>
      </c>
      <c r="I99" s="21" t="s">
        <v>73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21" t="s">
        <v>139</v>
      </c>
      <c r="B100" s="21" t="s">
        <v>141</v>
      </c>
      <c r="C100" s="21" t="s">
        <v>178</v>
      </c>
      <c r="D100" s="22">
        <v>272.0</v>
      </c>
      <c r="E100" s="22">
        <v>171.0</v>
      </c>
      <c r="F100" s="22">
        <f t="shared" si="2"/>
        <v>443</v>
      </c>
      <c r="G100" s="23">
        <f t="shared" si="3"/>
        <v>0.6139954853</v>
      </c>
      <c r="H100" s="23">
        <f t="shared" si="4"/>
        <v>0.3860045147</v>
      </c>
      <c r="I100" s="21" t="s">
        <v>73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21" t="s">
        <v>139</v>
      </c>
      <c r="B101" s="21" t="s">
        <v>141</v>
      </c>
      <c r="C101" s="21" t="s">
        <v>179</v>
      </c>
      <c r="D101" s="22">
        <v>241.0</v>
      </c>
      <c r="E101" s="22">
        <v>177.0</v>
      </c>
      <c r="F101" s="22">
        <f t="shared" si="2"/>
        <v>418</v>
      </c>
      <c r="G101" s="23">
        <f t="shared" si="3"/>
        <v>0.5765550239</v>
      </c>
      <c r="H101" s="23">
        <f t="shared" si="4"/>
        <v>0.4234449761</v>
      </c>
      <c r="I101" s="21" t="s">
        <v>73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21" t="s">
        <v>139</v>
      </c>
      <c r="B102" s="21" t="s">
        <v>141</v>
      </c>
      <c r="C102" s="21" t="s">
        <v>180</v>
      </c>
      <c r="D102" s="22">
        <v>221.0</v>
      </c>
      <c r="E102" s="22">
        <v>140.0</v>
      </c>
      <c r="F102" s="22">
        <f t="shared" si="2"/>
        <v>361</v>
      </c>
      <c r="G102" s="23">
        <f t="shared" si="3"/>
        <v>0.6121883657</v>
      </c>
      <c r="H102" s="23">
        <f t="shared" si="4"/>
        <v>0.3878116343</v>
      </c>
      <c r="I102" s="21" t="s">
        <v>73</v>
      </c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21" t="s">
        <v>139</v>
      </c>
      <c r="B103" s="21" t="s">
        <v>141</v>
      </c>
      <c r="C103" s="21" t="s">
        <v>181</v>
      </c>
      <c r="D103" s="22">
        <v>352.0</v>
      </c>
      <c r="E103" s="22">
        <v>243.0</v>
      </c>
      <c r="F103" s="22">
        <f t="shared" si="2"/>
        <v>595</v>
      </c>
      <c r="G103" s="23">
        <f t="shared" si="3"/>
        <v>0.5915966387</v>
      </c>
      <c r="H103" s="23">
        <f t="shared" si="4"/>
        <v>0.4084033613</v>
      </c>
      <c r="I103" s="21" t="s">
        <v>73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24" t="s">
        <v>139</v>
      </c>
      <c r="B104" s="24" t="s">
        <v>141</v>
      </c>
      <c r="C104" s="24" t="s">
        <v>182</v>
      </c>
      <c r="D104" s="25">
        <v>2799.0</v>
      </c>
      <c r="E104" s="25">
        <v>1709.0</v>
      </c>
      <c r="F104" s="25">
        <f t="shared" si="2"/>
        <v>4508</v>
      </c>
      <c r="G104" s="26">
        <f t="shared" si="3"/>
        <v>0.6208961846</v>
      </c>
      <c r="H104" s="26">
        <f t="shared" si="4"/>
        <v>0.3791038154</v>
      </c>
      <c r="I104" s="24" t="s">
        <v>83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21" t="s">
        <v>139</v>
      </c>
      <c r="B105" s="21" t="s">
        <v>141</v>
      </c>
      <c r="C105" s="21" t="s">
        <v>183</v>
      </c>
      <c r="D105" s="22">
        <v>406.0</v>
      </c>
      <c r="E105" s="22">
        <v>292.0</v>
      </c>
      <c r="F105" s="22">
        <f t="shared" si="2"/>
        <v>698</v>
      </c>
      <c r="G105" s="23">
        <f t="shared" si="3"/>
        <v>0.5816618911</v>
      </c>
      <c r="H105" s="23">
        <f t="shared" si="4"/>
        <v>0.4183381089</v>
      </c>
      <c r="I105" s="21" t="s">
        <v>73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21" t="s">
        <v>139</v>
      </c>
      <c r="B106" s="21" t="s">
        <v>141</v>
      </c>
      <c r="C106" s="21" t="s">
        <v>184</v>
      </c>
      <c r="D106" s="22">
        <v>142.0</v>
      </c>
      <c r="E106" s="22">
        <v>74.0</v>
      </c>
      <c r="F106" s="22">
        <f t="shared" si="2"/>
        <v>216</v>
      </c>
      <c r="G106" s="23">
        <f t="shared" si="3"/>
        <v>0.6574074074</v>
      </c>
      <c r="H106" s="23">
        <f t="shared" si="4"/>
        <v>0.3425925926</v>
      </c>
      <c r="I106" s="21" t="s">
        <v>73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21" t="s">
        <v>139</v>
      </c>
      <c r="B107" s="21" t="s">
        <v>141</v>
      </c>
      <c r="C107" s="21" t="s">
        <v>185</v>
      </c>
      <c r="D107" s="22">
        <v>208.0</v>
      </c>
      <c r="E107" s="22">
        <v>109.0</v>
      </c>
      <c r="F107" s="22">
        <f t="shared" si="2"/>
        <v>317</v>
      </c>
      <c r="G107" s="23">
        <f t="shared" si="3"/>
        <v>0.6561514196</v>
      </c>
      <c r="H107" s="23">
        <f t="shared" si="4"/>
        <v>0.3438485804</v>
      </c>
      <c r="I107" s="21" t="s">
        <v>73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21" t="s">
        <v>139</v>
      </c>
      <c r="B108" s="21" t="s">
        <v>141</v>
      </c>
      <c r="C108" s="21" t="s">
        <v>186</v>
      </c>
      <c r="D108" s="22">
        <v>345.0</v>
      </c>
      <c r="E108" s="22">
        <v>147.0</v>
      </c>
      <c r="F108" s="22">
        <f t="shared" si="2"/>
        <v>492</v>
      </c>
      <c r="G108" s="23">
        <f t="shared" si="3"/>
        <v>0.7012195122</v>
      </c>
      <c r="H108" s="23">
        <f t="shared" si="4"/>
        <v>0.2987804878</v>
      </c>
      <c r="I108" s="21" t="s">
        <v>73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21" t="s">
        <v>139</v>
      </c>
      <c r="B109" s="21" t="s">
        <v>141</v>
      </c>
      <c r="C109" s="21" t="s">
        <v>187</v>
      </c>
      <c r="D109" s="22">
        <v>124.0</v>
      </c>
      <c r="E109" s="22">
        <v>71.0</v>
      </c>
      <c r="F109" s="22">
        <f t="shared" si="2"/>
        <v>195</v>
      </c>
      <c r="G109" s="23">
        <f t="shared" si="3"/>
        <v>0.6358974359</v>
      </c>
      <c r="H109" s="23">
        <f t="shared" si="4"/>
        <v>0.3641025641</v>
      </c>
      <c r="I109" s="21" t="s">
        <v>73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21" t="s">
        <v>139</v>
      </c>
      <c r="B110" s="21" t="s">
        <v>141</v>
      </c>
      <c r="C110" s="21" t="s">
        <v>188</v>
      </c>
      <c r="D110" s="22">
        <v>166.0</v>
      </c>
      <c r="E110" s="22">
        <v>65.0</v>
      </c>
      <c r="F110" s="22">
        <f t="shared" si="2"/>
        <v>231</v>
      </c>
      <c r="G110" s="23">
        <f t="shared" si="3"/>
        <v>0.7186147186</v>
      </c>
      <c r="H110" s="23">
        <f t="shared" si="4"/>
        <v>0.2813852814</v>
      </c>
      <c r="I110" s="21" t="s">
        <v>73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21" t="s">
        <v>139</v>
      </c>
      <c r="B111" s="21" t="s">
        <v>141</v>
      </c>
      <c r="C111" s="21" t="s">
        <v>189</v>
      </c>
      <c r="D111" s="22">
        <v>26.0</v>
      </c>
      <c r="E111" s="22">
        <v>18.0</v>
      </c>
      <c r="F111" s="22">
        <f t="shared" si="2"/>
        <v>44</v>
      </c>
      <c r="G111" s="23">
        <f t="shared" si="3"/>
        <v>0.5909090909</v>
      </c>
      <c r="H111" s="23">
        <f t="shared" si="4"/>
        <v>0.4090909091</v>
      </c>
      <c r="I111" s="21" t="s">
        <v>73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21" t="s">
        <v>139</v>
      </c>
      <c r="B112" s="21" t="s">
        <v>141</v>
      </c>
      <c r="C112" s="21" t="s">
        <v>190</v>
      </c>
      <c r="D112" s="22">
        <v>157.0</v>
      </c>
      <c r="E112" s="22">
        <v>112.0</v>
      </c>
      <c r="F112" s="22">
        <f t="shared" si="2"/>
        <v>269</v>
      </c>
      <c r="G112" s="23">
        <f t="shared" si="3"/>
        <v>0.5836431227</v>
      </c>
      <c r="H112" s="23">
        <f t="shared" si="4"/>
        <v>0.4163568773</v>
      </c>
      <c r="I112" s="21" t="s">
        <v>73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21" t="s">
        <v>139</v>
      </c>
      <c r="B113" s="21" t="s">
        <v>141</v>
      </c>
      <c r="C113" s="21" t="s">
        <v>191</v>
      </c>
      <c r="D113" s="22">
        <v>227.0</v>
      </c>
      <c r="E113" s="22">
        <v>104.0</v>
      </c>
      <c r="F113" s="22">
        <f t="shared" si="2"/>
        <v>331</v>
      </c>
      <c r="G113" s="23">
        <f t="shared" si="3"/>
        <v>0.6858006042</v>
      </c>
      <c r="H113" s="23">
        <f t="shared" si="4"/>
        <v>0.3141993958</v>
      </c>
      <c r="I113" s="21" t="s">
        <v>73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21" t="s">
        <v>139</v>
      </c>
      <c r="B114" s="21" t="s">
        <v>141</v>
      </c>
      <c r="C114" s="21" t="s">
        <v>192</v>
      </c>
      <c r="D114" s="22">
        <v>66.0</v>
      </c>
      <c r="E114" s="22">
        <v>27.0</v>
      </c>
      <c r="F114" s="22">
        <f t="shared" si="2"/>
        <v>93</v>
      </c>
      <c r="G114" s="23">
        <f t="shared" si="3"/>
        <v>0.7096774194</v>
      </c>
      <c r="H114" s="23">
        <f t="shared" si="4"/>
        <v>0.2903225806</v>
      </c>
      <c r="I114" s="21" t="s">
        <v>73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21" t="s">
        <v>139</v>
      </c>
      <c r="B115" s="21" t="s">
        <v>141</v>
      </c>
      <c r="C115" s="21" t="s">
        <v>193</v>
      </c>
      <c r="D115" s="22">
        <v>63.0</v>
      </c>
      <c r="E115" s="22">
        <v>27.0</v>
      </c>
      <c r="F115" s="22">
        <f t="shared" si="2"/>
        <v>90</v>
      </c>
      <c r="G115" s="23">
        <f t="shared" si="3"/>
        <v>0.7</v>
      </c>
      <c r="H115" s="23">
        <f t="shared" si="4"/>
        <v>0.3</v>
      </c>
      <c r="I115" s="21" t="s">
        <v>73</v>
      </c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21" t="s">
        <v>139</v>
      </c>
      <c r="B116" s="21" t="s">
        <v>141</v>
      </c>
      <c r="C116" s="21" t="s">
        <v>194</v>
      </c>
      <c r="D116" s="22">
        <v>153.0</v>
      </c>
      <c r="E116" s="22">
        <v>65.0</v>
      </c>
      <c r="F116" s="22">
        <f t="shared" si="2"/>
        <v>218</v>
      </c>
      <c r="G116" s="23">
        <f t="shared" si="3"/>
        <v>0.7018348624</v>
      </c>
      <c r="H116" s="23">
        <f t="shared" si="4"/>
        <v>0.2981651376</v>
      </c>
      <c r="I116" s="21" t="s">
        <v>73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21" t="s">
        <v>139</v>
      </c>
      <c r="B117" s="21" t="s">
        <v>141</v>
      </c>
      <c r="C117" s="21" t="s">
        <v>195</v>
      </c>
      <c r="D117" s="22">
        <v>276.0</v>
      </c>
      <c r="E117" s="22">
        <v>165.0</v>
      </c>
      <c r="F117" s="22">
        <f t="shared" si="2"/>
        <v>441</v>
      </c>
      <c r="G117" s="23">
        <f t="shared" si="3"/>
        <v>0.6258503401</v>
      </c>
      <c r="H117" s="23">
        <f t="shared" si="4"/>
        <v>0.3741496599</v>
      </c>
      <c r="I117" s="21" t="s">
        <v>73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21" t="s">
        <v>139</v>
      </c>
      <c r="B118" s="21" t="s">
        <v>141</v>
      </c>
      <c r="C118" s="21" t="s">
        <v>196</v>
      </c>
      <c r="D118" s="22">
        <v>110.0</v>
      </c>
      <c r="E118" s="22">
        <v>61.0</v>
      </c>
      <c r="F118" s="22">
        <f t="shared" si="2"/>
        <v>171</v>
      </c>
      <c r="G118" s="23">
        <f t="shared" si="3"/>
        <v>0.6432748538</v>
      </c>
      <c r="H118" s="23">
        <f t="shared" si="4"/>
        <v>0.3567251462</v>
      </c>
      <c r="I118" s="21" t="s">
        <v>73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21" t="s">
        <v>139</v>
      </c>
      <c r="B119" s="21" t="s">
        <v>141</v>
      </c>
      <c r="C119" s="21" t="s">
        <v>197</v>
      </c>
      <c r="D119" s="22">
        <v>84.0</v>
      </c>
      <c r="E119" s="22">
        <v>51.0</v>
      </c>
      <c r="F119" s="22">
        <f t="shared" si="2"/>
        <v>135</v>
      </c>
      <c r="G119" s="23">
        <f t="shared" si="3"/>
        <v>0.6222222222</v>
      </c>
      <c r="H119" s="23">
        <f t="shared" si="4"/>
        <v>0.3777777778</v>
      </c>
      <c r="I119" s="21" t="s">
        <v>73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21" t="s">
        <v>139</v>
      </c>
      <c r="B120" s="21" t="s">
        <v>141</v>
      </c>
      <c r="C120" s="21" t="s">
        <v>198</v>
      </c>
      <c r="D120" s="22">
        <v>206.0</v>
      </c>
      <c r="E120" s="22">
        <v>125.0</v>
      </c>
      <c r="F120" s="22">
        <f t="shared" si="2"/>
        <v>331</v>
      </c>
      <c r="G120" s="23">
        <f t="shared" si="3"/>
        <v>0.6223564955</v>
      </c>
      <c r="H120" s="23">
        <f t="shared" si="4"/>
        <v>0.3776435045</v>
      </c>
      <c r="I120" s="21" t="s">
        <v>73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21" t="s">
        <v>139</v>
      </c>
      <c r="B121" s="21" t="s">
        <v>141</v>
      </c>
      <c r="C121" s="21" t="s">
        <v>199</v>
      </c>
      <c r="D121" s="22">
        <v>162.0</v>
      </c>
      <c r="E121" s="22">
        <v>85.0</v>
      </c>
      <c r="F121" s="22">
        <f t="shared" si="2"/>
        <v>247</v>
      </c>
      <c r="G121" s="23">
        <f t="shared" si="3"/>
        <v>0.6558704453</v>
      </c>
      <c r="H121" s="23">
        <f t="shared" si="4"/>
        <v>0.3441295547</v>
      </c>
      <c r="I121" s="21" t="s">
        <v>73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21" t="s">
        <v>139</v>
      </c>
      <c r="B122" s="21" t="s">
        <v>200</v>
      </c>
      <c r="C122" s="21" t="s">
        <v>201</v>
      </c>
      <c r="D122" s="22">
        <v>490.0</v>
      </c>
      <c r="E122" s="22">
        <v>210.0</v>
      </c>
      <c r="F122" s="22">
        <f t="shared" si="2"/>
        <v>700</v>
      </c>
      <c r="G122" s="23">
        <f t="shared" si="3"/>
        <v>0.7</v>
      </c>
      <c r="H122" s="23">
        <f t="shared" si="4"/>
        <v>0.3</v>
      </c>
      <c r="I122" s="21" t="s">
        <v>73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21" t="s">
        <v>139</v>
      </c>
      <c r="B123" s="21" t="s">
        <v>200</v>
      </c>
      <c r="C123" s="21" t="s">
        <v>202</v>
      </c>
      <c r="D123" s="22">
        <v>314.0</v>
      </c>
      <c r="E123" s="22">
        <v>179.0</v>
      </c>
      <c r="F123" s="22">
        <f t="shared" si="2"/>
        <v>493</v>
      </c>
      <c r="G123" s="23">
        <f t="shared" si="3"/>
        <v>0.6369168357</v>
      </c>
      <c r="H123" s="23">
        <f t="shared" si="4"/>
        <v>0.3630831643</v>
      </c>
      <c r="I123" s="21" t="s">
        <v>73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21" t="s">
        <v>139</v>
      </c>
      <c r="B124" s="21" t="s">
        <v>200</v>
      </c>
      <c r="C124" s="21" t="s">
        <v>203</v>
      </c>
      <c r="D124" s="22">
        <v>386.0</v>
      </c>
      <c r="E124" s="22">
        <v>157.0</v>
      </c>
      <c r="F124" s="22">
        <f t="shared" si="2"/>
        <v>543</v>
      </c>
      <c r="G124" s="23">
        <f t="shared" si="3"/>
        <v>0.7108655617</v>
      </c>
      <c r="H124" s="23">
        <f t="shared" si="4"/>
        <v>0.2891344383</v>
      </c>
      <c r="I124" s="21" t="s">
        <v>73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21" t="s">
        <v>139</v>
      </c>
      <c r="B125" s="21" t="s">
        <v>200</v>
      </c>
      <c r="C125" s="21" t="s">
        <v>204</v>
      </c>
      <c r="D125" s="22">
        <v>451.0</v>
      </c>
      <c r="E125" s="22">
        <v>223.0</v>
      </c>
      <c r="F125" s="22">
        <f t="shared" si="2"/>
        <v>674</v>
      </c>
      <c r="G125" s="23">
        <f t="shared" si="3"/>
        <v>0.6691394659</v>
      </c>
      <c r="H125" s="23">
        <f t="shared" si="4"/>
        <v>0.3308605341</v>
      </c>
      <c r="I125" s="21" t="s">
        <v>73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21" t="s">
        <v>139</v>
      </c>
      <c r="B126" s="21" t="s">
        <v>200</v>
      </c>
      <c r="C126" s="21" t="s">
        <v>205</v>
      </c>
      <c r="D126" s="22">
        <v>602.0</v>
      </c>
      <c r="E126" s="22">
        <v>330.0</v>
      </c>
      <c r="F126" s="22">
        <f t="shared" si="2"/>
        <v>932</v>
      </c>
      <c r="G126" s="23">
        <f t="shared" si="3"/>
        <v>0.6459227468</v>
      </c>
      <c r="H126" s="23">
        <f t="shared" si="4"/>
        <v>0.3540772532</v>
      </c>
      <c r="I126" s="21" t="s">
        <v>73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21" t="s">
        <v>139</v>
      </c>
      <c r="B127" s="21" t="s">
        <v>200</v>
      </c>
      <c r="C127" s="21" t="s">
        <v>206</v>
      </c>
      <c r="D127" s="22">
        <v>412.0</v>
      </c>
      <c r="E127" s="22">
        <v>269.0</v>
      </c>
      <c r="F127" s="22">
        <f t="shared" si="2"/>
        <v>681</v>
      </c>
      <c r="G127" s="23">
        <f t="shared" si="3"/>
        <v>0.6049926579</v>
      </c>
      <c r="H127" s="23">
        <f t="shared" si="4"/>
        <v>0.3950073421</v>
      </c>
      <c r="I127" s="21" t="s">
        <v>73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21" t="s">
        <v>139</v>
      </c>
      <c r="B128" s="21" t="s">
        <v>200</v>
      </c>
      <c r="C128" s="21" t="s">
        <v>207</v>
      </c>
      <c r="D128" s="22">
        <v>497.0</v>
      </c>
      <c r="E128" s="22">
        <v>313.0</v>
      </c>
      <c r="F128" s="22">
        <f t="shared" si="2"/>
        <v>810</v>
      </c>
      <c r="G128" s="23">
        <f t="shared" si="3"/>
        <v>0.6135802469</v>
      </c>
      <c r="H128" s="23">
        <f t="shared" si="4"/>
        <v>0.3864197531</v>
      </c>
      <c r="I128" s="21" t="s">
        <v>73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21" t="s">
        <v>139</v>
      </c>
      <c r="B129" s="21" t="s">
        <v>200</v>
      </c>
      <c r="C129" s="21" t="s">
        <v>208</v>
      </c>
      <c r="D129" s="22">
        <v>625.0</v>
      </c>
      <c r="E129" s="22">
        <v>409.0</v>
      </c>
      <c r="F129" s="22">
        <f t="shared" si="2"/>
        <v>1034</v>
      </c>
      <c r="G129" s="23">
        <f t="shared" si="3"/>
        <v>0.6044487427</v>
      </c>
      <c r="H129" s="23">
        <f t="shared" si="4"/>
        <v>0.3955512573</v>
      </c>
      <c r="I129" s="21" t="s">
        <v>73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21" t="s">
        <v>139</v>
      </c>
      <c r="B130" s="21" t="s">
        <v>200</v>
      </c>
      <c r="C130" s="21" t="s">
        <v>209</v>
      </c>
      <c r="D130" s="22">
        <v>412.0</v>
      </c>
      <c r="E130" s="22">
        <v>284.0</v>
      </c>
      <c r="F130" s="22">
        <f t="shared" si="2"/>
        <v>696</v>
      </c>
      <c r="G130" s="23">
        <f t="shared" si="3"/>
        <v>0.591954023</v>
      </c>
      <c r="H130" s="23">
        <f t="shared" si="4"/>
        <v>0.408045977</v>
      </c>
      <c r="I130" s="21" t="s">
        <v>73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21" t="s">
        <v>139</v>
      </c>
      <c r="B131" s="21" t="s">
        <v>200</v>
      </c>
      <c r="C131" s="21" t="s">
        <v>210</v>
      </c>
      <c r="D131" s="22">
        <v>372.0</v>
      </c>
      <c r="E131" s="22">
        <v>312.0</v>
      </c>
      <c r="F131" s="22">
        <f t="shared" si="2"/>
        <v>684</v>
      </c>
      <c r="G131" s="23">
        <f t="shared" si="3"/>
        <v>0.5438596491</v>
      </c>
      <c r="H131" s="23">
        <f t="shared" si="4"/>
        <v>0.4561403509</v>
      </c>
      <c r="I131" s="21" t="s">
        <v>73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21" t="s">
        <v>139</v>
      </c>
      <c r="B132" s="21" t="s">
        <v>200</v>
      </c>
      <c r="C132" s="21" t="s">
        <v>211</v>
      </c>
      <c r="D132" s="22">
        <v>447.0</v>
      </c>
      <c r="E132" s="22">
        <v>268.0</v>
      </c>
      <c r="F132" s="22">
        <f t="shared" si="2"/>
        <v>715</v>
      </c>
      <c r="G132" s="23">
        <f t="shared" si="3"/>
        <v>0.6251748252</v>
      </c>
      <c r="H132" s="23">
        <f t="shared" si="4"/>
        <v>0.3748251748</v>
      </c>
      <c r="I132" s="21" t="s">
        <v>73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21" t="s">
        <v>139</v>
      </c>
      <c r="B133" s="21" t="s">
        <v>200</v>
      </c>
      <c r="C133" s="21" t="s">
        <v>212</v>
      </c>
      <c r="D133" s="22">
        <v>494.0</v>
      </c>
      <c r="E133" s="22">
        <v>326.0</v>
      </c>
      <c r="F133" s="22">
        <f t="shared" si="2"/>
        <v>820</v>
      </c>
      <c r="G133" s="23">
        <f t="shared" si="3"/>
        <v>0.6024390244</v>
      </c>
      <c r="H133" s="23">
        <f t="shared" si="4"/>
        <v>0.3975609756</v>
      </c>
      <c r="I133" s="21" t="s">
        <v>73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21" t="s">
        <v>139</v>
      </c>
      <c r="B134" s="21" t="s">
        <v>213</v>
      </c>
      <c r="C134" s="21" t="s">
        <v>214</v>
      </c>
      <c r="D134" s="22">
        <v>388.0</v>
      </c>
      <c r="E134" s="22">
        <v>357.0</v>
      </c>
      <c r="F134" s="22">
        <f t="shared" si="2"/>
        <v>745</v>
      </c>
      <c r="G134" s="23">
        <f t="shared" si="3"/>
        <v>0.5208053691</v>
      </c>
      <c r="H134" s="23">
        <f t="shared" si="4"/>
        <v>0.4791946309</v>
      </c>
      <c r="I134" s="21" t="s">
        <v>73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21" t="s">
        <v>139</v>
      </c>
      <c r="B135" s="21" t="s">
        <v>213</v>
      </c>
      <c r="C135" s="21" t="s">
        <v>215</v>
      </c>
      <c r="D135" s="22">
        <v>325.0</v>
      </c>
      <c r="E135" s="22">
        <v>366.0</v>
      </c>
      <c r="F135" s="22">
        <f t="shared" si="2"/>
        <v>691</v>
      </c>
      <c r="G135" s="23">
        <f t="shared" si="3"/>
        <v>0.4703328509</v>
      </c>
      <c r="H135" s="23">
        <f t="shared" si="4"/>
        <v>0.5296671491</v>
      </c>
      <c r="I135" s="21" t="s">
        <v>73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21" t="s">
        <v>139</v>
      </c>
      <c r="B136" s="21" t="s">
        <v>213</v>
      </c>
      <c r="C136" s="21" t="s">
        <v>216</v>
      </c>
      <c r="D136" s="22">
        <v>394.0</v>
      </c>
      <c r="E136" s="22">
        <v>432.0</v>
      </c>
      <c r="F136" s="22">
        <f t="shared" si="2"/>
        <v>826</v>
      </c>
      <c r="G136" s="23">
        <f t="shared" si="3"/>
        <v>0.4769975787</v>
      </c>
      <c r="H136" s="23">
        <f t="shared" si="4"/>
        <v>0.5230024213</v>
      </c>
      <c r="I136" s="21" t="s">
        <v>73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21" t="s">
        <v>139</v>
      </c>
      <c r="B137" s="21" t="s">
        <v>217</v>
      </c>
      <c r="C137" s="21" t="s">
        <v>217</v>
      </c>
      <c r="D137" s="22">
        <v>687.0</v>
      </c>
      <c r="E137" s="22">
        <v>792.0</v>
      </c>
      <c r="F137" s="22">
        <f t="shared" si="2"/>
        <v>1479</v>
      </c>
      <c r="G137" s="23">
        <f t="shared" si="3"/>
        <v>0.4645030426</v>
      </c>
      <c r="H137" s="23">
        <f t="shared" si="4"/>
        <v>0.5354969574</v>
      </c>
      <c r="I137" s="21" t="s">
        <v>73</v>
      </c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21" t="s">
        <v>139</v>
      </c>
      <c r="B138" s="21" t="s">
        <v>218</v>
      </c>
      <c r="C138" s="21" t="s">
        <v>219</v>
      </c>
      <c r="D138" s="22">
        <v>275.0</v>
      </c>
      <c r="E138" s="22">
        <v>309.0</v>
      </c>
      <c r="F138" s="22">
        <f t="shared" si="2"/>
        <v>584</v>
      </c>
      <c r="G138" s="23">
        <f t="shared" si="3"/>
        <v>0.470890411</v>
      </c>
      <c r="H138" s="23">
        <f t="shared" si="4"/>
        <v>0.529109589</v>
      </c>
      <c r="I138" s="21" t="s">
        <v>73</v>
      </c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21" t="s">
        <v>139</v>
      </c>
      <c r="B139" s="21" t="s">
        <v>218</v>
      </c>
      <c r="C139" s="21" t="s">
        <v>220</v>
      </c>
      <c r="D139" s="22">
        <v>414.0</v>
      </c>
      <c r="E139" s="22">
        <v>421.0</v>
      </c>
      <c r="F139" s="22">
        <f t="shared" si="2"/>
        <v>835</v>
      </c>
      <c r="G139" s="23">
        <f t="shared" si="3"/>
        <v>0.4958083832</v>
      </c>
      <c r="H139" s="23">
        <f t="shared" si="4"/>
        <v>0.5041916168</v>
      </c>
      <c r="I139" s="21" t="s">
        <v>73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21" t="s">
        <v>139</v>
      </c>
      <c r="B140" s="21" t="s">
        <v>221</v>
      </c>
      <c r="C140" s="21" t="s">
        <v>222</v>
      </c>
      <c r="D140" s="22">
        <v>498.0</v>
      </c>
      <c r="E140" s="22">
        <v>456.0</v>
      </c>
      <c r="F140" s="22">
        <f t="shared" si="2"/>
        <v>954</v>
      </c>
      <c r="G140" s="23">
        <f t="shared" si="3"/>
        <v>0.5220125786</v>
      </c>
      <c r="H140" s="23">
        <f t="shared" si="4"/>
        <v>0.4779874214</v>
      </c>
      <c r="I140" s="21" t="s">
        <v>73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21" t="s">
        <v>139</v>
      </c>
      <c r="B141" s="21" t="s">
        <v>221</v>
      </c>
      <c r="C141" s="21" t="s">
        <v>223</v>
      </c>
      <c r="D141" s="22">
        <v>475.0</v>
      </c>
      <c r="E141" s="22">
        <v>415.0</v>
      </c>
      <c r="F141" s="22">
        <f t="shared" si="2"/>
        <v>890</v>
      </c>
      <c r="G141" s="23">
        <f t="shared" si="3"/>
        <v>0.5337078652</v>
      </c>
      <c r="H141" s="23">
        <f t="shared" si="4"/>
        <v>0.4662921348</v>
      </c>
      <c r="I141" s="21" t="s">
        <v>73</v>
      </c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21" t="s">
        <v>139</v>
      </c>
      <c r="B142" s="21" t="s">
        <v>221</v>
      </c>
      <c r="C142" s="21" t="s">
        <v>224</v>
      </c>
      <c r="D142" s="22">
        <v>605.0</v>
      </c>
      <c r="E142" s="22">
        <v>571.0</v>
      </c>
      <c r="F142" s="22">
        <f t="shared" si="2"/>
        <v>1176</v>
      </c>
      <c r="G142" s="23">
        <f t="shared" si="3"/>
        <v>0.5144557823</v>
      </c>
      <c r="H142" s="23">
        <f t="shared" si="4"/>
        <v>0.4855442177</v>
      </c>
      <c r="I142" s="21" t="s">
        <v>73</v>
      </c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21" t="s">
        <v>139</v>
      </c>
      <c r="B143" s="21" t="s">
        <v>221</v>
      </c>
      <c r="C143" s="21" t="s">
        <v>225</v>
      </c>
      <c r="D143" s="22">
        <v>556.0</v>
      </c>
      <c r="E143" s="22">
        <v>478.0</v>
      </c>
      <c r="F143" s="22">
        <f t="shared" si="2"/>
        <v>1034</v>
      </c>
      <c r="G143" s="23">
        <f t="shared" si="3"/>
        <v>0.5377176015</v>
      </c>
      <c r="H143" s="23">
        <f t="shared" si="4"/>
        <v>0.4622823985</v>
      </c>
      <c r="I143" s="21" t="s">
        <v>73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21" t="s">
        <v>139</v>
      </c>
      <c r="B144" s="21" t="s">
        <v>221</v>
      </c>
      <c r="C144" s="21" t="s">
        <v>226</v>
      </c>
      <c r="D144" s="22">
        <v>306.0</v>
      </c>
      <c r="E144" s="22">
        <v>312.0</v>
      </c>
      <c r="F144" s="22">
        <f t="shared" si="2"/>
        <v>618</v>
      </c>
      <c r="G144" s="23">
        <f t="shared" si="3"/>
        <v>0.4951456311</v>
      </c>
      <c r="H144" s="23">
        <f t="shared" si="4"/>
        <v>0.5048543689</v>
      </c>
      <c r="I144" s="21" t="s">
        <v>73</v>
      </c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21" t="s">
        <v>139</v>
      </c>
      <c r="B145" s="21" t="s">
        <v>221</v>
      </c>
      <c r="C145" s="21" t="s">
        <v>227</v>
      </c>
      <c r="D145" s="22">
        <v>643.0</v>
      </c>
      <c r="E145" s="22">
        <v>464.0</v>
      </c>
      <c r="F145" s="22">
        <f t="shared" si="2"/>
        <v>1107</v>
      </c>
      <c r="G145" s="23">
        <f t="shared" si="3"/>
        <v>0.5808491418</v>
      </c>
      <c r="H145" s="23">
        <f t="shared" si="4"/>
        <v>0.4191508582</v>
      </c>
      <c r="I145" s="21" t="s">
        <v>73</v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21" t="s">
        <v>139</v>
      </c>
      <c r="B146" s="21" t="s">
        <v>228</v>
      </c>
      <c r="C146" s="21" t="s">
        <v>229</v>
      </c>
      <c r="D146" s="22">
        <v>379.0</v>
      </c>
      <c r="E146" s="22">
        <v>196.0</v>
      </c>
      <c r="F146" s="22">
        <f t="shared" si="2"/>
        <v>575</v>
      </c>
      <c r="G146" s="23">
        <f t="shared" si="3"/>
        <v>0.6591304348</v>
      </c>
      <c r="H146" s="23">
        <f t="shared" si="4"/>
        <v>0.3408695652</v>
      </c>
      <c r="I146" s="21" t="s">
        <v>73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21" t="s">
        <v>139</v>
      </c>
      <c r="B147" s="21" t="s">
        <v>228</v>
      </c>
      <c r="C147" s="21" t="s">
        <v>230</v>
      </c>
      <c r="D147" s="22">
        <v>273.0</v>
      </c>
      <c r="E147" s="22">
        <v>172.0</v>
      </c>
      <c r="F147" s="22">
        <f t="shared" si="2"/>
        <v>445</v>
      </c>
      <c r="G147" s="23">
        <f t="shared" si="3"/>
        <v>0.6134831461</v>
      </c>
      <c r="H147" s="23">
        <f t="shared" si="4"/>
        <v>0.3865168539</v>
      </c>
      <c r="I147" s="21" t="s">
        <v>73</v>
      </c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21" t="s">
        <v>139</v>
      </c>
      <c r="B148" s="21" t="s">
        <v>228</v>
      </c>
      <c r="C148" s="21" t="s">
        <v>231</v>
      </c>
      <c r="D148" s="22">
        <v>344.0</v>
      </c>
      <c r="E148" s="22">
        <v>194.0</v>
      </c>
      <c r="F148" s="22">
        <f t="shared" si="2"/>
        <v>538</v>
      </c>
      <c r="G148" s="23">
        <f t="shared" si="3"/>
        <v>0.6394052045</v>
      </c>
      <c r="H148" s="23">
        <f t="shared" si="4"/>
        <v>0.3605947955</v>
      </c>
      <c r="I148" s="21" t="s">
        <v>73</v>
      </c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21" t="s">
        <v>139</v>
      </c>
      <c r="B149" s="21" t="s">
        <v>232</v>
      </c>
      <c r="C149" s="21" t="s">
        <v>232</v>
      </c>
      <c r="D149" s="22">
        <v>228.0</v>
      </c>
      <c r="E149" s="22">
        <v>214.0</v>
      </c>
      <c r="F149" s="22">
        <f t="shared" si="2"/>
        <v>442</v>
      </c>
      <c r="G149" s="23">
        <f t="shared" si="3"/>
        <v>0.5158371041</v>
      </c>
      <c r="H149" s="23">
        <f t="shared" si="4"/>
        <v>0.4841628959</v>
      </c>
      <c r="I149" s="21" t="s">
        <v>73</v>
      </c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21" t="s">
        <v>139</v>
      </c>
      <c r="B150" s="21" t="s">
        <v>233</v>
      </c>
      <c r="C150" s="21" t="s">
        <v>233</v>
      </c>
      <c r="D150" s="22">
        <v>543.0</v>
      </c>
      <c r="E150" s="22">
        <v>1283.0</v>
      </c>
      <c r="F150" s="22">
        <f t="shared" si="2"/>
        <v>1826</v>
      </c>
      <c r="G150" s="23">
        <f t="shared" si="3"/>
        <v>0.2973713034</v>
      </c>
      <c r="H150" s="23">
        <f t="shared" si="4"/>
        <v>0.7026286966</v>
      </c>
      <c r="I150" s="21" t="s">
        <v>73</v>
      </c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21" t="s">
        <v>139</v>
      </c>
      <c r="B151" s="21" t="s">
        <v>234</v>
      </c>
      <c r="C151" s="21" t="s">
        <v>235</v>
      </c>
      <c r="D151" s="22">
        <v>820.0</v>
      </c>
      <c r="E151" s="22">
        <v>874.0</v>
      </c>
      <c r="F151" s="22">
        <f t="shared" si="2"/>
        <v>1694</v>
      </c>
      <c r="G151" s="23">
        <f t="shared" si="3"/>
        <v>0.4840613932</v>
      </c>
      <c r="H151" s="23">
        <f t="shared" si="4"/>
        <v>0.5159386068</v>
      </c>
      <c r="I151" s="21" t="s">
        <v>73</v>
      </c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21" t="s">
        <v>139</v>
      </c>
      <c r="B152" s="21" t="s">
        <v>234</v>
      </c>
      <c r="C152" s="21" t="s">
        <v>236</v>
      </c>
      <c r="D152" s="22">
        <v>910.0</v>
      </c>
      <c r="E152" s="22">
        <v>894.0</v>
      </c>
      <c r="F152" s="22">
        <f t="shared" si="2"/>
        <v>1804</v>
      </c>
      <c r="G152" s="23">
        <f t="shared" si="3"/>
        <v>0.5044345898</v>
      </c>
      <c r="H152" s="23">
        <f t="shared" si="4"/>
        <v>0.4955654102</v>
      </c>
      <c r="I152" s="21" t="s">
        <v>73</v>
      </c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21" t="s">
        <v>139</v>
      </c>
      <c r="B153" s="21" t="s">
        <v>234</v>
      </c>
      <c r="C153" s="21" t="s">
        <v>237</v>
      </c>
      <c r="D153" s="22">
        <v>1633.0</v>
      </c>
      <c r="E153" s="22">
        <v>1615.0</v>
      </c>
      <c r="F153" s="22">
        <f t="shared" si="2"/>
        <v>3248</v>
      </c>
      <c r="G153" s="23">
        <f t="shared" si="3"/>
        <v>0.502770936</v>
      </c>
      <c r="H153" s="23">
        <f t="shared" si="4"/>
        <v>0.497229064</v>
      </c>
      <c r="I153" s="21" t="s">
        <v>73</v>
      </c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21" t="s">
        <v>139</v>
      </c>
      <c r="B154" s="21" t="s">
        <v>234</v>
      </c>
      <c r="C154" s="21" t="s">
        <v>238</v>
      </c>
      <c r="D154" s="22">
        <v>819.0</v>
      </c>
      <c r="E154" s="22">
        <v>880.0</v>
      </c>
      <c r="F154" s="22">
        <f t="shared" si="2"/>
        <v>1699</v>
      </c>
      <c r="G154" s="23">
        <f t="shared" si="3"/>
        <v>0.4820482637</v>
      </c>
      <c r="H154" s="23">
        <f t="shared" si="4"/>
        <v>0.5179517363</v>
      </c>
      <c r="I154" s="21" t="s">
        <v>73</v>
      </c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21" t="s">
        <v>139</v>
      </c>
      <c r="B155" s="21" t="s">
        <v>234</v>
      </c>
      <c r="C155" s="21" t="s">
        <v>239</v>
      </c>
      <c r="D155" s="22">
        <v>693.0</v>
      </c>
      <c r="E155" s="22">
        <v>747.0</v>
      </c>
      <c r="F155" s="22">
        <f t="shared" si="2"/>
        <v>1440</v>
      </c>
      <c r="G155" s="23">
        <f t="shared" si="3"/>
        <v>0.48125</v>
      </c>
      <c r="H155" s="23">
        <f t="shared" si="4"/>
        <v>0.51875</v>
      </c>
      <c r="I155" s="21" t="s">
        <v>73</v>
      </c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21" t="s">
        <v>139</v>
      </c>
      <c r="B156" s="21" t="s">
        <v>234</v>
      </c>
      <c r="C156" s="21" t="s">
        <v>240</v>
      </c>
      <c r="D156" s="22">
        <v>705.0</v>
      </c>
      <c r="E156" s="22">
        <v>632.0</v>
      </c>
      <c r="F156" s="22">
        <f t="shared" si="2"/>
        <v>1337</v>
      </c>
      <c r="G156" s="23">
        <f t="shared" si="3"/>
        <v>0.5272999252</v>
      </c>
      <c r="H156" s="23">
        <f t="shared" si="4"/>
        <v>0.4727000748</v>
      </c>
      <c r="I156" s="21" t="s">
        <v>73</v>
      </c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21" t="s">
        <v>139</v>
      </c>
      <c r="B157" s="21" t="s">
        <v>234</v>
      </c>
      <c r="C157" s="21" t="s">
        <v>241</v>
      </c>
      <c r="D157" s="22">
        <v>1231.0</v>
      </c>
      <c r="E157" s="22">
        <v>1410.0</v>
      </c>
      <c r="F157" s="22">
        <f t="shared" si="2"/>
        <v>2641</v>
      </c>
      <c r="G157" s="23">
        <f t="shared" si="3"/>
        <v>0.4661113215</v>
      </c>
      <c r="H157" s="23">
        <f t="shared" si="4"/>
        <v>0.5338886785</v>
      </c>
      <c r="I157" s="21" t="s">
        <v>73</v>
      </c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21" t="s">
        <v>139</v>
      </c>
      <c r="B158" s="21" t="s">
        <v>234</v>
      </c>
      <c r="C158" s="21" t="s">
        <v>242</v>
      </c>
      <c r="D158" s="22">
        <v>794.0</v>
      </c>
      <c r="E158" s="22">
        <v>659.0</v>
      </c>
      <c r="F158" s="22">
        <f t="shared" si="2"/>
        <v>1453</v>
      </c>
      <c r="G158" s="23">
        <f t="shared" si="3"/>
        <v>0.5464556091</v>
      </c>
      <c r="H158" s="23">
        <f t="shared" si="4"/>
        <v>0.4535443909</v>
      </c>
      <c r="I158" s="21" t="s">
        <v>73</v>
      </c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21" t="s">
        <v>139</v>
      </c>
      <c r="B159" s="21" t="s">
        <v>234</v>
      </c>
      <c r="C159" s="21" t="s">
        <v>243</v>
      </c>
      <c r="D159" s="22">
        <v>825.0</v>
      </c>
      <c r="E159" s="22">
        <v>734.0</v>
      </c>
      <c r="F159" s="22">
        <f t="shared" si="2"/>
        <v>1559</v>
      </c>
      <c r="G159" s="23">
        <f t="shared" si="3"/>
        <v>0.5291853752</v>
      </c>
      <c r="H159" s="23">
        <f t="shared" si="4"/>
        <v>0.4708146248</v>
      </c>
      <c r="I159" s="21" t="s">
        <v>73</v>
      </c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21" t="s">
        <v>139</v>
      </c>
      <c r="B160" s="21" t="s">
        <v>234</v>
      </c>
      <c r="C160" s="21" t="s">
        <v>244</v>
      </c>
      <c r="D160" s="22">
        <v>490.0</v>
      </c>
      <c r="E160" s="22">
        <v>459.0</v>
      </c>
      <c r="F160" s="22">
        <f t="shared" si="2"/>
        <v>949</v>
      </c>
      <c r="G160" s="23">
        <f t="shared" si="3"/>
        <v>0.5163329821</v>
      </c>
      <c r="H160" s="23">
        <f t="shared" si="4"/>
        <v>0.4836670179</v>
      </c>
      <c r="I160" s="21" t="s">
        <v>73</v>
      </c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21" t="s">
        <v>139</v>
      </c>
      <c r="B161" s="21" t="s">
        <v>245</v>
      </c>
      <c r="C161" s="21" t="s">
        <v>245</v>
      </c>
      <c r="D161" s="22">
        <v>940.0</v>
      </c>
      <c r="E161" s="22">
        <v>1530.0</v>
      </c>
      <c r="F161" s="22">
        <f t="shared" si="2"/>
        <v>2470</v>
      </c>
      <c r="G161" s="23">
        <f t="shared" si="3"/>
        <v>0.3805668016</v>
      </c>
      <c r="H161" s="23">
        <f t="shared" si="4"/>
        <v>0.6194331984</v>
      </c>
      <c r="I161" s="21" t="s">
        <v>73</v>
      </c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21" t="s">
        <v>139</v>
      </c>
      <c r="B162" s="21" t="s">
        <v>246</v>
      </c>
      <c r="C162" s="21" t="s">
        <v>246</v>
      </c>
      <c r="D162" s="22">
        <v>475.0</v>
      </c>
      <c r="E162" s="22">
        <v>868.0</v>
      </c>
      <c r="F162" s="22">
        <f t="shared" si="2"/>
        <v>1343</v>
      </c>
      <c r="G162" s="23">
        <f t="shared" si="3"/>
        <v>0.3536857781</v>
      </c>
      <c r="H162" s="23">
        <f t="shared" si="4"/>
        <v>0.6463142219</v>
      </c>
      <c r="I162" s="21" t="s">
        <v>73</v>
      </c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21" t="s">
        <v>139</v>
      </c>
      <c r="B163" s="21" t="s">
        <v>247</v>
      </c>
      <c r="C163" s="21" t="s">
        <v>248</v>
      </c>
      <c r="D163" s="22">
        <v>184.0</v>
      </c>
      <c r="E163" s="22">
        <v>471.0</v>
      </c>
      <c r="F163" s="22">
        <f t="shared" si="2"/>
        <v>655</v>
      </c>
      <c r="G163" s="23">
        <f t="shared" si="3"/>
        <v>0.2809160305</v>
      </c>
      <c r="H163" s="23">
        <f t="shared" si="4"/>
        <v>0.7190839695</v>
      </c>
      <c r="I163" s="21" t="s">
        <v>73</v>
      </c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21" t="s">
        <v>139</v>
      </c>
      <c r="B164" s="21" t="s">
        <v>247</v>
      </c>
      <c r="C164" s="21" t="s">
        <v>249</v>
      </c>
      <c r="D164" s="22">
        <v>115.0</v>
      </c>
      <c r="E164" s="22">
        <v>254.0</v>
      </c>
      <c r="F164" s="22">
        <f t="shared" si="2"/>
        <v>369</v>
      </c>
      <c r="G164" s="23">
        <f t="shared" si="3"/>
        <v>0.3116531165</v>
      </c>
      <c r="H164" s="23">
        <f t="shared" si="4"/>
        <v>0.6883468835</v>
      </c>
      <c r="I164" s="21" t="s">
        <v>73</v>
      </c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21" t="s">
        <v>139</v>
      </c>
      <c r="B165" s="21" t="s">
        <v>247</v>
      </c>
      <c r="C165" s="21" t="s">
        <v>250</v>
      </c>
      <c r="D165" s="22">
        <v>468.0</v>
      </c>
      <c r="E165" s="22">
        <v>958.0</v>
      </c>
      <c r="F165" s="22">
        <f t="shared" si="2"/>
        <v>1426</v>
      </c>
      <c r="G165" s="23">
        <f t="shared" si="3"/>
        <v>0.3281907433</v>
      </c>
      <c r="H165" s="23">
        <f t="shared" si="4"/>
        <v>0.6718092567</v>
      </c>
      <c r="I165" s="21" t="s">
        <v>73</v>
      </c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21" t="s">
        <v>139</v>
      </c>
      <c r="B166" s="21" t="s">
        <v>251</v>
      </c>
      <c r="C166" s="21" t="s">
        <v>251</v>
      </c>
      <c r="D166" s="22">
        <v>835.0</v>
      </c>
      <c r="E166" s="22">
        <v>722.0</v>
      </c>
      <c r="F166" s="22">
        <f t="shared" si="2"/>
        <v>1557</v>
      </c>
      <c r="G166" s="23">
        <f t="shared" si="3"/>
        <v>0.5362877328</v>
      </c>
      <c r="H166" s="23">
        <f t="shared" si="4"/>
        <v>0.4637122672</v>
      </c>
      <c r="I166" s="21" t="s">
        <v>73</v>
      </c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21" t="s">
        <v>139</v>
      </c>
      <c r="B167" s="21" t="s">
        <v>252</v>
      </c>
      <c r="C167" s="21" t="s">
        <v>253</v>
      </c>
      <c r="D167" s="22">
        <v>904.0</v>
      </c>
      <c r="E167" s="22">
        <v>1183.0</v>
      </c>
      <c r="F167" s="22">
        <f t="shared" si="2"/>
        <v>2087</v>
      </c>
      <c r="G167" s="23">
        <f t="shared" si="3"/>
        <v>0.4331576425</v>
      </c>
      <c r="H167" s="23">
        <f t="shared" si="4"/>
        <v>0.5668423575</v>
      </c>
      <c r="I167" s="21" t="s">
        <v>73</v>
      </c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21" t="s">
        <v>139</v>
      </c>
      <c r="B168" s="21" t="s">
        <v>252</v>
      </c>
      <c r="C168" s="21" t="s">
        <v>254</v>
      </c>
      <c r="D168" s="22">
        <v>743.0</v>
      </c>
      <c r="E168" s="22">
        <v>1180.0</v>
      </c>
      <c r="F168" s="22">
        <f t="shared" si="2"/>
        <v>1923</v>
      </c>
      <c r="G168" s="23">
        <f t="shared" si="3"/>
        <v>0.386375455</v>
      </c>
      <c r="H168" s="23">
        <f t="shared" si="4"/>
        <v>0.613624545</v>
      </c>
      <c r="I168" s="21" t="s">
        <v>73</v>
      </c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21" t="s">
        <v>139</v>
      </c>
      <c r="B169" s="21" t="s">
        <v>252</v>
      </c>
      <c r="C169" s="21" t="s">
        <v>255</v>
      </c>
      <c r="D169" s="22">
        <v>395.0</v>
      </c>
      <c r="E169" s="22">
        <v>601.0</v>
      </c>
      <c r="F169" s="22">
        <f t="shared" si="2"/>
        <v>996</v>
      </c>
      <c r="G169" s="23">
        <f t="shared" si="3"/>
        <v>0.3965863454</v>
      </c>
      <c r="H169" s="23">
        <f t="shared" si="4"/>
        <v>0.6034136546</v>
      </c>
      <c r="I169" s="21" t="s">
        <v>73</v>
      </c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21" t="s">
        <v>139</v>
      </c>
      <c r="B170" s="21" t="s">
        <v>252</v>
      </c>
      <c r="C170" s="21" t="s">
        <v>256</v>
      </c>
      <c r="D170" s="22">
        <v>615.0</v>
      </c>
      <c r="E170" s="22">
        <v>897.0</v>
      </c>
      <c r="F170" s="22">
        <f t="shared" si="2"/>
        <v>1512</v>
      </c>
      <c r="G170" s="23">
        <f t="shared" si="3"/>
        <v>0.4067460317</v>
      </c>
      <c r="H170" s="23">
        <f t="shared" si="4"/>
        <v>0.5932539683</v>
      </c>
      <c r="I170" s="21" t="s">
        <v>73</v>
      </c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21" t="s">
        <v>139</v>
      </c>
      <c r="B171" s="21" t="s">
        <v>252</v>
      </c>
      <c r="C171" s="21" t="s">
        <v>257</v>
      </c>
      <c r="D171" s="22">
        <v>540.0</v>
      </c>
      <c r="E171" s="22">
        <v>818.0</v>
      </c>
      <c r="F171" s="22">
        <f t="shared" si="2"/>
        <v>1358</v>
      </c>
      <c r="G171" s="23">
        <f t="shared" si="3"/>
        <v>0.3976435935</v>
      </c>
      <c r="H171" s="23">
        <f t="shared" si="4"/>
        <v>0.6023564065</v>
      </c>
      <c r="I171" s="21" t="s">
        <v>73</v>
      </c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21" t="s">
        <v>139</v>
      </c>
      <c r="B172" s="21" t="s">
        <v>252</v>
      </c>
      <c r="C172" s="21" t="s">
        <v>258</v>
      </c>
      <c r="D172" s="22">
        <v>378.0</v>
      </c>
      <c r="E172" s="22">
        <v>551.0</v>
      </c>
      <c r="F172" s="22">
        <f t="shared" si="2"/>
        <v>929</v>
      </c>
      <c r="G172" s="23">
        <f t="shared" si="3"/>
        <v>0.4068891281</v>
      </c>
      <c r="H172" s="23">
        <f t="shared" si="4"/>
        <v>0.5931108719</v>
      </c>
      <c r="I172" s="21" t="s">
        <v>73</v>
      </c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21" t="s">
        <v>139</v>
      </c>
      <c r="B173" s="21" t="s">
        <v>259</v>
      </c>
      <c r="C173" s="21" t="s">
        <v>260</v>
      </c>
      <c r="D173" s="22">
        <v>508.0</v>
      </c>
      <c r="E173" s="22">
        <v>572.0</v>
      </c>
      <c r="F173" s="22">
        <f t="shared" si="2"/>
        <v>1080</v>
      </c>
      <c r="G173" s="23">
        <f t="shared" si="3"/>
        <v>0.4703703704</v>
      </c>
      <c r="H173" s="23">
        <f t="shared" si="4"/>
        <v>0.5296296296</v>
      </c>
      <c r="I173" s="21" t="s">
        <v>73</v>
      </c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21" t="s">
        <v>139</v>
      </c>
      <c r="B174" s="21" t="s">
        <v>259</v>
      </c>
      <c r="C174" s="21" t="s">
        <v>261</v>
      </c>
      <c r="D174" s="22">
        <v>631.0</v>
      </c>
      <c r="E174" s="22">
        <v>687.0</v>
      </c>
      <c r="F174" s="22">
        <f t="shared" si="2"/>
        <v>1318</v>
      </c>
      <c r="G174" s="23">
        <f t="shared" si="3"/>
        <v>0.4787556904</v>
      </c>
      <c r="H174" s="23">
        <f t="shared" si="4"/>
        <v>0.5212443096</v>
      </c>
      <c r="I174" s="21" t="s">
        <v>73</v>
      </c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21" t="s">
        <v>139</v>
      </c>
      <c r="B175" s="21" t="s">
        <v>259</v>
      </c>
      <c r="C175" s="21" t="s">
        <v>262</v>
      </c>
      <c r="D175" s="22">
        <v>311.0</v>
      </c>
      <c r="E175" s="22">
        <v>322.0</v>
      </c>
      <c r="F175" s="22">
        <f t="shared" si="2"/>
        <v>633</v>
      </c>
      <c r="G175" s="23">
        <f t="shared" si="3"/>
        <v>0.4913112164</v>
      </c>
      <c r="H175" s="23">
        <f t="shared" si="4"/>
        <v>0.5086887836</v>
      </c>
      <c r="I175" s="21" t="s">
        <v>73</v>
      </c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21" t="s">
        <v>139</v>
      </c>
      <c r="B176" s="21" t="s">
        <v>259</v>
      </c>
      <c r="C176" s="21" t="s">
        <v>263</v>
      </c>
      <c r="D176" s="22">
        <v>362.0</v>
      </c>
      <c r="E176" s="22">
        <v>365.0</v>
      </c>
      <c r="F176" s="22">
        <f t="shared" si="2"/>
        <v>727</v>
      </c>
      <c r="G176" s="23">
        <f t="shared" si="3"/>
        <v>0.4979367263</v>
      </c>
      <c r="H176" s="23">
        <f t="shared" si="4"/>
        <v>0.5020632737</v>
      </c>
      <c r="I176" s="21" t="s">
        <v>73</v>
      </c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21" t="s">
        <v>139</v>
      </c>
      <c r="B177" s="21" t="s">
        <v>259</v>
      </c>
      <c r="C177" s="21" t="s">
        <v>264</v>
      </c>
      <c r="D177" s="22">
        <v>450.0</v>
      </c>
      <c r="E177" s="22">
        <v>463.0</v>
      </c>
      <c r="F177" s="22">
        <f t="shared" si="2"/>
        <v>913</v>
      </c>
      <c r="G177" s="23">
        <f t="shared" si="3"/>
        <v>0.4928806134</v>
      </c>
      <c r="H177" s="23">
        <f t="shared" si="4"/>
        <v>0.5071193866</v>
      </c>
      <c r="I177" s="21" t="s">
        <v>73</v>
      </c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21" t="s">
        <v>139</v>
      </c>
      <c r="B178" s="21" t="s">
        <v>259</v>
      </c>
      <c r="C178" s="21" t="s">
        <v>265</v>
      </c>
      <c r="D178" s="22">
        <v>285.0</v>
      </c>
      <c r="E178" s="22">
        <v>335.0</v>
      </c>
      <c r="F178" s="22">
        <f t="shared" si="2"/>
        <v>620</v>
      </c>
      <c r="G178" s="23">
        <f t="shared" si="3"/>
        <v>0.4596774194</v>
      </c>
      <c r="H178" s="23">
        <f t="shared" si="4"/>
        <v>0.5403225806</v>
      </c>
      <c r="I178" s="21" t="s">
        <v>73</v>
      </c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21" t="s">
        <v>139</v>
      </c>
      <c r="B179" s="21" t="s">
        <v>259</v>
      </c>
      <c r="C179" s="21" t="s">
        <v>266</v>
      </c>
      <c r="D179" s="22">
        <v>393.0</v>
      </c>
      <c r="E179" s="22">
        <v>307.0</v>
      </c>
      <c r="F179" s="22">
        <f t="shared" si="2"/>
        <v>700</v>
      </c>
      <c r="G179" s="23">
        <f t="shared" si="3"/>
        <v>0.5614285714</v>
      </c>
      <c r="H179" s="23">
        <f t="shared" si="4"/>
        <v>0.4385714286</v>
      </c>
      <c r="I179" s="21" t="s">
        <v>73</v>
      </c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21" t="s">
        <v>139</v>
      </c>
      <c r="B180" s="21" t="s">
        <v>259</v>
      </c>
      <c r="C180" s="21" t="s">
        <v>267</v>
      </c>
      <c r="D180" s="22">
        <v>489.0</v>
      </c>
      <c r="E180" s="22">
        <v>467.0</v>
      </c>
      <c r="F180" s="22">
        <f t="shared" si="2"/>
        <v>956</v>
      </c>
      <c r="G180" s="23">
        <f t="shared" si="3"/>
        <v>0.5115062762</v>
      </c>
      <c r="H180" s="23">
        <f t="shared" si="4"/>
        <v>0.4884937238</v>
      </c>
      <c r="I180" s="21" t="s">
        <v>73</v>
      </c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21" t="s">
        <v>139</v>
      </c>
      <c r="B181" s="21" t="s">
        <v>268</v>
      </c>
      <c r="C181" s="21" t="s">
        <v>269</v>
      </c>
      <c r="D181" s="22">
        <v>187.0</v>
      </c>
      <c r="E181" s="22">
        <v>255.0</v>
      </c>
      <c r="F181" s="22">
        <f t="shared" si="2"/>
        <v>442</v>
      </c>
      <c r="G181" s="23">
        <f t="shared" si="3"/>
        <v>0.4230769231</v>
      </c>
      <c r="H181" s="23">
        <f t="shared" si="4"/>
        <v>0.5769230769</v>
      </c>
      <c r="I181" s="21" t="s">
        <v>73</v>
      </c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21" t="s">
        <v>139</v>
      </c>
      <c r="B182" s="21" t="s">
        <v>268</v>
      </c>
      <c r="C182" s="21" t="s">
        <v>270</v>
      </c>
      <c r="D182" s="22">
        <v>122.0</v>
      </c>
      <c r="E182" s="22">
        <v>202.0</v>
      </c>
      <c r="F182" s="22">
        <f t="shared" si="2"/>
        <v>324</v>
      </c>
      <c r="G182" s="23">
        <f t="shared" si="3"/>
        <v>0.3765432099</v>
      </c>
      <c r="H182" s="23">
        <f t="shared" si="4"/>
        <v>0.6234567901</v>
      </c>
      <c r="I182" s="21" t="s">
        <v>73</v>
      </c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21" t="s">
        <v>139</v>
      </c>
      <c r="B183" s="21" t="s">
        <v>268</v>
      </c>
      <c r="C183" s="21" t="s">
        <v>271</v>
      </c>
      <c r="D183" s="22">
        <v>315.0</v>
      </c>
      <c r="E183" s="22">
        <v>458.0</v>
      </c>
      <c r="F183" s="22">
        <f t="shared" si="2"/>
        <v>773</v>
      </c>
      <c r="G183" s="23">
        <f t="shared" si="3"/>
        <v>0.4075032342</v>
      </c>
      <c r="H183" s="23">
        <f t="shared" si="4"/>
        <v>0.5924967658</v>
      </c>
      <c r="I183" s="21" t="s">
        <v>73</v>
      </c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21" t="s">
        <v>139</v>
      </c>
      <c r="B184" s="21" t="s">
        <v>272</v>
      </c>
      <c r="C184" s="21" t="s">
        <v>273</v>
      </c>
      <c r="D184" s="22">
        <v>743.0</v>
      </c>
      <c r="E184" s="22">
        <v>822.0</v>
      </c>
      <c r="F184" s="22">
        <f t="shared" si="2"/>
        <v>1565</v>
      </c>
      <c r="G184" s="23">
        <f t="shared" si="3"/>
        <v>0.4747603834</v>
      </c>
      <c r="H184" s="23">
        <f t="shared" si="4"/>
        <v>0.5252396166</v>
      </c>
      <c r="I184" s="21" t="s">
        <v>73</v>
      </c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21" t="s">
        <v>139</v>
      </c>
      <c r="B185" s="21" t="s">
        <v>272</v>
      </c>
      <c r="C185" s="21" t="s">
        <v>274</v>
      </c>
      <c r="D185" s="22">
        <v>322.0</v>
      </c>
      <c r="E185" s="22">
        <v>357.0</v>
      </c>
      <c r="F185" s="22">
        <f t="shared" si="2"/>
        <v>679</v>
      </c>
      <c r="G185" s="23">
        <f t="shared" si="3"/>
        <v>0.4742268041</v>
      </c>
      <c r="H185" s="23">
        <f t="shared" si="4"/>
        <v>0.5257731959</v>
      </c>
      <c r="I185" s="21" t="s">
        <v>73</v>
      </c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21" t="s">
        <v>139</v>
      </c>
      <c r="B186" s="21" t="s">
        <v>272</v>
      </c>
      <c r="C186" s="21" t="s">
        <v>275</v>
      </c>
      <c r="D186" s="22">
        <v>1046.0</v>
      </c>
      <c r="E186" s="22">
        <v>777.0</v>
      </c>
      <c r="F186" s="22">
        <f t="shared" si="2"/>
        <v>1823</v>
      </c>
      <c r="G186" s="23">
        <f t="shared" si="3"/>
        <v>0.5737794844</v>
      </c>
      <c r="H186" s="23">
        <f t="shared" si="4"/>
        <v>0.4262205156</v>
      </c>
      <c r="I186" s="21" t="s">
        <v>73</v>
      </c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21" t="s">
        <v>139</v>
      </c>
      <c r="B187" s="21" t="s">
        <v>272</v>
      </c>
      <c r="C187" s="21" t="s">
        <v>276</v>
      </c>
      <c r="D187" s="22">
        <v>419.0</v>
      </c>
      <c r="E187" s="22">
        <v>474.0</v>
      </c>
      <c r="F187" s="22">
        <f t="shared" si="2"/>
        <v>893</v>
      </c>
      <c r="G187" s="23">
        <f t="shared" si="3"/>
        <v>0.4692049272</v>
      </c>
      <c r="H187" s="23">
        <f t="shared" si="4"/>
        <v>0.5307950728</v>
      </c>
      <c r="I187" s="21" t="s">
        <v>73</v>
      </c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21" t="s">
        <v>139</v>
      </c>
      <c r="B188" s="21" t="s">
        <v>272</v>
      </c>
      <c r="C188" s="21" t="s">
        <v>277</v>
      </c>
      <c r="D188" s="22">
        <v>903.0</v>
      </c>
      <c r="E188" s="22">
        <v>595.0</v>
      </c>
      <c r="F188" s="22">
        <f t="shared" si="2"/>
        <v>1498</v>
      </c>
      <c r="G188" s="23">
        <f t="shared" si="3"/>
        <v>0.6028037383</v>
      </c>
      <c r="H188" s="23">
        <f t="shared" si="4"/>
        <v>0.3971962617</v>
      </c>
      <c r="I188" s="21" t="s">
        <v>73</v>
      </c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21" t="s">
        <v>139</v>
      </c>
      <c r="B189" s="21" t="s">
        <v>272</v>
      </c>
      <c r="C189" s="21" t="s">
        <v>278</v>
      </c>
      <c r="D189" s="22">
        <v>959.0</v>
      </c>
      <c r="E189" s="22">
        <v>623.0</v>
      </c>
      <c r="F189" s="22">
        <f t="shared" si="2"/>
        <v>1582</v>
      </c>
      <c r="G189" s="23">
        <f t="shared" si="3"/>
        <v>0.6061946903</v>
      </c>
      <c r="H189" s="23">
        <f t="shared" si="4"/>
        <v>0.3938053097</v>
      </c>
      <c r="I189" s="21" t="s">
        <v>73</v>
      </c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21" t="s">
        <v>139</v>
      </c>
      <c r="B190" s="21" t="s">
        <v>272</v>
      </c>
      <c r="C190" s="21" t="s">
        <v>279</v>
      </c>
      <c r="D190" s="22">
        <v>439.0</v>
      </c>
      <c r="E190" s="22">
        <v>424.0</v>
      </c>
      <c r="F190" s="22">
        <f t="shared" si="2"/>
        <v>863</v>
      </c>
      <c r="G190" s="23">
        <f t="shared" si="3"/>
        <v>0.5086906141</v>
      </c>
      <c r="H190" s="23">
        <f t="shared" si="4"/>
        <v>0.4913093859</v>
      </c>
      <c r="I190" s="21" t="s">
        <v>73</v>
      </c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21" t="s">
        <v>139</v>
      </c>
      <c r="B191" s="21" t="s">
        <v>272</v>
      </c>
      <c r="C191" s="21" t="s">
        <v>280</v>
      </c>
      <c r="D191" s="22">
        <v>1249.0</v>
      </c>
      <c r="E191" s="22">
        <v>1238.0</v>
      </c>
      <c r="F191" s="22">
        <f t="shared" si="2"/>
        <v>2487</v>
      </c>
      <c r="G191" s="23">
        <f t="shared" si="3"/>
        <v>0.5022114998</v>
      </c>
      <c r="H191" s="23">
        <f t="shared" si="4"/>
        <v>0.4977885002</v>
      </c>
      <c r="I191" s="21" t="s">
        <v>73</v>
      </c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21" t="s">
        <v>139</v>
      </c>
      <c r="B192" s="21" t="s">
        <v>281</v>
      </c>
      <c r="C192" s="21" t="s">
        <v>282</v>
      </c>
      <c r="D192" s="22">
        <v>834.0</v>
      </c>
      <c r="E192" s="22">
        <v>799.0</v>
      </c>
      <c r="F192" s="22">
        <f t="shared" si="2"/>
        <v>1633</v>
      </c>
      <c r="G192" s="23">
        <f t="shared" si="3"/>
        <v>0.5107164727</v>
      </c>
      <c r="H192" s="23">
        <f t="shared" si="4"/>
        <v>0.4892835273</v>
      </c>
      <c r="I192" s="21" t="s">
        <v>73</v>
      </c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21" t="s">
        <v>139</v>
      </c>
      <c r="B193" s="21" t="s">
        <v>281</v>
      </c>
      <c r="C193" s="21" t="s">
        <v>283</v>
      </c>
      <c r="D193" s="22">
        <v>1150.0</v>
      </c>
      <c r="E193" s="22">
        <v>1095.0</v>
      </c>
      <c r="F193" s="22">
        <f t="shared" si="2"/>
        <v>2245</v>
      </c>
      <c r="G193" s="23">
        <f t="shared" si="3"/>
        <v>0.5122494432</v>
      </c>
      <c r="H193" s="23">
        <f t="shared" si="4"/>
        <v>0.4877505568</v>
      </c>
      <c r="I193" s="21" t="s">
        <v>73</v>
      </c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21" t="s">
        <v>139</v>
      </c>
      <c r="B194" s="21" t="s">
        <v>281</v>
      </c>
      <c r="C194" s="21" t="s">
        <v>284</v>
      </c>
      <c r="D194" s="22">
        <v>703.0</v>
      </c>
      <c r="E194" s="22">
        <v>846.0</v>
      </c>
      <c r="F194" s="22">
        <f t="shared" si="2"/>
        <v>1549</v>
      </c>
      <c r="G194" s="23">
        <f t="shared" si="3"/>
        <v>0.4538411879</v>
      </c>
      <c r="H194" s="23">
        <f t="shared" si="4"/>
        <v>0.5461588121</v>
      </c>
      <c r="I194" s="21" t="s">
        <v>73</v>
      </c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21" t="s">
        <v>139</v>
      </c>
      <c r="B195" s="21" t="s">
        <v>281</v>
      </c>
      <c r="C195" s="21" t="s">
        <v>285</v>
      </c>
      <c r="D195" s="22">
        <v>550.0</v>
      </c>
      <c r="E195" s="22">
        <v>550.0</v>
      </c>
      <c r="F195" s="22">
        <f t="shared" si="2"/>
        <v>1100</v>
      </c>
      <c r="G195" s="23">
        <f t="shared" si="3"/>
        <v>0.5</v>
      </c>
      <c r="H195" s="23">
        <f t="shared" si="4"/>
        <v>0.5</v>
      </c>
      <c r="I195" s="21" t="s">
        <v>73</v>
      </c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21" t="s">
        <v>139</v>
      </c>
      <c r="B196" s="21" t="s">
        <v>281</v>
      </c>
      <c r="C196" s="21" t="s">
        <v>286</v>
      </c>
      <c r="D196" s="22">
        <v>1698.0</v>
      </c>
      <c r="E196" s="22">
        <v>1397.0</v>
      </c>
      <c r="F196" s="22">
        <f t="shared" si="2"/>
        <v>3095</v>
      </c>
      <c r="G196" s="23">
        <f t="shared" si="3"/>
        <v>0.5486268174</v>
      </c>
      <c r="H196" s="23">
        <f t="shared" si="4"/>
        <v>0.4513731826</v>
      </c>
      <c r="I196" s="21" t="s">
        <v>73</v>
      </c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21" t="s">
        <v>139</v>
      </c>
      <c r="B197" s="21" t="s">
        <v>281</v>
      </c>
      <c r="C197" s="21" t="s">
        <v>287</v>
      </c>
      <c r="D197" s="22">
        <v>551.0</v>
      </c>
      <c r="E197" s="22">
        <v>563.0</v>
      </c>
      <c r="F197" s="22">
        <f t="shared" si="2"/>
        <v>1114</v>
      </c>
      <c r="G197" s="23">
        <f t="shared" si="3"/>
        <v>0.4946140036</v>
      </c>
      <c r="H197" s="23">
        <f t="shared" si="4"/>
        <v>0.5053859964</v>
      </c>
      <c r="I197" s="21" t="s">
        <v>73</v>
      </c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21" t="s">
        <v>139</v>
      </c>
      <c r="B198" s="21" t="s">
        <v>281</v>
      </c>
      <c r="C198" s="21" t="s">
        <v>288</v>
      </c>
      <c r="D198" s="22">
        <v>543.0</v>
      </c>
      <c r="E198" s="22">
        <v>454.0</v>
      </c>
      <c r="F198" s="22">
        <f t="shared" si="2"/>
        <v>997</v>
      </c>
      <c r="G198" s="23">
        <f t="shared" si="3"/>
        <v>0.5446339017</v>
      </c>
      <c r="H198" s="23">
        <f t="shared" si="4"/>
        <v>0.4553660983</v>
      </c>
      <c r="I198" s="21" t="s">
        <v>73</v>
      </c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21" t="s">
        <v>139</v>
      </c>
      <c r="B199" s="21" t="s">
        <v>281</v>
      </c>
      <c r="C199" s="21" t="s">
        <v>289</v>
      </c>
      <c r="D199" s="22">
        <v>589.0</v>
      </c>
      <c r="E199" s="22">
        <v>578.0</v>
      </c>
      <c r="F199" s="22">
        <f t="shared" si="2"/>
        <v>1167</v>
      </c>
      <c r="G199" s="23">
        <f t="shared" si="3"/>
        <v>0.5047129392</v>
      </c>
      <c r="H199" s="23">
        <f t="shared" si="4"/>
        <v>0.4952870608</v>
      </c>
      <c r="I199" s="21" t="s">
        <v>73</v>
      </c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21" t="s">
        <v>139</v>
      </c>
      <c r="B200" s="21" t="s">
        <v>290</v>
      </c>
      <c r="C200" s="21" t="s">
        <v>291</v>
      </c>
      <c r="D200" s="22">
        <v>1435.0</v>
      </c>
      <c r="E200" s="22">
        <v>1656.0</v>
      </c>
      <c r="F200" s="22">
        <f t="shared" si="2"/>
        <v>3091</v>
      </c>
      <c r="G200" s="23">
        <f t="shared" si="3"/>
        <v>0.4642510514</v>
      </c>
      <c r="H200" s="23">
        <f t="shared" si="4"/>
        <v>0.5357489486</v>
      </c>
      <c r="I200" s="21" t="s">
        <v>73</v>
      </c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21" t="s">
        <v>139</v>
      </c>
      <c r="B201" s="21" t="s">
        <v>290</v>
      </c>
      <c r="C201" s="21" t="s">
        <v>292</v>
      </c>
      <c r="D201" s="22">
        <v>851.0</v>
      </c>
      <c r="E201" s="22">
        <v>1385.0</v>
      </c>
      <c r="F201" s="22">
        <f t="shared" si="2"/>
        <v>2236</v>
      </c>
      <c r="G201" s="23">
        <f t="shared" si="3"/>
        <v>0.3805903399</v>
      </c>
      <c r="H201" s="23">
        <f t="shared" si="4"/>
        <v>0.6194096601</v>
      </c>
      <c r="I201" s="21" t="s">
        <v>73</v>
      </c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21" t="s">
        <v>139</v>
      </c>
      <c r="B202" s="21" t="s">
        <v>293</v>
      </c>
      <c r="C202" s="21" t="s">
        <v>294</v>
      </c>
      <c r="D202" s="22">
        <v>958.0</v>
      </c>
      <c r="E202" s="22">
        <v>966.0</v>
      </c>
      <c r="F202" s="22">
        <f t="shared" si="2"/>
        <v>1924</v>
      </c>
      <c r="G202" s="23">
        <f t="shared" si="3"/>
        <v>0.4979209979</v>
      </c>
      <c r="H202" s="23">
        <f t="shared" si="4"/>
        <v>0.5020790021</v>
      </c>
      <c r="I202" s="21" t="s">
        <v>73</v>
      </c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21" t="s">
        <v>139</v>
      </c>
      <c r="B203" s="21" t="s">
        <v>293</v>
      </c>
      <c r="C203" s="21" t="s">
        <v>295</v>
      </c>
      <c r="D203" s="22">
        <v>695.0</v>
      </c>
      <c r="E203" s="22">
        <v>780.0</v>
      </c>
      <c r="F203" s="22">
        <f t="shared" si="2"/>
        <v>1475</v>
      </c>
      <c r="G203" s="23">
        <f t="shared" si="3"/>
        <v>0.4711864407</v>
      </c>
      <c r="H203" s="23">
        <f t="shared" si="4"/>
        <v>0.5288135593</v>
      </c>
      <c r="I203" s="21" t="s">
        <v>73</v>
      </c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21" t="s">
        <v>139</v>
      </c>
      <c r="B204" s="21" t="s">
        <v>293</v>
      </c>
      <c r="C204" s="21" t="s">
        <v>296</v>
      </c>
      <c r="D204" s="22">
        <v>584.0</v>
      </c>
      <c r="E204" s="22">
        <v>632.0</v>
      </c>
      <c r="F204" s="22">
        <f t="shared" si="2"/>
        <v>1216</v>
      </c>
      <c r="G204" s="23">
        <f t="shared" si="3"/>
        <v>0.4802631579</v>
      </c>
      <c r="H204" s="23">
        <f t="shared" si="4"/>
        <v>0.5197368421</v>
      </c>
      <c r="I204" s="21" t="s">
        <v>73</v>
      </c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21" t="s">
        <v>139</v>
      </c>
      <c r="B205" s="21" t="s">
        <v>293</v>
      </c>
      <c r="C205" s="21" t="s">
        <v>297</v>
      </c>
      <c r="D205" s="22">
        <v>1494.0</v>
      </c>
      <c r="E205" s="22">
        <v>1599.0</v>
      </c>
      <c r="F205" s="22">
        <f t="shared" si="2"/>
        <v>3093</v>
      </c>
      <c r="G205" s="23">
        <f t="shared" si="3"/>
        <v>0.4830261882</v>
      </c>
      <c r="H205" s="23">
        <f t="shared" si="4"/>
        <v>0.5169738118</v>
      </c>
      <c r="I205" s="21" t="s">
        <v>73</v>
      </c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21" t="s">
        <v>139</v>
      </c>
      <c r="B206" s="21" t="s">
        <v>293</v>
      </c>
      <c r="C206" s="21" t="s">
        <v>298</v>
      </c>
      <c r="D206" s="22">
        <v>622.0</v>
      </c>
      <c r="E206" s="22">
        <v>570.0</v>
      </c>
      <c r="F206" s="22">
        <f t="shared" si="2"/>
        <v>1192</v>
      </c>
      <c r="G206" s="23">
        <f t="shared" si="3"/>
        <v>0.5218120805</v>
      </c>
      <c r="H206" s="23">
        <f t="shared" si="4"/>
        <v>0.4781879195</v>
      </c>
      <c r="I206" s="21" t="s">
        <v>73</v>
      </c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21" t="s">
        <v>139</v>
      </c>
      <c r="B207" s="21" t="s">
        <v>293</v>
      </c>
      <c r="C207" s="21" t="s">
        <v>299</v>
      </c>
      <c r="D207" s="22">
        <v>640.0</v>
      </c>
      <c r="E207" s="22">
        <v>590.0</v>
      </c>
      <c r="F207" s="22">
        <f t="shared" si="2"/>
        <v>1230</v>
      </c>
      <c r="G207" s="23">
        <f t="shared" si="3"/>
        <v>0.5203252033</v>
      </c>
      <c r="H207" s="23">
        <f t="shared" si="4"/>
        <v>0.4796747967</v>
      </c>
      <c r="I207" s="21" t="s">
        <v>73</v>
      </c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21" t="s">
        <v>139</v>
      </c>
      <c r="B208" s="21" t="s">
        <v>300</v>
      </c>
      <c r="C208" s="21" t="s">
        <v>301</v>
      </c>
      <c r="D208" s="22">
        <v>221.0</v>
      </c>
      <c r="E208" s="22">
        <v>484.0</v>
      </c>
      <c r="F208" s="22">
        <f t="shared" si="2"/>
        <v>705</v>
      </c>
      <c r="G208" s="23">
        <f t="shared" si="3"/>
        <v>0.3134751773</v>
      </c>
      <c r="H208" s="23">
        <f t="shared" si="4"/>
        <v>0.6865248227</v>
      </c>
      <c r="I208" s="21" t="s">
        <v>73</v>
      </c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21" t="s">
        <v>139</v>
      </c>
      <c r="B209" s="21" t="s">
        <v>300</v>
      </c>
      <c r="C209" s="21" t="s">
        <v>302</v>
      </c>
      <c r="D209" s="22">
        <v>746.0</v>
      </c>
      <c r="E209" s="22">
        <v>1484.0</v>
      </c>
      <c r="F209" s="22">
        <f t="shared" si="2"/>
        <v>2230</v>
      </c>
      <c r="G209" s="23">
        <f t="shared" si="3"/>
        <v>0.334529148</v>
      </c>
      <c r="H209" s="23">
        <f t="shared" si="4"/>
        <v>0.665470852</v>
      </c>
      <c r="I209" s="21" t="s">
        <v>73</v>
      </c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21" t="s">
        <v>139</v>
      </c>
      <c r="B210" s="21" t="s">
        <v>300</v>
      </c>
      <c r="C210" s="21" t="s">
        <v>303</v>
      </c>
      <c r="D210" s="22">
        <v>167.0</v>
      </c>
      <c r="E210" s="22">
        <v>443.0</v>
      </c>
      <c r="F210" s="22">
        <f t="shared" si="2"/>
        <v>610</v>
      </c>
      <c r="G210" s="23">
        <f t="shared" si="3"/>
        <v>0.2737704918</v>
      </c>
      <c r="H210" s="23">
        <f t="shared" si="4"/>
        <v>0.7262295082</v>
      </c>
      <c r="I210" s="21" t="s">
        <v>73</v>
      </c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21" t="s">
        <v>139</v>
      </c>
      <c r="B211" s="21" t="s">
        <v>304</v>
      </c>
      <c r="C211" s="21" t="s">
        <v>304</v>
      </c>
      <c r="D211" s="22">
        <v>1078.0</v>
      </c>
      <c r="E211" s="22">
        <v>1965.0</v>
      </c>
      <c r="F211" s="22">
        <f t="shared" si="2"/>
        <v>3043</v>
      </c>
      <c r="G211" s="23">
        <f t="shared" si="3"/>
        <v>0.3542556687</v>
      </c>
      <c r="H211" s="23">
        <f t="shared" si="4"/>
        <v>0.6457443313</v>
      </c>
      <c r="I211" s="21" t="s">
        <v>73</v>
      </c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21" t="s">
        <v>139</v>
      </c>
      <c r="B212" s="21" t="s">
        <v>305</v>
      </c>
      <c r="C212" s="21" t="s">
        <v>306</v>
      </c>
      <c r="D212" s="22">
        <v>704.0</v>
      </c>
      <c r="E212" s="22">
        <v>789.0</v>
      </c>
      <c r="F212" s="22">
        <f t="shared" si="2"/>
        <v>1493</v>
      </c>
      <c r="G212" s="23">
        <f t="shared" si="3"/>
        <v>0.4715338245</v>
      </c>
      <c r="H212" s="23">
        <f t="shared" si="4"/>
        <v>0.5284661755</v>
      </c>
      <c r="I212" s="21" t="s">
        <v>73</v>
      </c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21" t="s">
        <v>139</v>
      </c>
      <c r="B213" s="21" t="s">
        <v>305</v>
      </c>
      <c r="C213" s="21" t="s">
        <v>307</v>
      </c>
      <c r="D213" s="22">
        <v>515.0</v>
      </c>
      <c r="E213" s="22">
        <v>626.0</v>
      </c>
      <c r="F213" s="22">
        <f t="shared" si="2"/>
        <v>1141</v>
      </c>
      <c r="G213" s="23">
        <f t="shared" si="3"/>
        <v>0.4513584575</v>
      </c>
      <c r="H213" s="23">
        <f t="shared" si="4"/>
        <v>0.5486415425</v>
      </c>
      <c r="I213" s="21" t="s">
        <v>73</v>
      </c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21" t="s">
        <v>139</v>
      </c>
      <c r="B214" s="21" t="s">
        <v>305</v>
      </c>
      <c r="C214" s="21" t="s">
        <v>308</v>
      </c>
      <c r="D214" s="22">
        <v>490.0</v>
      </c>
      <c r="E214" s="22">
        <v>429.0</v>
      </c>
      <c r="F214" s="22">
        <f t="shared" si="2"/>
        <v>919</v>
      </c>
      <c r="G214" s="23">
        <f t="shared" si="3"/>
        <v>0.5331882481</v>
      </c>
      <c r="H214" s="23">
        <f t="shared" si="4"/>
        <v>0.4668117519</v>
      </c>
      <c r="I214" s="21" t="s">
        <v>73</v>
      </c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21" t="s">
        <v>139</v>
      </c>
      <c r="B215" s="21" t="s">
        <v>305</v>
      </c>
      <c r="C215" s="21" t="s">
        <v>309</v>
      </c>
      <c r="D215" s="22">
        <v>587.0</v>
      </c>
      <c r="E215" s="22">
        <v>457.0</v>
      </c>
      <c r="F215" s="22">
        <f t="shared" si="2"/>
        <v>1044</v>
      </c>
      <c r="G215" s="23">
        <f t="shared" si="3"/>
        <v>0.5622605364</v>
      </c>
      <c r="H215" s="23">
        <f t="shared" si="4"/>
        <v>0.4377394636</v>
      </c>
      <c r="I215" s="21" t="s">
        <v>73</v>
      </c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21" t="s">
        <v>139</v>
      </c>
      <c r="B216" s="21" t="s">
        <v>305</v>
      </c>
      <c r="C216" s="21" t="s">
        <v>310</v>
      </c>
      <c r="D216" s="22">
        <v>196.0</v>
      </c>
      <c r="E216" s="22">
        <v>177.0</v>
      </c>
      <c r="F216" s="22">
        <f t="shared" si="2"/>
        <v>373</v>
      </c>
      <c r="G216" s="23">
        <f t="shared" si="3"/>
        <v>0.5254691689</v>
      </c>
      <c r="H216" s="23">
        <f t="shared" si="4"/>
        <v>0.4745308311</v>
      </c>
      <c r="I216" s="21" t="s">
        <v>73</v>
      </c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21" t="s">
        <v>139</v>
      </c>
      <c r="B217" s="21" t="s">
        <v>305</v>
      </c>
      <c r="C217" s="21" t="s">
        <v>311</v>
      </c>
      <c r="D217" s="22">
        <v>316.0</v>
      </c>
      <c r="E217" s="22">
        <v>231.0</v>
      </c>
      <c r="F217" s="22">
        <f t="shared" si="2"/>
        <v>547</v>
      </c>
      <c r="G217" s="23">
        <f t="shared" si="3"/>
        <v>0.5776965265</v>
      </c>
      <c r="H217" s="23">
        <f t="shared" si="4"/>
        <v>0.4223034735</v>
      </c>
      <c r="I217" s="21" t="s">
        <v>73</v>
      </c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21" t="s">
        <v>139</v>
      </c>
      <c r="B218" s="21" t="s">
        <v>305</v>
      </c>
      <c r="C218" s="21" t="s">
        <v>312</v>
      </c>
      <c r="D218" s="22">
        <v>415.0</v>
      </c>
      <c r="E218" s="22">
        <v>342.0</v>
      </c>
      <c r="F218" s="22">
        <f t="shared" si="2"/>
        <v>757</v>
      </c>
      <c r="G218" s="23">
        <f t="shared" si="3"/>
        <v>0.5482166446</v>
      </c>
      <c r="H218" s="23">
        <f t="shared" si="4"/>
        <v>0.4517833554</v>
      </c>
      <c r="I218" s="21" t="s">
        <v>73</v>
      </c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21" t="s">
        <v>139</v>
      </c>
      <c r="B219" s="21" t="s">
        <v>305</v>
      </c>
      <c r="C219" s="21" t="s">
        <v>313</v>
      </c>
      <c r="D219" s="22">
        <v>201.0</v>
      </c>
      <c r="E219" s="22">
        <v>263.0</v>
      </c>
      <c r="F219" s="22">
        <f t="shared" si="2"/>
        <v>464</v>
      </c>
      <c r="G219" s="23">
        <f t="shared" si="3"/>
        <v>0.4331896552</v>
      </c>
      <c r="H219" s="23">
        <f t="shared" si="4"/>
        <v>0.5668103448</v>
      </c>
      <c r="I219" s="21" t="s">
        <v>73</v>
      </c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21" t="s">
        <v>139</v>
      </c>
      <c r="B220" s="21" t="s">
        <v>305</v>
      </c>
      <c r="C220" s="21" t="s">
        <v>314</v>
      </c>
      <c r="D220" s="22">
        <v>410.0</v>
      </c>
      <c r="E220" s="22">
        <v>413.0</v>
      </c>
      <c r="F220" s="22">
        <f t="shared" si="2"/>
        <v>823</v>
      </c>
      <c r="G220" s="23">
        <f t="shared" si="3"/>
        <v>0.4981773998</v>
      </c>
      <c r="H220" s="23">
        <f t="shared" si="4"/>
        <v>0.5018226002</v>
      </c>
      <c r="I220" s="21" t="s">
        <v>73</v>
      </c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21" t="s">
        <v>139</v>
      </c>
      <c r="B221" s="21" t="s">
        <v>305</v>
      </c>
      <c r="C221" s="21" t="s">
        <v>315</v>
      </c>
      <c r="D221" s="22">
        <v>694.0</v>
      </c>
      <c r="E221" s="22">
        <v>828.0</v>
      </c>
      <c r="F221" s="22">
        <f t="shared" si="2"/>
        <v>1522</v>
      </c>
      <c r="G221" s="23">
        <f t="shared" si="3"/>
        <v>0.455978975</v>
      </c>
      <c r="H221" s="23">
        <f t="shared" si="4"/>
        <v>0.544021025</v>
      </c>
      <c r="I221" s="21" t="s">
        <v>73</v>
      </c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21" t="s">
        <v>139</v>
      </c>
      <c r="B222" s="21" t="s">
        <v>305</v>
      </c>
      <c r="C222" s="21" t="s">
        <v>316</v>
      </c>
      <c r="D222" s="22">
        <v>638.0</v>
      </c>
      <c r="E222" s="22">
        <v>701.0</v>
      </c>
      <c r="F222" s="22">
        <f t="shared" si="2"/>
        <v>1339</v>
      </c>
      <c r="G222" s="23">
        <f t="shared" si="3"/>
        <v>0.4764749813</v>
      </c>
      <c r="H222" s="23">
        <f t="shared" si="4"/>
        <v>0.5235250187</v>
      </c>
      <c r="I222" s="21" t="s">
        <v>73</v>
      </c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21" t="s">
        <v>139</v>
      </c>
      <c r="B223" s="21" t="s">
        <v>305</v>
      </c>
      <c r="C223" s="21" t="s">
        <v>317</v>
      </c>
      <c r="D223" s="22">
        <v>450.0</v>
      </c>
      <c r="E223" s="22">
        <v>447.0</v>
      </c>
      <c r="F223" s="22">
        <f t="shared" si="2"/>
        <v>897</v>
      </c>
      <c r="G223" s="23">
        <f t="shared" si="3"/>
        <v>0.5016722408</v>
      </c>
      <c r="H223" s="23">
        <f t="shared" si="4"/>
        <v>0.4983277592</v>
      </c>
      <c r="I223" s="21" t="s">
        <v>73</v>
      </c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27" t="s">
        <v>318</v>
      </c>
      <c r="B224" s="21" t="s">
        <v>319</v>
      </c>
      <c r="C224" s="21" t="s">
        <v>320</v>
      </c>
      <c r="D224" s="22">
        <v>389.0</v>
      </c>
      <c r="E224" s="22">
        <v>1019.0</v>
      </c>
      <c r="F224" s="22">
        <f t="shared" si="2"/>
        <v>1408</v>
      </c>
      <c r="G224" s="23">
        <f t="shared" si="3"/>
        <v>0.2762784091</v>
      </c>
      <c r="H224" s="23">
        <f t="shared" si="4"/>
        <v>0.7237215909</v>
      </c>
      <c r="I224" s="21" t="s">
        <v>73</v>
      </c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27" t="s">
        <v>318</v>
      </c>
      <c r="B225" s="21" t="s">
        <v>321</v>
      </c>
      <c r="C225" s="21" t="s">
        <v>322</v>
      </c>
      <c r="D225" s="22">
        <v>1040.0</v>
      </c>
      <c r="E225" s="22">
        <v>2490.0</v>
      </c>
      <c r="F225" s="22">
        <f t="shared" si="2"/>
        <v>3530</v>
      </c>
      <c r="G225" s="23">
        <f t="shared" si="3"/>
        <v>0.2946175637</v>
      </c>
      <c r="H225" s="23">
        <f t="shared" si="4"/>
        <v>0.7053824363</v>
      </c>
      <c r="I225" s="21" t="s">
        <v>73</v>
      </c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28" t="s">
        <v>318</v>
      </c>
      <c r="B226" s="24" t="s">
        <v>323</v>
      </c>
      <c r="C226" s="24" t="s">
        <v>324</v>
      </c>
      <c r="D226" s="25">
        <v>103.0</v>
      </c>
      <c r="E226" s="25">
        <v>234.0</v>
      </c>
      <c r="F226" s="25">
        <f t="shared" si="2"/>
        <v>337</v>
      </c>
      <c r="G226" s="26">
        <f t="shared" si="3"/>
        <v>0.3056379822</v>
      </c>
      <c r="H226" s="26">
        <f t="shared" si="4"/>
        <v>0.6943620178</v>
      </c>
      <c r="I226" s="24" t="s">
        <v>83</v>
      </c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24" t="s">
        <v>325</v>
      </c>
      <c r="B227" s="24" t="s">
        <v>326</v>
      </c>
      <c r="C227" s="24" t="s">
        <v>327</v>
      </c>
      <c r="D227" s="25">
        <v>678.0</v>
      </c>
      <c r="E227" s="25">
        <v>870.0</v>
      </c>
      <c r="F227" s="25">
        <f t="shared" si="2"/>
        <v>1548</v>
      </c>
      <c r="G227" s="26">
        <f t="shared" si="3"/>
        <v>0.4379844961</v>
      </c>
      <c r="H227" s="26">
        <f t="shared" si="4"/>
        <v>0.5620155039</v>
      </c>
      <c r="I227" s="24" t="s">
        <v>83</v>
      </c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24" t="s">
        <v>325</v>
      </c>
      <c r="B228" s="24" t="s">
        <v>326</v>
      </c>
      <c r="C228" s="24" t="s">
        <v>328</v>
      </c>
      <c r="D228" s="25">
        <v>678.0</v>
      </c>
      <c r="E228" s="25">
        <v>870.0</v>
      </c>
      <c r="F228" s="25">
        <f t="shared" si="2"/>
        <v>1548</v>
      </c>
      <c r="G228" s="26">
        <f t="shared" si="3"/>
        <v>0.4379844961</v>
      </c>
      <c r="H228" s="26">
        <f t="shared" si="4"/>
        <v>0.5620155039</v>
      </c>
      <c r="I228" s="24" t="s">
        <v>83</v>
      </c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24" t="s">
        <v>325</v>
      </c>
      <c r="B229" s="24" t="s">
        <v>329</v>
      </c>
      <c r="C229" s="24" t="s">
        <v>330</v>
      </c>
      <c r="D229" s="25">
        <v>363.0</v>
      </c>
      <c r="E229" s="25">
        <v>554.0</v>
      </c>
      <c r="F229" s="25">
        <f t="shared" si="2"/>
        <v>917</v>
      </c>
      <c r="G229" s="26">
        <f t="shared" si="3"/>
        <v>0.3958560523</v>
      </c>
      <c r="H229" s="26">
        <f t="shared" si="4"/>
        <v>0.6041439477</v>
      </c>
      <c r="I229" s="24" t="s">
        <v>83</v>
      </c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24" t="s">
        <v>325</v>
      </c>
      <c r="B230" s="24" t="s">
        <v>329</v>
      </c>
      <c r="C230" s="24" t="s">
        <v>331</v>
      </c>
      <c r="D230" s="25">
        <v>363.0</v>
      </c>
      <c r="E230" s="25">
        <v>554.0</v>
      </c>
      <c r="F230" s="25">
        <f t="shared" si="2"/>
        <v>917</v>
      </c>
      <c r="G230" s="26">
        <f t="shared" si="3"/>
        <v>0.3958560523</v>
      </c>
      <c r="H230" s="26">
        <f t="shared" si="4"/>
        <v>0.6041439477</v>
      </c>
      <c r="I230" s="24" t="s">
        <v>83</v>
      </c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24" t="s">
        <v>325</v>
      </c>
      <c r="B231" s="24" t="s">
        <v>332</v>
      </c>
      <c r="C231" s="24" t="s">
        <v>332</v>
      </c>
      <c r="D231" s="25">
        <v>516.0</v>
      </c>
      <c r="E231" s="25">
        <v>616.0</v>
      </c>
      <c r="F231" s="25">
        <f t="shared" si="2"/>
        <v>1132</v>
      </c>
      <c r="G231" s="26">
        <f t="shared" si="3"/>
        <v>0.4558303887</v>
      </c>
      <c r="H231" s="26">
        <f t="shared" si="4"/>
        <v>0.5441696113</v>
      </c>
      <c r="I231" s="24" t="s">
        <v>83</v>
      </c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24" t="s">
        <v>325</v>
      </c>
      <c r="B232" s="24" t="s">
        <v>200</v>
      </c>
      <c r="C232" s="24" t="s">
        <v>333</v>
      </c>
      <c r="D232" s="25">
        <v>318.0</v>
      </c>
      <c r="E232" s="25">
        <v>275.0</v>
      </c>
      <c r="F232" s="25">
        <f t="shared" si="2"/>
        <v>593</v>
      </c>
      <c r="G232" s="26">
        <f t="shared" si="3"/>
        <v>0.5362563238</v>
      </c>
      <c r="H232" s="26">
        <f t="shared" si="4"/>
        <v>0.4637436762</v>
      </c>
      <c r="I232" s="24" t="s">
        <v>83</v>
      </c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24" t="s">
        <v>325</v>
      </c>
      <c r="B233" s="24" t="s">
        <v>200</v>
      </c>
      <c r="C233" s="24" t="s">
        <v>334</v>
      </c>
      <c r="D233" s="25">
        <v>318.0</v>
      </c>
      <c r="E233" s="25">
        <v>275.0</v>
      </c>
      <c r="F233" s="25">
        <f t="shared" si="2"/>
        <v>593</v>
      </c>
      <c r="G233" s="26">
        <f t="shared" si="3"/>
        <v>0.5362563238</v>
      </c>
      <c r="H233" s="26">
        <f t="shared" si="4"/>
        <v>0.4637436762</v>
      </c>
      <c r="I233" s="24" t="s">
        <v>83</v>
      </c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24" t="s">
        <v>325</v>
      </c>
      <c r="B234" s="24" t="s">
        <v>200</v>
      </c>
      <c r="C234" s="24" t="s">
        <v>335</v>
      </c>
      <c r="D234" s="25">
        <v>318.0</v>
      </c>
      <c r="E234" s="25">
        <v>275.0</v>
      </c>
      <c r="F234" s="25">
        <f t="shared" si="2"/>
        <v>593</v>
      </c>
      <c r="G234" s="26">
        <f t="shared" si="3"/>
        <v>0.5362563238</v>
      </c>
      <c r="H234" s="26">
        <f t="shared" si="4"/>
        <v>0.4637436762</v>
      </c>
      <c r="I234" s="24" t="s">
        <v>83</v>
      </c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24" t="s">
        <v>325</v>
      </c>
      <c r="B235" s="24" t="s">
        <v>200</v>
      </c>
      <c r="C235" s="24" t="s">
        <v>336</v>
      </c>
      <c r="D235" s="25">
        <v>318.0</v>
      </c>
      <c r="E235" s="25">
        <v>275.0</v>
      </c>
      <c r="F235" s="25">
        <f t="shared" si="2"/>
        <v>593</v>
      </c>
      <c r="G235" s="26">
        <f t="shared" si="3"/>
        <v>0.5362563238</v>
      </c>
      <c r="H235" s="26">
        <f t="shared" si="4"/>
        <v>0.4637436762</v>
      </c>
      <c r="I235" s="24" t="s">
        <v>83</v>
      </c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24" t="s">
        <v>325</v>
      </c>
      <c r="B236" s="24" t="s">
        <v>200</v>
      </c>
      <c r="C236" s="24" t="s">
        <v>337</v>
      </c>
      <c r="D236" s="25">
        <v>318.0</v>
      </c>
      <c r="E236" s="25">
        <v>275.0</v>
      </c>
      <c r="F236" s="25">
        <f t="shared" si="2"/>
        <v>593</v>
      </c>
      <c r="G236" s="26">
        <f t="shared" si="3"/>
        <v>0.5362563238</v>
      </c>
      <c r="H236" s="26">
        <f t="shared" si="4"/>
        <v>0.4637436762</v>
      </c>
      <c r="I236" s="24" t="s">
        <v>83</v>
      </c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24" t="s">
        <v>325</v>
      </c>
      <c r="B237" s="24" t="s">
        <v>200</v>
      </c>
      <c r="C237" s="24" t="s">
        <v>338</v>
      </c>
      <c r="D237" s="25">
        <v>318.0</v>
      </c>
      <c r="E237" s="25">
        <v>275.0</v>
      </c>
      <c r="F237" s="25">
        <f t="shared" si="2"/>
        <v>593</v>
      </c>
      <c r="G237" s="26">
        <f t="shared" si="3"/>
        <v>0.5362563238</v>
      </c>
      <c r="H237" s="26">
        <f t="shared" si="4"/>
        <v>0.4637436762</v>
      </c>
      <c r="I237" s="24" t="s">
        <v>83</v>
      </c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24" t="s">
        <v>325</v>
      </c>
      <c r="B238" s="24" t="s">
        <v>200</v>
      </c>
      <c r="C238" s="24" t="s">
        <v>339</v>
      </c>
      <c r="D238" s="25">
        <v>318.0</v>
      </c>
      <c r="E238" s="25">
        <v>275.0</v>
      </c>
      <c r="F238" s="25">
        <f t="shared" si="2"/>
        <v>593</v>
      </c>
      <c r="G238" s="26">
        <f t="shared" si="3"/>
        <v>0.5362563238</v>
      </c>
      <c r="H238" s="26">
        <f t="shared" si="4"/>
        <v>0.4637436762</v>
      </c>
      <c r="I238" s="24" t="s">
        <v>83</v>
      </c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24" t="s">
        <v>325</v>
      </c>
      <c r="B239" s="24" t="s">
        <v>200</v>
      </c>
      <c r="C239" s="24" t="s">
        <v>340</v>
      </c>
      <c r="D239" s="25">
        <v>318.0</v>
      </c>
      <c r="E239" s="25">
        <v>275.0</v>
      </c>
      <c r="F239" s="25">
        <f t="shared" si="2"/>
        <v>593</v>
      </c>
      <c r="G239" s="26">
        <f t="shared" si="3"/>
        <v>0.5362563238</v>
      </c>
      <c r="H239" s="26">
        <f t="shared" si="4"/>
        <v>0.4637436762</v>
      </c>
      <c r="I239" s="24" t="s">
        <v>83</v>
      </c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24" t="s">
        <v>325</v>
      </c>
      <c r="B240" s="24" t="s">
        <v>200</v>
      </c>
      <c r="C240" s="24" t="s">
        <v>341</v>
      </c>
      <c r="D240" s="25">
        <v>318.0</v>
      </c>
      <c r="E240" s="25">
        <v>275.0</v>
      </c>
      <c r="F240" s="25">
        <f t="shared" si="2"/>
        <v>593</v>
      </c>
      <c r="G240" s="26">
        <f t="shared" si="3"/>
        <v>0.5362563238</v>
      </c>
      <c r="H240" s="26">
        <f t="shared" si="4"/>
        <v>0.4637436762</v>
      </c>
      <c r="I240" s="24" t="s">
        <v>83</v>
      </c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24" t="s">
        <v>325</v>
      </c>
      <c r="B241" s="24" t="s">
        <v>200</v>
      </c>
      <c r="C241" s="24" t="s">
        <v>342</v>
      </c>
      <c r="D241" s="25">
        <v>318.0</v>
      </c>
      <c r="E241" s="25">
        <v>275.0</v>
      </c>
      <c r="F241" s="25">
        <f t="shared" si="2"/>
        <v>593</v>
      </c>
      <c r="G241" s="26">
        <f t="shared" si="3"/>
        <v>0.5362563238</v>
      </c>
      <c r="H241" s="26">
        <f t="shared" si="4"/>
        <v>0.4637436762</v>
      </c>
      <c r="I241" s="24" t="s">
        <v>83</v>
      </c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24" t="s">
        <v>325</v>
      </c>
      <c r="B242" s="24" t="s">
        <v>200</v>
      </c>
      <c r="C242" s="24" t="s">
        <v>343</v>
      </c>
      <c r="D242" s="25">
        <v>318.0</v>
      </c>
      <c r="E242" s="25">
        <v>275.0</v>
      </c>
      <c r="F242" s="25">
        <f t="shared" si="2"/>
        <v>593</v>
      </c>
      <c r="G242" s="26">
        <f t="shared" si="3"/>
        <v>0.5362563238</v>
      </c>
      <c r="H242" s="26">
        <f t="shared" si="4"/>
        <v>0.4637436762</v>
      </c>
      <c r="I242" s="24" t="s">
        <v>83</v>
      </c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24" t="s">
        <v>325</v>
      </c>
      <c r="B243" s="24" t="s">
        <v>200</v>
      </c>
      <c r="C243" s="24" t="s">
        <v>344</v>
      </c>
      <c r="D243" s="25">
        <v>318.0</v>
      </c>
      <c r="E243" s="25">
        <v>275.0</v>
      </c>
      <c r="F243" s="25">
        <f t="shared" si="2"/>
        <v>593</v>
      </c>
      <c r="G243" s="26">
        <f t="shared" si="3"/>
        <v>0.5362563238</v>
      </c>
      <c r="H243" s="26">
        <f t="shared" si="4"/>
        <v>0.4637436762</v>
      </c>
      <c r="I243" s="24" t="s">
        <v>83</v>
      </c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24" t="s">
        <v>325</v>
      </c>
      <c r="B244" s="24" t="s">
        <v>200</v>
      </c>
      <c r="C244" s="24" t="s">
        <v>345</v>
      </c>
      <c r="D244" s="25">
        <v>318.0</v>
      </c>
      <c r="E244" s="25">
        <v>275.0</v>
      </c>
      <c r="F244" s="25">
        <f t="shared" si="2"/>
        <v>593</v>
      </c>
      <c r="G244" s="26">
        <f t="shared" si="3"/>
        <v>0.5362563238</v>
      </c>
      <c r="H244" s="26">
        <f t="shared" si="4"/>
        <v>0.4637436762</v>
      </c>
      <c r="I244" s="24" t="s">
        <v>83</v>
      </c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24" t="s">
        <v>325</v>
      </c>
      <c r="B245" s="24" t="s">
        <v>200</v>
      </c>
      <c r="C245" s="24" t="s">
        <v>346</v>
      </c>
      <c r="D245" s="25">
        <v>318.0</v>
      </c>
      <c r="E245" s="25">
        <v>275.0</v>
      </c>
      <c r="F245" s="25">
        <f t="shared" si="2"/>
        <v>593</v>
      </c>
      <c r="G245" s="26">
        <f t="shared" si="3"/>
        <v>0.5362563238</v>
      </c>
      <c r="H245" s="26">
        <f t="shared" si="4"/>
        <v>0.4637436762</v>
      </c>
      <c r="I245" s="24" t="s">
        <v>83</v>
      </c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24" t="s">
        <v>325</v>
      </c>
      <c r="B246" s="24" t="s">
        <v>200</v>
      </c>
      <c r="C246" s="24" t="s">
        <v>347</v>
      </c>
      <c r="D246" s="25">
        <v>318.0</v>
      </c>
      <c r="E246" s="25">
        <v>275.0</v>
      </c>
      <c r="F246" s="25">
        <f t="shared" si="2"/>
        <v>593</v>
      </c>
      <c r="G246" s="26">
        <f t="shared" si="3"/>
        <v>0.5362563238</v>
      </c>
      <c r="H246" s="26">
        <f t="shared" si="4"/>
        <v>0.4637436762</v>
      </c>
      <c r="I246" s="24" t="s">
        <v>83</v>
      </c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24" t="s">
        <v>325</v>
      </c>
      <c r="B247" s="24" t="s">
        <v>200</v>
      </c>
      <c r="C247" s="24" t="s">
        <v>348</v>
      </c>
      <c r="D247" s="25">
        <v>318.0</v>
      </c>
      <c r="E247" s="25">
        <v>275.0</v>
      </c>
      <c r="F247" s="25">
        <f t="shared" si="2"/>
        <v>593</v>
      </c>
      <c r="G247" s="26">
        <f t="shared" si="3"/>
        <v>0.5362563238</v>
      </c>
      <c r="H247" s="26">
        <f t="shared" si="4"/>
        <v>0.4637436762</v>
      </c>
      <c r="I247" s="24" t="s">
        <v>83</v>
      </c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24" t="s">
        <v>325</v>
      </c>
      <c r="B248" s="24" t="s">
        <v>200</v>
      </c>
      <c r="C248" s="24" t="s">
        <v>349</v>
      </c>
      <c r="D248" s="25">
        <v>318.0</v>
      </c>
      <c r="E248" s="25">
        <v>275.0</v>
      </c>
      <c r="F248" s="25">
        <f t="shared" si="2"/>
        <v>593</v>
      </c>
      <c r="G248" s="26">
        <f t="shared" si="3"/>
        <v>0.5362563238</v>
      </c>
      <c r="H248" s="26">
        <f t="shared" si="4"/>
        <v>0.4637436762</v>
      </c>
      <c r="I248" s="24" t="s">
        <v>83</v>
      </c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24" t="s">
        <v>325</v>
      </c>
      <c r="B249" s="24" t="s">
        <v>200</v>
      </c>
      <c r="C249" s="24" t="s">
        <v>350</v>
      </c>
      <c r="D249" s="25">
        <v>318.0</v>
      </c>
      <c r="E249" s="25">
        <v>275.0</v>
      </c>
      <c r="F249" s="25">
        <f t="shared" si="2"/>
        <v>593</v>
      </c>
      <c r="G249" s="26">
        <f t="shared" si="3"/>
        <v>0.5362563238</v>
      </c>
      <c r="H249" s="26">
        <f t="shared" si="4"/>
        <v>0.4637436762</v>
      </c>
      <c r="I249" s="24" t="s">
        <v>83</v>
      </c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24" t="s">
        <v>325</v>
      </c>
      <c r="B250" s="24" t="s">
        <v>200</v>
      </c>
      <c r="C250" s="24" t="s">
        <v>351</v>
      </c>
      <c r="D250" s="25">
        <v>318.0</v>
      </c>
      <c r="E250" s="25">
        <v>275.0</v>
      </c>
      <c r="F250" s="25">
        <f t="shared" si="2"/>
        <v>593</v>
      </c>
      <c r="G250" s="26">
        <f t="shared" si="3"/>
        <v>0.5362563238</v>
      </c>
      <c r="H250" s="26">
        <f t="shared" si="4"/>
        <v>0.4637436762</v>
      </c>
      <c r="I250" s="24" t="s">
        <v>83</v>
      </c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24" t="s">
        <v>325</v>
      </c>
      <c r="B251" s="24" t="s">
        <v>200</v>
      </c>
      <c r="C251" s="24" t="s">
        <v>352</v>
      </c>
      <c r="D251" s="25">
        <v>318.0</v>
      </c>
      <c r="E251" s="25">
        <v>275.0</v>
      </c>
      <c r="F251" s="25">
        <f t="shared" si="2"/>
        <v>593</v>
      </c>
      <c r="G251" s="26">
        <f t="shared" si="3"/>
        <v>0.5362563238</v>
      </c>
      <c r="H251" s="26">
        <f t="shared" si="4"/>
        <v>0.4637436762</v>
      </c>
      <c r="I251" s="24" t="s">
        <v>83</v>
      </c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24" t="s">
        <v>325</v>
      </c>
      <c r="B252" s="24" t="s">
        <v>200</v>
      </c>
      <c r="C252" s="24" t="s">
        <v>353</v>
      </c>
      <c r="D252" s="25">
        <v>318.0</v>
      </c>
      <c r="E252" s="25">
        <v>275.0</v>
      </c>
      <c r="F252" s="25">
        <f t="shared" si="2"/>
        <v>593</v>
      </c>
      <c r="G252" s="26">
        <f t="shared" si="3"/>
        <v>0.5362563238</v>
      </c>
      <c r="H252" s="26">
        <f t="shared" si="4"/>
        <v>0.4637436762</v>
      </c>
      <c r="I252" s="24" t="s">
        <v>83</v>
      </c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24" t="s">
        <v>325</v>
      </c>
      <c r="B253" s="24" t="s">
        <v>200</v>
      </c>
      <c r="C253" s="24" t="s">
        <v>354</v>
      </c>
      <c r="D253" s="25">
        <v>318.0</v>
      </c>
      <c r="E253" s="25">
        <v>275.0</v>
      </c>
      <c r="F253" s="25">
        <f t="shared" si="2"/>
        <v>593</v>
      </c>
      <c r="G253" s="26">
        <f t="shared" si="3"/>
        <v>0.5362563238</v>
      </c>
      <c r="H253" s="26">
        <f t="shared" si="4"/>
        <v>0.4637436762</v>
      </c>
      <c r="I253" s="24" t="s">
        <v>83</v>
      </c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24" t="s">
        <v>325</v>
      </c>
      <c r="B254" s="24" t="s">
        <v>200</v>
      </c>
      <c r="C254" s="24" t="s">
        <v>355</v>
      </c>
      <c r="D254" s="25">
        <v>318.0</v>
      </c>
      <c r="E254" s="25">
        <v>275.0</v>
      </c>
      <c r="F254" s="25">
        <f t="shared" si="2"/>
        <v>593</v>
      </c>
      <c r="G254" s="26">
        <f t="shared" si="3"/>
        <v>0.5362563238</v>
      </c>
      <c r="H254" s="26">
        <f t="shared" si="4"/>
        <v>0.4637436762</v>
      </c>
      <c r="I254" s="24" t="s">
        <v>83</v>
      </c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24" t="s">
        <v>325</v>
      </c>
      <c r="B255" s="24" t="s">
        <v>200</v>
      </c>
      <c r="C255" s="24" t="s">
        <v>356</v>
      </c>
      <c r="D255" s="25">
        <v>318.0</v>
      </c>
      <c r="E255" s="25">
        <v>275.0</v>
      </c>
      <c r="F255" s="25">
        <f t="shared" si="2"/>
        <v>593</v>
      </c>
      <c r="G255" s="26">
        <f t="shared" si="3"/>
        <v>0.5362563238</v>
      </c>
      <c r="H255" s="26">
        <f t="shared" si="4"/>
        <v>0.4637436762</v>
      </c>
      <c r="I255" s="24" t="s">
        <v>83</v>
      </c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24" t="s">
        <v>325</v>
      </c>
      <c r="B256" s="24" t="s">
        <v>357</v>
      </c>
      <c r="C256" s="24" t="s">
        <v>358</v>
      </c>
      <c r="D256" s="25">
        <v>450.0</v>
      </c>
      <c r="E256" s="25">
        <v>388.0</v>
      </c>
      <c r="F256" s="25">
        <f t="shared" si="2"/>
        <v>838</v>
      </c>
      <c r="G256" s="26">
        <f t="shared" si="3"/>
        <v>0.5369928401</v>
      </c>
      <c r="H256" s="26">
        <f t="shared" si="4"/>
        <v>0.4630071599</v>
      </c>
      <c r="I256" s="24" t="s">
        <v>83</v>
      </c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24" t="s">
        <v>325</v>
      </c>
      <c r="B257" s="24" t="s">
        <v>357</v>
      </c>
      <c r="C257" s="24" t="s">
        <v>359</v>
      </c>
      <c r="D257" s="25">
        <v>450.0</v>
      </c>
      <c r="E257" s="25">
        <v>388.0</v>
      </c>
      <c r="F257" s="25">
        <f t="shared" si="2"/>
        <v>838</v>
      </c>
      <c r="G257" s="26">
        <f t="shared" si="3"/>
        <v>0.5369928401</v>
      </c>
      <c r="H257" s="26">
        <f t="shared" si="4"/>
        <v>0.4630071599</v>
      </c>
      <c r="I257" s="24" t="s">
        <v>83</v>
      </c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24" t="s">
        <v>325</v>
      </c>
      <c r="B258" s="24" t="s">
        <v>357</v>
      </c>
      <c r="C258" s="24" t="s">
        <v>360</v>
      </c>
      <c r="D258" s="25">
        <v>450.0</v>
      </c>
      <c r="E258" s="25">
        <v>388.0</v>
      </c>
      <c r="F258" s="25">
        <f t="shared" si="2"/>
        <v>838</v>
      </c>
      <c r="G258" s="26">
        <f t="shared" si="3"/>
        <v>0.5369928401</v>
      </c>
      <c r="H258" s="26">
        <f t="shared" si="4"/>
        <v>0.4630071599</v>
      </c>
      <c r="I258" s="24" t="s">
        <v>83</v>
      </c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24" t="s">
        <v>325</v>
      </c>
      <c r="B259" s="24" t="s">
        <v>357</v>
      </c>
      <c r="C259" s="24" t="s">
        <v>361</v>
      </c>
      <c r="D259" s="25">
        <v>450.0</v>
      </c>
      <c r="E259" s="25">
        <v>388.0</v>
      </c>
      <c r="F259" s="25">
        <f t="shared" si="2"/>
        <v>838</v>
      </c>
      <c r="G259" s="26">
        <f t="shared" si="3"/>
        <v>0.5369928401</v>
      </c>
      <c r="H259" s="26">
        <f t="shared" si="4"/>
        <v>0.4630071599</v>
      </c>
      <c r="I259" s="24" t="s">
        <v>83</v>
      </c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24" t="s">
        <v>325</v>
      </c>
      <c r="B260" s="24" t="s">
        <v>357</v>
      </c>
      <c r="C260" s="24" t="s">
        <v>362</v>
      </c>
      <c r="D260" s="25">
        <v>450.0</v>
      </c>
      <c r="E260" s="25">
        <v>388.0</v>
      </c>
      <c r="F260" s="25">
        <f t="shared" si="2"/>
        <v>838</v>
      </c>
      <c r="G260" s="26">
        <f t="shared" si="3"/>
        <v>0.5369928401</v>
      </c>
      <c r="H260" s="26">
        <f t="shared" si="4"/>
        <v>0.4630071599</v>
      </c>
      <c r="I260" s="24" t="s">
        <v>83</v>
      </c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24" t="s">
        <v>325</v>
      </c>
      <c r="B261" s="24" t="s">
        <v>357</v>
      </c>
      <c r="C261" s="24" t="s">
        <v>363</v>
      </c>
      <c r="D261" s="25">
        <v>450.0</v>
      </c>
      <c r="E261" s="25">
        <v>388.0</v>
      </c>
      <c r="F261" s="25">
        <f t="shared" si="2"/>
        <v>838</v>
      </c>
      <c r="G261" s="26">
        <f t="shared" si="3"/>
        <v>0.5369928401</v>
      </c>
      <c r="H261" s="26">
        <f t="shared" si="4"/>
        <v>0.4630071599</v>
      </c>
      <c r="I261" s="24" t="s">
        <v>83</v>
      </c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24" t="s">
        <v>325</v>
      </c>
      <c r="B262" s="24" t="s">
        <v>357</v>
      </c>
      <c r="C262" s="24" t="s">
        <v>364</v>
      </c>
      <c r="D262" s="25">
        <v>450.0</v>
      </c>
      <c r="E262" s="25">
        <v>388.0</v>
      </c>
      <c r="F262" s="25">
        <f t="shared" si="2"/>
        <v>838</v>
      </c>
      <c r="G262" s="26">
        <f t="shared" si="3"/>
        <v>0.5369928401</v>
      </c>
      <c r="H262" s="26">
        <f t="shared" si="4"/>
        <v>0.4630071599</v>
      </c>
      <c r="I262" s="24" t="s">
        <v>83</v>
      </c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24" t="s">
        <v>325</v>
      </c>
      <c r="B263" s="24" t="s">
        <v>357</v>
      </c>
      <c r="C263" s="24" t="s">
        <v>365</v>
      </c>
      <c r="D263" s="25">
        <v>450.0</v>
      </c>
      <c r="E263" s="25">
        <v>388.0</v>
      </c>
      <c r="F263" s="25">
        <f t="shared" si="2"/>
        <v>838</v>
      </c>
      <c r="G263" s="26">
        <f t="shared" si="3"/>
        <v>0.5369928401</v>
      </c>
      <c r="H263" s="26">
        <f t="shared" si="4"/>
        <v>0.4630071599</v>
      </c>
      <c r="I263" s="24" t="s">
        <v>83</v>
      </c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24" t="s">
        <v>325</v>
      </c>
      <c r="B264" s="24" t="s">
        <v>357</v>
      </c>
      <c r="C264" s="24" t="s">
        <v>366</v>
      </c>
      <c r="D264" s="25">
        <v>450.0</v>
      </c>
      <c r="E264" s="25">
        <v>388.0</v>
      </c>
      <c r="F264" s="25">
        <f t="shared" si="2"/>
        <v>838</v>
      </c>
      <c r="G264" s="26">
        <f t="shared" si="3"/>
        <v>0.5369928401</v>
      </c>
      <c r="H264" s="26">
        <f t="shared" si="4"/>
        <v>0.4630071599</v>
      </c>
      <c r="I264" s="24" t="s">
        <v>83</v>
      </c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24" t="s">
        <v>325</v>
      </c>
      <c r="B265" s="24" t="s">
        <v>357</v>
      </c>
      <c r="C265" s="24" t="s">
        <v>367</v>
      </c>
      <c r="D265" s="25">
        <v>450.0</v>
      </c>
      <c r="E265" s="25">
        <v>388.0</v>
      </c>
      <c r="F265" s="25">
        <f t="shared" si="2"/>
        <v>838</v>
      </c>
      <c r="G265" s="26">
        <f t="shared" si="3"/>
        <v>0.5369928401</v>
      </c>
      <c r="H265" s="26">
        <f t="shared" si="4"/>
        <v>0.4630071599</v>
      </c>
      <c r="I265" s="24" t="s">
        <v>83</v>
      </c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24" t="s">
        <v>325</v>
      </c>
      <c r="B266" s="24" t="s">
        <v>357</v>
      </c>
      <c r="C266" s="24" t="s">
        <v>368</v>
      </c>
      <c r="D266" s="25">
        <v>450.0</v>
      </c>
      <c r="E266" s="25">
        <v>388.0</v>
      </c>
      <c r="F266" s="25">
        <f t="shared" si="2"/>
        <v>838</v>
      </c>
      <c r="G266" s="26">
        <f t="shared" si="3"/>
        <v>0.5369928401</v>
      </c>
      <c r="H266" s="26">
        <f t="shared" si="4"/>
        <v>0.4630071599</v>
      </c>
      <c r="I266" s="24" t="s">
        <v>83</v>
      </c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24" t="s">
        <v>325</v>
      </c>
      <c r="B267" s="24" t="s">
        <v>357</v>
      </c>
      <c r="C267" s="24" t="s">
        <v>369</v>
      </c>
      <c r="D267" s="25">
        <v>450.0</v>
      </c>
      <c r="E267" s="25">
        <v>388.0</v>
      </c>
      <c r="F267" s="25">
        <f t="shared" si="2"/>
        <v>838</v>
      </c>
      <c r="G267" s="26">
        <f t="shared" si="3"/>
        <v>0.5369928401</v>
      </c>
      <c r="H267" s="26">
        <f t="shared" si="4"/>
        <v>0.4630071599</v>
      </c>
      <c r="I267" s="24" t="s">
        <v>83</v>
      </c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24" t="s">
        <v>325</v>
      </c>
      <c r="B268" s="24" t="s">
        <v>357</v>
      </c>
      <c r="C268" s="24" t="s">
        <v>370</v>
      </c>
      <c r="D268" s="25">
        <v>450.0</v>
      </c>
      <c r="E268" s="25">
        <v>388.0</v>
      </c>
      <c r="F268" s="25">
        <f t="shared" si="2"/>
        <v>838</v>
      </c>
      <c r="G268" s="26">
        <f t="shared" si="3"/>
        <v>0.5369928401</v>
      </c>
      <c r="H268" s="26">
        <f t="shared" si="4"/>
        <v>0.4630071599</v>
      </c>
      <c r="I268" s="24" t="s">
        <v>83</v>
      </c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24" t="s">
        <v>325</v>
      </c>
      <c r="B269" s="24" t="s">
        <v>357</v>
      </c>
      <c r="C269" s="24" t="s">
        <v>371</v>
      </c>
      <c r="D269" s="25">
        <v>450.0</v>
      </c>
      <c r="E269" s="25">
        <v>388.0</v>
      </c>
      <c r="F269" s="25">
        <f t="shared" si="2"/>
        <v>838</v>
      </c>
      <c r="G269" s="26">
        <f t="shared" si="3"/>
        <v>0.5369928401</v>
      </c>
      <c r="H269" s="26">
        <f t="shared" si="4"/>
        <v>0.4630071599</v>
      </c>
      <c r="I269" s="24" t="s">
        <v>83</v>
      </c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24" t="s">
        <v>325</v>
      </c>
      <c r="B270" s="24" t="s">
        <v>357</v>
      </c>
      <c r="C270" s="24" t="s">
        <v>372</v>
      </c>
      <c r="D270" s="25">
        <v>450.0</v>
      </c>
      <c r="E270" s="25">
        <v>388.0</v>
      </c>
      <c r="F270" s="25">
        <f t="shared" si="2"/>
        <v>838</v>
      </c>
      <c r="G270" s="26">
        <f t="shared" si="3"/>
        <v>0.5369928401</v>
      </c>
      <c r="H270" s="26">
        <f t="shared" si="4"/>
        <v>0.4630071599</v>
      </c>
      <c r="I270" s="24" t="s">
        <v>83</v>
      </c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24" t="s">
        <v>325</v>
      </c>
      <c r="B271" s="24" t="s">
        <v>357</v>
      </c>
      <c r="C271" s="24" t="s">
        <v>373</v>
      </c>
      <c r="D271" s="25">
        <v>450.0</v>
      </c>
      <c r="E271" s="25">
        <v>388.0</v>
      </c>
      <c r="F271" s="25">
        <f t="shared" si="2"/>
        <v>838</v>
      </c>
      <c r="G271" s="26">
        <f t="shared" si="3"/>
        <v>0.5369928401</v>
      </c>
      <c r="H271" s="26">
        <f t="shared" si="4"/>
        <v>0.4630071599</v>
      </c>
      <c r="I271" s="24" t="s">
        <v>83</v>
      </c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24" t="s">
        <v>325</v>
      </c>
      <c r="B272" s="24" t="s">
        <v>357</v>
      </c>
      <c r="C272" s="24" t="s">
        <v>374</v>
      </c>
      <c r="D272" s="25">
        <v>450.0</v>
      </c>
      <c r="E272" s="25">
        <v>388.0</v>
      </c>
      <c r="F272" s="25">
        <f t="shared" si="2"/>
        <v>838</v>
      </c>
      <c r="G272" s="26">
        <f t="shared" si="3"/>
        <v>0.5369928401</v>
      </c>
      <c r="H272" s="26">
        <f t="shared" si="4"/>
        <v>0.4630071599</v>
      </c>
      <c r="I272" s="24" t="s">
        <v>83</v>
      </c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24" t="s">
        <v>325</v>
      </c>
      <c r="B273" s="24" t="s">
        <v>375</v>
      </c>
      <c r="C273" s="24" t="s">
        <v>376</v>
      </c>
      <c r="D273" s="25">
        <v>683.0</v>
      </c>
      <c r="E273" s="25">
        <v>1078.0</v>
      </c>
      <c r="F273" s="25">
        <f t="shared" si="2"/>
        <v>1761</v>
      </c>
      <c r="G273" s="26">
        <f t="shared" si="3"/>
        <v>0.3878478137</v>
      </c>
      <c r="H273" s="26">
        <f t="shared" si="4"/>
        <v>0.6121521863</v>
      </c>
      <c r="I273" s="24" t="s">
        <v>83</v>
      </c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24" t="s">
        <v>325</v>
      </c>
      <c r="B274" s="24" t="s">
        <v>375</v>
      </c>
      <c r="C274" s="24" t="s">
        <v>377</v>
      </c>
      <c r="D274" s="25">
        <v>683.0</v>
      </c>
      <c r="E274" s="25">
        <v>1078.0</v>
      </c>
      <c r="F274" s="25">
        <f t="shared" si="2"/>
        <v>1761</v>
      </c>
      <c r="G274" s="26">
        <f t="shared" si="3"/>
        <v>0.3878478137</v>
      </c>
      <c r="H274" s="26">
        <f t="shared" si="4"/>
        <v>0.6121521863</v>
      </c>
      <c r="I274" s="24" t="s">
        <v>83</v>
      </c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24" t="s">
        <v>325</v>
      </c>
      <c r="B275" s="24" t="s">
        <v>375</v>
      </c>
      <c r="C275" s="24" t="s">
        <v>378</v>
      </c>
      <c r="D275" s="25">
        <v>683.0</v>
      </c>
      <c r="E275" s="25">
        <v>1078.0</v>
      </c>
      <c r="F275" s="25">
        <f t="shared" si="2"/>
        <v>1761</v>
      </c>
      <c r="G275" s="26">
        <f t="shared" si="3"/>
        <v>0.3878478137</v>
      </c>
      <c r="H275" s="26">
        <f t="shared" si="4"/>
        <v>0.6121521863</v>
      </c>
      <c r="I275" s="24" t="s">
        <v>83</v>
      </c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24" t="s">
        <v>325</v>
      </c>
      <c r="B276" s="24" t="s">
        <v>379</v>
      </c>
      <c r="C276" s="24" t="s">
        <v>379</v>
      </c>
      <c r="D276" s="25">
        <v>29.0</v>
      </c>
      <c r="E276" s="25">
        <v>77.0</v>
      </c>
      <c r="F276" s="25">
        <f t="shared" si="2"/>
        <v>106</v>
      </c>
      <c r="G276" s="26">
        <f t="shared" si="3"/>
        <v>0.2735849057</v>
      </c>
      <c r="H276" s="26">
        <f t="shared" si="4"/>
        <v>0.7264150943</v>
      </c>
      <c r="I276" s="24" t="s">
        <v>83</v>
      </c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24" t="s">
        <v>325</v>
      </c>
      <c r="B277" s="24" t="s">
        <v>380</v>
      </c>
      <c r="C277" s="24" t="s">
        <v>381</v>
      </c>
      <c r="D277" s="25">
        <v>670.0</v>
      </c>
      <c r="E277" s="25">
        <v>852.0</v>
      </c>
      <c r="F277" s="25">
        <f t="shared" si="2"/>
        <v>1522</v>
      </c>
      <c r="G277" s="26">
        <f t="shared" si="3"/>
        <v>0.4402102497</v>
      </c>
      <c r="H277" s="26">
        <f t="shared" si="4"/>
        <v>0.5597897503</v>
      </c>
      <c r="I277" s="24" t="s">
        <v>83</v>
      </c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24" t="s">
        <v>325</v>
      </c>
      <c r="B278" s="24" t="s">
        <v>380</v>
      </c>
      <c r="C278" s="24" t="s">
        <v>382</v>
      </c>
      <c r="D278" s="25">
        <v>670.0</v>
      </c>
      <c r="E278" s="25">
        <v>852.0</v>
      </c>
      <c r="F278" s="25">
        <f t="shared" si="2"/>
        <v>1522</v>
      </c>
      <c r="G278" s="26">
        <f t="shared" si="3"/>
        <v>0.4402102497</v>
      </c>
      <c r="H278" s="26">
        <f t="shared" si="4"/>
        <v>0.5597897503</v>
      </c>
      <c r="I278" s="24" t="s">
        <v>83</v>
      </c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24" t="s">
        <v>325</v>
      </c>
      <c r="B279" s="24" t="s">
        <v>383</v>
      </c>
      <c r="C279" s="24" t="s">
        <v>383</v>
      </c>
      <c r="D279" s="25">
        <v>152.0</v>
      </c>
      <c r="E279" s="25">
        <v>217.0</v>
      </c>
      <c r="F279" s="25">
        <f t="shared" si="2"/>
        <v>369</v>
      </c>
      <c r="G279" s="26">
        <f t="shared" si="3"/>
        <v>0.4119241192</v>
      </c>
      <c r="H279" s="26">
        <f t="shared" si="4"/>
        <v>0.5880758808</v>
      </c>
      <c r="I279" s="24" t="s">
        <v>83</v>
      </c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24" t="s">
        <v>325</v>
      </c>
      <c r="B280" s="24" t="s">
        <v>384</v>
      </c>
      <c r="C280" s="24" t="s">
        <v>385</v>
      </c>
      <c r="D280" s="25">
        <v>430.0</v>
      </c>
      <c r="E280" s="25">
        <v>199.0</v>
      </c>
      <c r="F280" s="25">
        <f t="shared" si="2"/>
        <v>629</v>
      </c>
      <c r="G280" s="26">
        <f t="shared" si="3"/>
        <v>0.6836248013</v>
      </c>
      <c r="H280" s="26">
        <f t="shared" si="4"/>
        <v>0.3163751987</v>
      </c>
      <c r="I280" s="24" t="s">
        <v>83</v>
      </c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24" t="s">
        <v>325</v>
      </c>
      <c r="B281" s="24" t="s">
        <v>384</v>
      </c>
      <c r="C281" s="24" t="s">
        <v>386</v>
      </c>
      <c r="D281" s="25">
        <v>430.0</v>
      </c>
      <c r="E281" s="25">
        <v>199.0</v>
      </c>
      <c r="F281" s="25">
        <f t="shared" si="2"/>
        <v>629</v>
      </c>
      <c r="G281" s="26">
        <f t="shared" si="3"/>
        <v>0.6836248013</v>
      </c>
      <c r="H281" s="26">
        <f t="shared" si="4"/>
        <v>0.3163751987</v>
      </c>
      <c r="I281" s="24" t="s">
        <v>83</v>
      </c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24" t="s">
        <v>325</v>
      </c>
      <c r="B282" s="24" t="s">
        <v>384</v>
      </c>
      <c r="C282" s="24" t="s">
        <v>387</v>
      </c>
      <c r="D282" s="25">
        <v>430.0</v>
      </c>
      <c r="E282" s="25">
        <v>199.0</v>
      </c>
      <c r="F282" s="25">
        <f t="shared" si="2"/>
        <v>629</v>
      </c>
      <c r="G282" s="26">
        <f t="shared" si="3"/>
        <v>0.6836248013</v>
      </c>
      <c r="H282" s="26">
        <f t="shared" si="4"/>
        <v>0.3163751987</v>
      </c>
      <c r="I282" s="24" t="s">
        <v>83</v>
      </c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24" t="s">
        <v>325</v>
      </c>
      <c r="B283" s="24" t="s">
        <v>384</v>
      </c>
      <c r="C283" s="24" t="s">
        <v>388</v>
      </c>
      <c r="D283" s="25">
        <v>430.0</v>
      </c>
      <c r="E283" s="25">
        <v>199.0</v>
      </c>
      <c r="F283" s="25">
        <f t="shared" si="2"/>
        <v>629</v>
      </c>
      <c r="G283" s="26">
        <f t="shared" si="3"/>
        <v>0.6836248013</v>
      </c>
      <c r="H283" s="26">
        <f t="shared" si="4"/>
        <v>0.3163751987</v>
      </c>
      <c r="I283" s="24" t="s">
        <v>83</v>
      </c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24" t="s">
        <v>325</v>
      </c>
      <c r="B284" s="24" t="s">
        <v>384</v>
      </c>
      <c r="C284" s="24" t="s">
        <v>389</v>
      </c>
      <c r="D284" s="25">
        <v>430.0</v>
      </c>
      <c r="E284" s="25">
        <v>199.0</v>
      </c>
      <c r="F284" s="25">
        <f t="shared" si="2"/>
        <v>629</v>
      </c>
      <c r="G284" s="26">
        <f t="shared" si="3"/>
        <v>0.6836248013</v>
      </c>
      <c r="H284" s="26">
        <f t="shared" si="4"/>
        <v>0.3163751987</v>
      </c>
      <c r="I284" s="24" t="s">
        <v>83</v>
      </c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24" t="s">
        <v>325</v>
      </c>
      <c r="B285" s="24" t="s">
        <v>384</v>
      </c>
      <c r="C285" s="24" t="s">
        <v>390</v>
      </c>
      <c r="D285" s="25">
        <v>430.0</v>
      </c>
      <c r="E285" s="25">
        <v>199.0</v>
      </c>
      <c r="F285" s="25">
        <f t="shared" si="2"/>
        <v>629</v>
      </c>
      <c r="G285" s="26">
        <f t="shared" si="3"/>
        <v>0.6836248013</v>
      </c>
      <c r="H285" s="26">
        <f t="shared" si="4"/>
        <v>0.3163751987</v>
      </c>
      <c r="I285" s="24" t="s">
        <v>83</v>
      </c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24" t="s">
        <v>325</v>
      </c>
      <c r="B286" s="24" t="s">
        <v>384</v>
      </c>
      <c r="C286" s="24" t="s">
        <v>391</v>
      </c>
      <c r="D286" s="25">
        <v>430.0</v>
      </c>
      <c r="E286" s="25">
        <v>199.0</v>
      </c>
      <c r="F286" s="25">
        <f t="shared" si="2"/>
        <v>629</v>
      </c>
      <c r="G286" s="26">
        <f t="shared" si="3"/>
        <v>0.6836248013</v>
      </c>
      <c r="H286" s="26">
        <f t="shared" si="4"/>
        <v>0.3163751987</v>
      </c>
      <c r="I286" s="24" t="s">
        <v>83</v>
      </c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24" t="s">
        <v>325</v>
      </c>
      <c r="B287" s="24" t="s">
        <v>384</v>
      </c>
      <c r="C287" s="24" t="s">
        <v>392</v>
      </c>
      <c r="D287" s="25">
        <v>430.0</v>
      </c>
      <c r="E287" s="25">
        <v>199.0</v>
      </c>
      <c r="F287" s="25">
        <f t="shared" si="2"/>
        <v>629</v>
      </c>
      <c r="G287" s="26">
        <f t="shared" si="3"/>
        <v>0.6836248013</v>
      </c>
      <c r="H287" s="26">
        <f t="shared" si="4"/>
        <v>0.3163751987</v>
      </c>
      <c r="I287" s="24" t="s">
        <v>83</v>
      </c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24" t="s">
        <v>325</v>
      </c>
      <c r="B288" s="24" t="s">
        <v>384</v>
      </c>
      <c r="C288" s="24" t="s">
        <v>393</v>
      </c>
      <c r="D288" s="25">
        <v>430.0</v>
      </c>
      <c r="E288" s="25">
        <v>199.0</v>
      </c>
      <c r="F288" s="25">
        <f t="shared" si="2"/>
        <v>629</v>
      </c>
      <c r="G288" s="26">
        <f t="shared" si="3"/>
        <v>0.6836248013</v>
      </c>
      <c r="H288" s="26">
        <f t="shared" si="4"/>
        <v>0.3163751987</v>
      </c>
      <c r="I288" s="24" t="s">
        <v>83</v>
      </c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24" t="s">
        <v>325</v>
      </c>
      <c r="B289" s="24" t="s">
        <v>384</v>
      </c>
      <c r="C289" s="24" t="s">
        <v>394</v>
      </c>
      <c r="D289" s="25">
        <v>430.0</v>
      </c>
      <c r="E289" s="25">
        <v>199.0</v>
      </c>
      <c r="F289" s="25">
        <f t="shared" si="2"/>
        <v>629</v>
      </c>
      <c r="G289" s="26">
        <f t="shared" si="3"/>
        <v>0.6836248013</v>
      </c>
      <c r="H289" s="26">
        <f t="shared" si="4"/>
        <v>0.3163751987</v>
      </c>
      <c r="I289" s="24" t="s">
        <v>83</v>
      </c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24" t="s">
        <v>325</v>
      </c>
      <c r="B290" s="24" t="s">
        <v>384</v>
      </c>
      <c r="C290" s="24" t="s">
        <v>395</v>
      </c>
      <c r="D290" s="25">
        <v>430.0</v>
      </c>
      <c r="E290" s="25">
        <v>199.0</v>
      </c>
      <c r="F290" s="25">
        <f t="shared" si="2"/>
        <v>629</v>
      </c>
      <c r="G290" s="26">
        <f t="shared" si="3"/>
        <v>0.6836248013</v>
      </c>
      <c r="H290" s="26">
        <f t="shared" si="4"/>
        <v>0.3163751987</v>
      </c>
      <c r="I290" s="24" t="s">
        <v>83</v>
      </c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24" t="s">
        <v>325</v>
      </c>
      <c r="B291" s="24" t="s">
        <v>384</v>
      </c>
      <c r="C291" s="24" t="s">
        <v>396</v>
      </c>
      <c r="D291" s="25">
        <v>430.0</v>
      </c>
      <c r="E291" s="25">
        <v>199.0</v>
      </c>
      <c r="F291" s="25">
        <f t="shared" si="2"/>
        <v>629</v>
      </c>
      <c r="G291" s="26">
        <f t="shared" si="3"/>
        <v>0.6836248013</v>
      </c>
      <c r="H291" s="26">
        <f t="shared" si="4"/>
        <v>0.3163751987</v>
      </c>
      <c r="I291" s="24" t="s">
        <v>83</v>
      </c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24" t="s">
        <v>325</v>
      </c>
      <c r="B292" s="24" t="s">
        <v>397</v>
      </c>
      <c r="C292" s="24" t="s">
        <v>398</v>
      </c>
      <c r="D292" s="25">
        <v>673.0</v>
      </c>
      <c r="E292" s="25">
        <v>655.0</v>
      </c>
      <c r="F292" s="25">
        <f t="shared" si="2"/>
        <v>1328</v>
      </c>
      <c r="G292" s="26">
        <f t="shared" si="3"/>
        <v>0.5067771084</v>
      </c>
      <c r="H292" s="26">
        <f t="shared" si="4"/>
        <v>0.4932228916</v>
      </c>
      <c r="I292" s="24" t="s">
        <v>83</v>
      </c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24" t="s">
        <v>325</v>
      </c>
      <c r="B293" s="24" t="s">
        <v>397</v>
      </c>
      <c r="C293" s="24" t="s">
        <v>399</v>
      </c>
      <c r="D293" s="25">
        <v>673.0</v>
      </c>
      <c r="E293" s="25">
        <v>655.0</v>
      </c>
      <c r="F293" s="25">
        <f t="shared" si="2"/>
        <v>1328</v>
      </c>
      <c r="G293" s="26">
        <f t="shared" si="3"/>
        <v>0.5067771084</v>
      </c>
      <c r="H293" s="26">
        <f t="shared" si="4"/>
        <v>0.4932228916</v>
      </c>
      <c r="I293" s="24" t="s">
        <v>83</v>
      </c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24" t="s">
        <v>325</v>
      </c>
      <c r="B294" s="24" t="s">
        <v>397</v>
      </c>
      <c r="C294" s="24" t="s">
        <v>400</v>
      </c>
      <c r="D294" s="25">
        <v>673.0</v>
      </c>
      <c r="E294" s="25">
        <v>655.0</v>
      </c>
      <c r="F294" s="25">
        <f t="shared" si="2"/>
        <v>1328</v>
      </c>
      <c r="G294" s="26">
        <f t="shared" si="3"/>
        <v>0.5067771084</v>
      </c>
      <c r="H294" s="26">
        <f t="shared" si="4"/>
        <v>0.4932228916</v>
      </c>
      <c r="I294" s="24" t="s">
        <v>83</v>
      </c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24" t="s">
        <v>325</v>
      </c>
      <c r="B295" s="24" t="s">
        <v>397</v>
      </c>
      <c r="C295" s="24" t="s">
        <v>401</v>
      </c>
      <c r="D295" s="25">
        <v>673.0</v>
      </c>
      <c r="E295" s="25">
        <v>655.0</v>
      </c>
      <c r="F295" s="25">
        <f t="shared" si="2"/>
        <v>1328</v>
      </c>
      <c r="G295" s="26">
        <f t="shared" si="3"/>
        <v>0.5067771084</v>
      </c>
      <c r="H295" s="26">
        <f t="shared" si="4"/>
        <v>0.4932228916</v>
      </c>
      <c r="I295" s="24" t="s">
        <v>83</v>
      </c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24" t="s">
        <v>325</v>
      </c>
      <c r="B296" s="24" t="s">
        <v>397</v>
      </c>
      <c r="C296" s="24" t="s">
        <v>402</v>
      </c>
      <c r="D296" s="25">
        <v>673.0</v>
      </c>
      <c r="E296" s="25">
        <v>655.0</v>
      </c>
      <c r="F296" s="25">
        <f t="shared" si="2"/>
        <v>1328</v>
      </c>
      <c r="G296" s="26">
        <f t="shared" si="3"/>
        <v>0.5067771084</v>
      </c>
      <c r="H296" s="26">
        <f t="shared" si="4"/>
        <v>0.4932228916</v>
      </c>
      <c r="I296" s="24" t="s">
        <v>83</v>
      </c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24" t="s">
        <v>325</v>
      </c>
      <c r="B297" s="24" t="s">
        <v>397</v>
      </c>
      <c r="C297" s="24" t="s">
        <v>403</v>
      </c>
      <c r="D297" s="25">
        <v>673.0</v>
      </c>
      <c r="E297" s="25">
        <v>655.0</v>
      </c>
      <c r="F297" s="25">
        <f t="shared" si="2"/>
        <v>1328</v>
      </c>
      <c r="G297" s="26">
        <f t="shared" si="3"/>
        <v>0.5067771084</v>
      </c>
      <c r="H297" s="26">
        <f t="shared" si="4"/>
        <v>0.4932228916</v>
      </c>
      <c r="I297" s="24" t="s">
        <v>83</v>
      </c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24" t="s">
        <v>325</v>
      </c>
      <c r="B298" s="24" t="s">
        <v>397</v>
      </c>
      <c r="C298" s="24" t="s">
        <v>404</v>
      </c>
      <c r="D298" s="25">
        <v>673.0</v>
      </c>
      <c r="E298" s="25">
        <v>655.0</v>
      </c>
      <c r="F298" s="25">
        <f t="shared" si="2"/>
        <v>1328</v>
      </c>
      <c r="G298" s="26">
        <f t="shared" si="3"/>
        <v>0.5067771084</v>
      </c>
      <c r="H298" s="26">
        <f t="shared" si="4"/>
        <v>0.4932228916</v>
      </c>
      <c r="I298" s="24" t="s">
        <v>83</v>
      </c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24" t="s">
        <v>325</v>
      </c>
      <c r="B299" s="24" t="s">
        <v>405</v>
      </c>
      <c r="C299" s="24" t="s">
        <v>405</v>
      </c>
      <c r="D299" s="25">
        <v>488.0</v>
      </c>
      <c r="E299" s="25">
        <v>382.0</v>
      </c>
      <c r="F299" s="25">
        <f t="shared" si="2"/>
        <v>870</v>
      </c>
      <c r="G299" s="26">
        <f t="shared" si="3"/>
        <v>0.5609195402</v>
      </c>
      <c r="H299" s="26">
        <f t="shared" si="4"/>
        <v>0.4390804598</v>
      </c>
      <c r="I299" s="24" t="s">
        <v>83</v>
      </c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24" t="s">
        <v>325</v>
      </c>
      <c r="B300" s="24" t="s">
        <v>406</v>
      </c>
      <c r="C300" s="24" t="s">
        <v>406</v>
      </c>
      <c r="D300" s="25">
        <v>79.0</v>
      </c>
      <c r="E300" s="25">
        <v>92.0</v>
      </c>
      <c r="F300" s="25">
        <f t="shared" si="2"/>
        <v>171</v>
      </c>
      <c r="G300" s="26">
        <f t="shared" si="3"/>
        <v>0.4619883041</v>
      </c>
      <c r="H300" s="26">
        <f t="shared" si="4"/>
        <v>0.5380116959</v>
      </c>
      <c r="I300" s="24" t="s">
        <v>83</v>
      </c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24" t="s">
        <v>325</v>
      </c>
      <c r="B301" s="24" t="s">
        <v>232</v>
      </c>
      <c r="C301" s="24" t="s">
        <v>407</v>
      </c>
      <c r="D301" s="25">
        <v>664.0</v>
      </c>
      <c r="E301" s="25">
        <v>540.0</v>
      </c>
      <c r="F301" s="25">
        <f t="shared" si="2"/>
        <v>1204</v>
      </c>
      <c r="G301" s="26">
        <f t="shared" si="3"/>
        <v>0.5514950166</v>
      </c>
      <c r="H301" s="26">
        <f t="shared" si="4"/>
        <v>0.4485049834</v>
      </c>
      <c r="I301" s="24" t="s">
        <v>83</v>
      </c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24" t="s">
        <v>325</v>
      </c>
      <c r="B302" s="24" t="s">
        <v>232</v>
      </c>
      <c r="C302" s="24" t="s">
        <v>408</v>
      </c>
      <c r="D302" s="25">
        <v>664.0</v>
      </c>
      <c r="E302" s="25">
        <v>540.0</v>
      </c>
      <c r="F302" s="25">
        <f t="shared" si="2"/>
        <v>1204</v>
      </c>
      <c r="G302" s="26">
        <f t="shared" si="3"/>
        <v>0.5514950166</v>
      </c>
      <c r="H302" s="26">
        <f t="shared" si="4"/>
        <v>0.4485049834</v>
      </c>
      <c r="I302" s="24" t="s">
        <v>83</v>
      </c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24" t="s">
        <v>325</v>
      </c>
      <c r="B303" s="24" t="s">
        <v>232</v>
      </c>
      <c r="C303" s="24" t="s">
        <v>409</v>
      </c>
      <c r="D303" s="25">
        <v>664.0</v>
      </c>
      <c r="E303" s="25">
        <v>540.0</v>
      </c>
      <c r="F303" s="25">
        <f t="shared" si="2"/>
        <v>1204</v>
      </c>
      <c r="G303" s="26">
        <f t="shared" si="3"/>
        <v>0.5514950166</v>
      </c>
      <c r="H303" s="26">
        <f t="shared" si="4"/>
        <v>0.4485049834</v>
      </c>
      <c r="I303" s="24" t="s">
        <v>83</v>
      </c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24" t="s">
        <v>325</v>
      </c>
      <c r="B304" s="24" t="s">
        <v>232</v>
      </c>
      <c r="C304" s="24" t="s">
        <v>410</v>
      </c>
      <c r="D304" s="25">
        <v>664.0</v>
      </c>
      <c r="E304" s="25">
        <v>540.0</v>
      </c>
      <c r="F304" s="25">
        <f t="shared" si="2"/>
        <v>1204</v>
      </c>
      <c r="G304" s="26">
        <f t="shared" si="3"/>
        <v>0.5514950166</v>
      </c>
      <c r="H304" s="26">
        <f t="shared" si="4"/>
        <v>0.4485049834</v>
      </c>
      <c r="I304" s="24" t="s">
        <v>83</v>
      </c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24" t="s">
        <v>325</v>
      </c>
      <c r="B305" s="24" t="s">
        <v>232</v>
      </c>
      <c r="C305" s="24" t="s">
        <v>411</v>
      </c>
      <c r="D305" s="25">
        <v>664.0</v>
      </c>
      <c r="E305" s="25">
        <v>540.0</v>
      </c>
      <c r="F305" s="25">
        <f t="shared" si="2"/>
        <v>1204</v>
      </c>
      <c r="G305" s="26">
        <f t="shared" si="3"/>
        <v>0.5514950166</v>
      </c>
      <c r="H305" s="26">
        <f t="shared" si="4"/>
        <v>0.4485049834</v>
      </c>
      <c r="I305" s="24" t="s">
        <v>83</v>
      </c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24" t="s">
        <v>325</v>
      </c>
      <c r="B306" s="24" t="s">
        <v>232</v>
      </c>
      <c r="C306" s="24" t="s">
        <v>412</v>
      </c>
      <c r="D306" s="25">
        <v>664.0</v>
      </c>
      <c r="E306" s="25">
        <v>540.0</v>
      </c>
      <c r="F306" s="25">
        <f t="shared" si="2"/>
        <v>1204</v>
      </c>
      <c r="G306" s="26">
        <f t="shared" si="3"/>
        <v>0.5514950166</v>
      </c>
      <c r="H306" s="26">
        <f t="shared" si="4"/>
        <v>0.4485049834</v>
      </c>
      <c r="I306" s="24" t="s">
        <v>83</v>
      </c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24" t="s">
        <v>325</v>
      </c>
      <c r="B307" s="24" t="s">
        <v>413</v>
      </c>
      <c r="C307" s="24" t="s">
        <v>414</v>
      </c>
      <c r="D307" s="25">
        <v>480.0</v>
      </c>
      <c r="E307" s="25">
        <v>498.0</v>
      </c>
      <c r="F307" s="25">
        <f t="shared" si="2"/>
        <v>978</v>
      </c>
      <c r="G307" s="26">
        <f t="shared" si="3"/>
        <v>0.490797546</v>
      </c>
      <c r="H307" s="26">
        <f t="shared" si="4"/>
        <v>0.509202454</v>
      </c>
      <c r="I307" s="24" t="s">
        <v>83</v>
      </c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24" t="s">
        <v>325</v>
      </c>
      <c r="B308" s="24" t="s">
        <v>413</v>
      </c>
      <c r="C308" s="24" t="s">
        <v>415</v>
      </c>
      <c r="D308" s="25">
        <v>480.0</v>
      </c>
      <c r="E308" s="25">
        <v>498.0</v>
      </c>
      <c r="F308" s="25">
        <f t="shared" si="2"/>
        <v>978</v>
      </c>
      <c r="G308" s="26">
        <f t="shared" si="3"/>
        <v>0.490797546</v>
      </c>
      <c r="H308" s="26">
        <f t="shared" si="4"/>
        <v>0.509202454</v>
      </c>
      <c r="I308" s="24" t="s">
        <v>83</v>
      </c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24" t="s">
        <v>325</v>
      </c>
      <c r="B309" s="24" t="s">
        <v>413</v>
      </c>
      <c r="C309" s="24" t="s">
        <v>416</v>
      </c>
      <c r="D309" s="25">
        <v>480.0</v>
      </c>
      <c r="E309" s="25">
        <v>498.0</v>
      </c>
      <c r="F309" s="25">
        <f t="shared" si="2"/>
        <v>978</v>
      </c>
      <c r="G309" s="26">
        <f t="shared" si="3"/>
        <v>0.490797546</v>
      </c>
      <c r="H309" s="26">
        <f t="shared" si="4"/>
        <v>0.509202454</v>
      </c>
      <c r="I309" s="24" t="s">
        <v>83</v>
      </c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24" t="s">
        <v>325</v>
      </c>
      <c r="B310" s="24" t="s">
        <v>417</v>
      </c>
      <c r="C310" s="24" t="s">
        <v>418</v>
      </c>
      <c r="D310" s="25">
        <v>394.0</v>
      </c>
      <c r="E310" s="25">
        <v>798.0</v>
      </c>
      <c r="F310" s="25">
        <f t="shared" si="2"/>
        <v>1192</v>
      </c>
      <c r="G310" s="26">
        <f t="shared" si="3"/>
        <v>0.3305369128</v>
      </c>
      <c r="H310" s="26">
        <f t="shared" si="4"/>
        <v>0.6694630872</v>
      </c>
      <c r="I310" s="24" t="s">
        <v>83</v>
      </c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24" t="s">
        <v>325</v>
      </c>
      <c r="B311" s="24" t="s">
        <v>417</v>
      </c>
      <c r="C311" s="24" t="s">
        <v>419</v>
      </c>
      <c r="D311" s="25">
        <v>394.0</v>
      </c>
      <c r="E311" s="25">
        <v>798.0</v>
      </c>
      <c r="F311" s="25">
        <f t="shared" si="2"/>
        <v>1192</v>
      </c>
      <c r="G311" s="26">
        <f t="shared" si="3"/>
        <v>0.3305369128</v>
      </c>
      <c r="H311" s="26">
        <f t="shared" si="4"/>
        <v>0.6694630872</v>
      </c>
      <c r="I311" s="24" t="s">
        <v>83</v>
      </c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24" t="s">
        <v>325</v>
      </c>
      <c r="B312" s="24" t="s">
        <v>417</v>
      </c>
      <c r="C312" s="24" t="s">
        <v>420</v>
      </c>
      <c r="D312" s="25">
        <v>394.0</v>
      </c>
      <c r="E312" s="25">
        <v>798.0</v>
      </c>
      <c r="F312" s="25">
        <f t="shared" si="2"/>
        <v>1192</v>
      </c>
      <c r="G312" s="26">
        <f t="shared" si="3"/>
        <v>0.3305369128</v>
      </c>
      <c r="H312" s="26">
        <f t="shared" si="4"/>
        <v>0.6694630872</v>
      </c>
      <c r="I312" s="24" t="s">
        <v>83</v>
      </c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24" t="s">
        <v>325</v>
      </c>
      <c r="B313" s="24" t="s">
        <v>417</v>
      </c>
      <c r="C313" s="24" t="s">
        <v>421</v>
      </c>
      <c r="D313" s="25">
        <v>394.0</v>
      </c>
      <c r="E313" s="25">
        <v>798.0</v>
      </c>
      <c r="F313" s="25">
        <f t="shared" si="2"/>
        <v>1192</v>
      </c>
      <c r="G313" s="26">
        <f t="shared" si="3"/>
        <v>0.3305369128</v>
      </c>
      <c r="H313" s="26">
        <f t="shared" si="4"/>
        <v>0.6694630872</v>
      </c>
      <c r="I313" s="24" t="s">
        <v>83</v>
      </c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24" t="s">
        <v>325</v>
      </c>
      <c r="B314" s="24" t="s">
        <v>417</v>
      </c>
      <c r="C314" s="24" t="s">
        <v>422</v>
      </c>
      <c r="D314" s="25">
        <v>394.0</v>
      </c>
      <c r="E314" s="25">
        <v>798.0</v>
      </c>
      <c r="F314" s="25">
        <f t="shared" si="2"/>
        <v>1192</v>
      </c>
      <c r="G314" s="26">
        <f t="shared" si="3"/>
        <v>0.3305369128</v>
      </c>
      <c r="H314" s="26">
        <f t="shared" si="4"/>
        <v>0.6694630872</v>
      </c>
      <c r="I314" s="24" t="s">
        <v>83</v>
      </c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24" t="s">
        <v>325</v>
      </c>
      <c r="B315" s="24" t="s">
        <v>423</v>
      </c>
      <c r="C315" s="24" t="s">
        <v>424</v>
      </c>
      <c r="D315" s="25">
        <v>261.0</v>
      </c>
      <c r="E315" s="25">
        <v>563.0</v>
      </c>
      <c r="F315" s="25">
        <f t="shared" si="2"/>
        <v>824</v>
      </c>
      <c r="G315" s="26">
        <f t="shared" si="3"/>
        <v>0.3167475728</v>
      </c>
      <c r="H315" s="26">
        <f t="shared" si="4"/>
        <v>0.6832524272</v>
      </c>
      <c r="I315" s="24" t="s">
        <v>83</v>
      </c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24" t="s">
        <v>325</v>
      </c>
      <c r="B316" s="24" t="s">
        <v>423</v>
      </c>
      <c r="C316" s="24" t="s">
        <v>425</v>
      </c>
      <c r="D316" s="25">
        <v>261.0</v>
      </c>
      <c r="E316" s="25">
        <v>563.0</v>
      </c>
      <c r="F316" s="25">
        <f t="shared" si="2"/>
        <v>824</v>
      </c>
      <c r="G316" s="26">
        <f t="shared" si="3"/>
        <v>0.3167475728</v>
      </c>
      <c r="H316" s="26">
        <f t="shared" si="4"/>
        <v>0.6832524272</v>
      </c>
      <c r="I316" s="24" t="s">
        <v>83</v>
      </c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24" t="s">
        <v>325</v>
      </c>
      <c r="B317" s="24" t="s">
        <v>426</v>
      </c>
      <c r="C317" s="24" t="s">
        <v>427</v>
      </c>
      <c r="D317" s="25">
        <v>497.0</v>
      </c>
      <c r="E317" s="25">
        <v>610.0</v>
      </c>
      <c r="F317" s="25">
        <f t="shared" si="2"/>
        <v>1107</v>
      </c>
      <c r="G317" s="26">
        <f t="shared" si="3"/>
        <v>0.4489611563</v>
      </c>
      <c r="H317" s="26">
        <f t="shared" si="4"/>
        <v>0.5510388437</v>
      </c>
      <c r="I317" s="24" t="s">
        <v>83</v>
      </c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24" t="s">
        <v>325</v>
      </c>
      <c r="B318" s="24" t="s">
        <v>426</v>
      </c>
      <c r="C318" s="24" t="s">
        <v>428</v>
      </c>
      <c r="D318" s="25">
        <v>497.0</v>
      </c>
      <c r="E318" s="25">
        <v>610.0</v>
      </c>
      <c r="F318" s="25">
        <f t="shared" si="2"/>
        <v>1107</v>
      </c>
      <c r="G318" s="26">
        <f t="shared" si="3"/>
        <v>0.4489611563</v>
      </c>
      <c r="H318" s="26">
        <f t="shared" si="4"/>
        <v>0.5510388437</v>
      </c>
      <c r="I318" s="24" t="s">
        <v>83</v>
      </c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24" t="s">
        <v>325</v>
      </c>
      <c r="B319" s="24" t="s">
        <v>426</v>
      </c>
      <c r="C319" s="24" t="s">
        <v>429</v>
      </c>
      <c r="D319" s="25">
        <v>497.0</v>
      </c>
      <c r="E319" s="25">
        <v>610.0</v>
      </c>
      <c r="F319" s="25">
        <f t="shared" si="2"/>
        <v>1107</v>
      </c>
      <c r="G319" s="26">
        <f t="shared" si="3"/>
        <v>0.4489611563</v>
      </c>
      <c r="H319" s="26">
        <f t="shared" si="4"/>
        <v>0.5510388437</v>
      </c>
      <c r="I319" s="24" t="s">
        <v>83</v>
      </c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24" t="s">
        <v>325</v>
      </c>
      <c r="B320" s="24" t="s">
        <v>426</v>
      </c>
      <c r="C320" s="24" t="s">
        <v>430</v>
      </c>
      <c r="D320" s="25">
        <v>497.0</v>
      </c>
      <c r="E320" s="25">
        <v>610.0</v>
      </c>
      <c r="F320" s="25">
        <f t="shared" si="2"/>
        <v>1107</v>
      </c>
      <c r="G320" s="26">
        <f t="shared" si="3"/>
        <v>0.4489611563</v>
      </c>
      <c r="H320" s="26">
        <f t="shared" si="4"/>
        <v>0.5510388437</v>
      </c>
      <c r="I320" s="24" t="s">
        <v>83</v>
      </c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24" t="s">
        <v>325</v>
      </c>
      <c r="B321" s="24" t="s">
        <v>431</v>
      </c>
      <c r="C321" s="24" t="s">
        <v>432</v>
      </c>
      <c r="D321" s="25">
        <v>531.0</v>
      </c>
      <c r="E321" s="25">
        <v>584.0</v>
      </c>
      <c r="F321" s="25">
        <f t="shared" si="2"/>
        <v>1115</v>
      </c>
      <c r="G321" s="26">
        <f t="shared" si="3"/>
        <v>0.4762331839</v>
      </c>
      <c r="H321" s="26">
        <f t="shared" si="4"/>
        <v>0.5237668161</v>
      </c>
      <c r="I321" s="24" t="s">
        <v>83</v>
      </c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24" t="s">
        <v>325</v>
      </c>
      <c r="B322" s="24" t="s">
        <v>431</v>
      </c>
      <c r="C322" s="24" t="s">
        <v>433</v>
      </c>
      <c r="D322" s="25">
        <v>531.0</v>
      </c>
      <c r="E322" s="25">
        <v>584.0</v>
      </c>
      <c r="F322" s="25">
        <f t="shared" si="2"/>
        <v>1115</v>
      </c>
      <c r="G322" s="26">
        <f t="shared" si="3"/>
        <v>0.4762331839</v>
      </c>
      <c r="H322" s="26">
        <f t="shared" si="4"/>
        <v>0.5237668161</v>
      </c>
      <c r="I322" s="24" t="s">
        <v>83</v>
      </c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24" t="s">
        <v>325</v>
      </c>
      <c r="B323" s="24" t="s">
        <v>431</v>
      </c>
      <c r="C323" s="24" t="s">
        <v>434</v>
      </c>
      <c r="D323" s="25">
        <v>531.0</v>
      </c>
      <c r="E323" s="25">
        <v>584.0</v>
      </c>
      <c r="F323" s="25">
        <f t="shared" si="2"/>
        <v>1115</v>
      </c>
      <c r="G323" s="26">
        <f t="shared" si="3"/>
        <v>0.4762331839</v>
      </c>
      <c r="H323" s="26">
        <f t="shared" si="4"/>
        <v>0.5237668161</v>
      </c>
      <c r="I323" s="24" t="s">
        <v>83</v>
      </c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24" t="s">
        <v>325</v>
      </c>
      <c r="B324" s="24" t="s">
        <v>431</v>
      </c>
      <c r="C324" s="24" t="s">
        <v>435</v>
      </c>
      <c r="D324" s="25">
        <v>531.0</v>
      </c>
      <c r="E324" s="25">
        <v>584.0</v>
      </c>
      <c r="F324" s="25">
        <f t="shared" si="2"/>
        <v>1115</v>
      </c>
      <c r="G324" s="26">
        <f t="shared" si="3"/>
        <v>0.4762331839</v>
      </c>
      <c r="H324" s="26">
        <f t="shared" si="4"/>
        <v>0.5237668161</v>
      </c>
      <c r="I324" s="24" t="s">
        <v>83</v>
      </c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24" t="s">
        <v>325</v>
      </c>
      <c r="B325" s="24" t="s">
        <v>431</v>
      </c>
      <c r="C325" s="24" t="s">
        <v>436</v>
      </c>
      <c r="D325" s="25">
        <v>531.0</v>
      </c>
      <c r="E325" s="25">
        <v>584.0</v>
      </c>
      <c r="F325" s="25">
        <f t="shared" si="2"/>
        <v>1115</v>
      </c>
      <c r="G325" s="26">
        <f t="shared" si="3"/>
        <v>0.4762331839</v>
      </c>
      <c r="H325" s="26">
        <f t="shared" si="4"/>
        <v>0.5237668161</v>
      </c>
      <c r="I325" s="24" t="s">
        <v>83</v>
      </c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24" t="s">
        <v>325</v>
      </c>
      <c r="B326" s="24" t="s">
        <v>431</v>
      </c>
      <c r="C326" s="24" t="s">
        <v>437</v>
      </c>
      <c r="D326" s="25">
        <v>531.0</v>
      </c>
      <c r="E326" s="25">
        <v>584.0</v>
      </c>
      <c r="F326" s="25">
        <f t="shared" si="2"/>
        <v>1115</v>
      </c>
      <c r="G326" s="26">
        <f t="shared" si="3"/>
        <v>0.4762331839</v>
      </c>
      <c r="H326" s="26">
        <f t="shared" si="4"/>
        <v>0.5237668161</v>
      </c>
      <c r="I326" s="24" t="s">
        <v>83</v>
      </c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24" t="s">
        <v>325</v>
      </c>
      <c r="B327" s="24" t="s">
        <v>438</v>
      </c>
      <c r="C327" s="24" t="s">
        <v>439</v>
      </c>
      <c r="D327" s="25">
        <v>456.0</v>
      </c>
      <c r="E327" s="25">
        <v>941.0</v>
      </c>
      <c r="F327" s="25">
        <f t="shared" si="2"/>
        <v>1397</v>
      </c>
      <c r="G327" s="26">
        <f t="shared" si="3"/>
        <v>0.3264137437</v>
      </c>
      <c r="H327" s="26">
        <f t="shared" si="4"/>
        <v>0.6735862563</v>
      </c>
      <c r="I327" s="24" t="s">
        <v>83</v>
      </c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24" t="s">
        <v>325</v>
      </c>
      <c r="B328" s="24" t="s">
        <v>438</v>
      </c>
      <c r="C328" s="24" t="s">
        <v>440</v>
      </c>
      <c r="D328" s="25">
        <v>456.0</v>
      </c>
      <c r="E328" s="25">
        <v>941.0</v>
      </c>
      <c r="F328" s="25">
        <f t="shared" si="2"/>
        <v>1397</v>
      </c>
      <c r="G328" s="26">
        <f t="shared" si="3"/>
        <v>0.3264137437</v>
      </c>
      <c r="H328" s="26">
        <f t="shared" si="4"/>
        <v>0.6735862563</v>
      </c>
      <c r="I328" s="24" t="s">
        <v>83</v>
      </c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24" t="s">
        <v>325</v>
      </c>
      <c r="B329" s="24" t="s">
        <v>438</v>
      </c>
      <c r="C329" s="24" t="s">
        <v>441</v>
      </c>
      <c r="D329" s="25">
        <v>456.0</v>
      </c>
      <c r="E329" s="25">
        <v>941.0</v>
      </c>
      <c r="F329" s="25">
        <f t="shared" si="2"/>
        <v>1397</v>
      </c>
      <c r="G329" s="26">
        <f t="shared" si="3"/>
        <v>0.3264137437</v>
      </c>
      <c r="H329" s="26">
        <f t="shared" si="4"/>
        <v>0.6735862563</v>
      </c>
      <c r="I329" s="24" t="s">
        <v>83</v>
      </c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24" t="s">
        <v>325</v>
      </c>
      <c r="B330" s="24" t="s">
        <v>438</v>
      </c>
      <c r="C330" s="24" t="s">
        <v>442</v>
      </c>
      <c r="D330" s="25">
        <v>456.0</v>
      </c>
      <c r="E330" s="25">
        <v>941.0</v>
      </c>
      <c r="F330" s="25">
        <f t="shared" si="2"/>
        <v>1397</v>
      </c>
      <c r="G330" s="26">
        <f t="shared" si="3"/>
        <v>0.3264137437</v>
      </c>
      <c r="H330" s="26">
        <f t="shared" si="4"/>
        <v>0.6735862563</v>
      </c>
      <c r="I330" s="24" t="s">
        <v>83</v>
      </c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24" t="s">
        <v>325</v>
      </c>
      <c r="B331" s="24" t="s">
        <v>443</v>
      </c>
      <c r="C331" s="24" t="s">
        <v>444</v>
      </c>
      <c r="D331" s="25">
        <v>450.0</v>
      </c>
      <c r="E331" s="25">
        <v>482.0</v>
      </c>
      <c r="F331" s="25">
        <f t="shared" si="2"/>
        <v>932</v>
      </c>
      <c r="G331" s="26">
        <f t="shared" si="3"/>
        <v>0.482832618</v>
      </c>
      <c r="H331" s="26">
        <f t="shared" si="4"/>
        <v>0.517167382</v>
      </c>
      <c r="I331" s="24" t="s">
        <v>83</v>
      </c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24" t="s">
        <v>325</v>
      </c>
      <c r="B332" s="24" t="s">
        <v>443</v>
      </c>
      <c r="C332" s="24" t="s">
        <v>445</v>
      </c>
      <c r="D332" s="25">
        <v>450.0</v>
      </c>
      <c r="E332" s="25">
        <v>482.0</v>
      </c>
      <c r="F332" s="25">
        <f t="shared" si="2"/>
        <v>932</v>
      </c>
      <c r="G332" s="26">
        <f t="shared" si="3"/>
        <v>0.482832618</v>
      </c>
      <c r="H332" s="26">
        <f t="shared" si="4"/>
        <v>0.517167382</v>
      </c>
      <c r="I332" s="24" t="s">
        <v>83</v>
      </c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24" t="s">
        <v>325</v>
      </c>
      <c r="B333" s="24" t="s">
        <v>443</v>
      </c>
      <c r="C333" s="24" t="s">
        <v>446</v>
      </c>
      <c r="D333" s="25">
        <v>450.0</v>
      </c>
      <c r="E333" s="25">
        <v>482.0</v>
      </c>
      <c r="F333" s="25">
        <f t="shared" si="2"/>
        <v>932</v>
      </c>
      <c r="G333" s="26">
        <f t="shared" si="3"/>
        <v>0.482832618</v>
      </c>
      <c r="H333" s="26">
        <f t="shared" si="4"/>
        <v>0.517167382</v>
      </c>
      <c r="I333" s="24" t="s">
        <v>83</v>
      </c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24" t="s">
        <v>325</v>
      </c>
      <c r="B334" s="24" t="s">
        <v>447</v>
      </c>
      <c r="C334" s="24" t="s">
        <v>448</v>
      </c>
      <c r="D334" s="25">
        <v>364.0</v>
      </c>
      <c r="E334" s="25">
        <v>385.0</v>
      </c>
      <c r="F334" s="25">
        <f t="shared" si="2"/>
        <v>749</v>
      </c>
      <c r="G334" s="26">
        <f t="shared" si="3"/>
        <v>0.4859813084</v>
      </c>
      <c r="H334" s="26">
        <f t="shared" si="4"/>
        <v>0.5140186916</v>
      </c>
      <c r="I334" s="24" t="s">
        <v>83</v>
      </c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24" t="s">
        <v>325</v>
      </c>
      <c r="B335" s="24" t="s">
        <v>447</v>
      </c>
      <c r="C335" s="24" t="s">
        <v>449</v>
      </c>
      <c r="D335" s="25">
        <v>364.0</v>
      </c>
      <c r="E335" s="25">
        <v>385.0</v>
      </c>
      <c r="F335" s="25">
        <f t="shared" si="2"/>
        <v>749</v>
      </c>
      <c r="G335" s="26">
        <f t="shared" si="3"/>
        <v>0.4859813084</v>
      </c>
      <c r="H335" s="26">
        <f t="shared" si="4"/>
        <v>0.5140186916</v>
      </c>
      <c r="I335" s="24" t="s">
        <v>83</v>
      </c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24" t="s">
        <v>325</v>
      </c>
      <c r="B336" s="24" t="s">
        <v>450</v>
      </c>
      <c r="C336" s="24" t="s">
        <v>451</v>
      </c>
      <c r="D336" s="25">
        <v>523.0</v>
      </c>
      <c r="E336" s="25">
        <v>620.0</v>
      </c>
      <c r="F336" s="25">
        <f t="shared" si="2"/>
        <v>1143</v>
      </c>
      <c r="G336" s="26">
        <f t="shared" si="3"/>
        <v>0.457567804</v>
      </c>
      <c r="H336" s="26">
        <f t="shared" si="4"/>
        <v>0.542432196</v>
      </c>
      <c r="I336" s="24" t="s">
        <v>83</v>
      </c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24" t="s">
        <v>325</v>
      </c>
      <c r="B337" s="24" t="s">
        <v>450</v>
      </c>
      <c r="C337" s="24" t="s">
        <v>452</v>
      </c>
      <c r="D337" s="25">
        <v>523.0</v>
      </c>
      <c r="E337" s="25">
        <v>620.0</v>
      </c>
      <c r="F337" s="25">
        <f t="shared" si="2"/>
        <v>1143</v>
      </c>
      <c r="G337" s="26">
        <f t="shared" si="3"/>
        <v>0.457567804</v>
      </c>
      <c r="H337" s="26">
        <f t="shared" si="4"/>
        <v>0.542432196</v>
      </c>
      <c r="I337" s="24" t="s">
        <v>83</v>
      </c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24" t="s">
        <v>325</v>
      </c>
      <c r="B338" s="24" t="s">
        <v>450</v>
      </c>
      <c r="C338" s="24" t="s">
        <v>453</v>
      </c>
      <c r="D338" s="25">
        <v>523.0</v>
      </c>
      <c r="E338" s="25">
        <v>620.0</v>
      </c>
      <c r="F338" s="25">
        <f t="shared" si="2"/>
        <v>1143</v>
      </c>
      <c r="G338" s="26">
        <f t="shared" si="3"/>
        <v>0.457567804</v>
      </c>
      <c r="H338" s="26">
        <f t="shared" si="4"/>
        <v>0.542432196</v>
      </c>
      <c r="I338" s="24" t="s">
        <v>83</v>
      </c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24" t="s">
        <v>325</v>
      </c>
      <c r="B339" s="24" t="s">
        <v>450</v>
      </c>
      <c r="C339" s="24" t="s">
        <v>454</v>
      </c>
      <c r="D339" s="25">
        <v>523.0</v>
      </c>
      <c r="E339" s="25">
        <v>620.0</v>
      </c>
      <c r="F339" s="25">
        <f t="shared" si="2"/>
        <v>1143</v>
      </c>
      <c r="G339" s="26">
        <f t="shared" si="3"/>
        <v>0.457567804</v>
      </c>
      <c r="H339" s="26">
        <f t="shared" si="4"/>
        <v>0.542432196</v>
      </c>
      <c r="I339" s="24" t="s">
        <v>83</v>
      </c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24" t="s">
        <v>325</v>
      </c>
      <c r="B340" s="24" t="s">
        <v>455</v>
      </c>
      <c r="C340" s="24" t="s">
        <v>456</v>
      </c>
      <c r="D340" s="25">
        <v>652.0</v>
      </c>
      <c r="E340" s="25">
        <v>651.0</v>
      </c>
      <c r="F340" s="25">
        <f t="shared" si="2"/>
        <v>1303</v>
      </c>
      <c r="G340" s="26">
        <f t="shared" si="3"/>
        <v>0.5003837299</v>
      </c>
      <c r="H340" s="26">
        <f t="shared" si="4"/>
        <v>0.4996162701</v>
      </c>
      <c r="I340" s="24" t="s">
        <v>83</v>
      </c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24" t="s">
        <v>325</v>
      </c>
      <c r="B341" s="24" t="s">
        <v>455</v>
      </c>
      <c r="C341" s="24" t="s">
        <v>457</v>
      </c>
      <c r="D341" s="25">
        <v>652.0</v>
      </c>
      <c r="E341" s="25">
        <v>651.0</v>
      </c>
      <c r="F341" s="25">
        <f t="shared" si="2"/>
        <v>1303</v>
      </c>
      <c r="G341" s="26">
        <f t="shared" si="3"/>
        <v>0.5003837299</v>
      </c>
      <c r="H341" s="26">
        <f t="shared" si="4"/>
        <v>0.4996162701</v>
      </c>
      <c r="I341" s="24" t="s">
        <v>83</v>
      </c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24" t="s">
        <v>325</v>
      </c>
      <c r="B342" s="24" t="s">
        <v>455</v>
      </c>
      <c r="C342" s="24" t="s">
        <v>458</v>
      </c>
      <c r="D342" s="25">
        <v>652.0</v>
      </c>
      <c r="E342" s="25">
        <v>651.0</v>
      </c>
      <c r="F342" s="25">
        <f t="shared" si="2"/>
        <v>1303</v>
      </c>
      <c r="G342" s="26">
        <f t="shared" si="3"/>
        <v>0.5003837299</v>
      </c>
      <c r="H342" s="26">
        <f t="shared" si="4"/>
        <v>0.4996162701</v>
      </c>
      <c r="I342" s="24" t="s">
        <v>83</v>
      </c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24" t="s">
        <v>325</v>
      </c>
      <c r="B343" s="24" t="s">
        <v>455</v>
      </c>
      <c r="C343" s="24" t="s">
        <v>459</v>
      </c>
      <c r="D343" s="25">
        <v>652.0</v>
      </c>
      <c r="E343" s="25">
        <v>651.0</v>
      </c>
      <c r="F343" s="25">
        <f t="shared" si="2"/>
        <v>1303</v>
      </c>
      <c r="G343" s="26">
        <f t="shared" si="3"/>
        <v>0.5003837299</v>
      </c>
      <c r="H343" s="26">
        <f t="shared" si="4"/>
        <v>0.4996162701</v>
      </c>
      <c r="I343" s="24" t="s">
        <v>83</v>
      </c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24" t="s">
        <v>325</v>
      </c>
      <c r="B344" s="24" t="s">
        <v>455</v>
      </c>
      <c r="C344" s="24" t="s">
        <v>460</v>
      </c>
      <c r="D344" s="25">
        <v>652.0</v>
      </c>
      <c r="E344" s="25">
        <v>651.0</v>
      </c>
      <c r="F344" s="25">
        <f t="shared" si="2"/>
        <v>1303</v>
      </c>
      <c r="G344" s="26">
        <f t="shared" si="3"/>
        <v>0.5003837299</v>
      </c>
      <c r="H344" s="26">
        <f t="shared" si="4"/>
        <v>0.4996162701</v>
      </c>
      <c r="I344" s="24" t="s">
        <v>83</v>
      </c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24" t="s">
        <v>325</v>
      </c>
      <c r="B345" s="24" t="s">
        <v>455</v>
      </c>
      <c r="C345" s="24" t="s">
        <v>461</v>
      </c>
      <c r="D345" s="25">
        <v>652.0</v>
      </c>
      <c r="E345" s="25">
        <v>651.0</v>
      </c>
      <c r="F345" s="25">
        <f t="shared" si="2"/>
        <v>1303</v>
      </c>
      <c r="G345" s="26">
        <f t="shared" si="3"/>
        <v>0.5003837299</v>
      </c>
      <c r="H345" s="26">
        <f t="shared" si="4"/>
        <v>0.4996162701</v>
      </c>
      <c r="I345" s="24" t="s">
        <v>83</v>
      </c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24" t="s">
        <v>325</v>
      </c>
      <c r="B346" s="24" t="s">
        <v>455</v>
      </c>
      <c r="C346" s="24" t="s">
        <v>462</v>
      </c>
      <c r="D346" s="25">
        <v>652.0</v>
      </c>
      <c r="E346" s="25">
        <v>651.0</v>
      </c>
      <c r="F346" s="25">
        <f t="shared" si="2"/>
        <v>1303</v>
      </c>
      <c r="G346" s="26">
        <f t="shared" si="3"/>
        <v>0.5003837299</v>
      </c>
      <c r="H346" s="26">
        <f t="shared" si="4"/>
        <v>0.4996162701</v>
      </c>
      <c r="I346" s="24" t="s">
        <v>83</v>
      </c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24" t="s">
        <v>325</v>
      </c>
      <c r="B347" s="24" t="s">
        <v>455</v>
      </c>
      <c r="C347" s="24" t="s">
        <v>463</v>
      </c>
      <c r="D347" s="25">
        <v>652.0</v>
      </c>
      <c r="E347" s="25">
        <v>651.0</v>
      </c>
      <c r="F347" s="25">
        <f t="shared" si="2"/>
        <v>1303</v>
      </c>
      <c r="G347" s="26">
        <f t="shared" si="3"/>
        <v>0.5003837299</v>
      </c>
      <c r="H347" s="26">
        <f t="shared" si="4"/>
        <v>0.4996162701</v>
      </c>
      <c r="I347" s="24" t="s">
        <v>83</v>
      </c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24" t="s">
        <v>325</v>
      </c>
      <c r="B348" s="24" t="s">
        <v>455</v>
      </c>
      <c r="C348" s="24" t="s">
        <v>464</v>
      </c>
      <c r="D348" s="25">
        <v>652.0</v>
      </c>
      <c r="E348" s="25">
        <v>651.0</v>
      </c>
      <c r="F348" s="25">
        <f t="shared" si="2"/>
        <v>1303</v>
      </c>
      <c r="G348" s="26">
        <f t="shared" si="3"/>
        <v>0.5003837299</v>
      </c>
      <c r="H348" s="26">
        <f t="shared" si="4"/>
        <v>0.4996162701</v>
      </c>
      <c r="I348" s="24" t="s">
        <v>83</v>
      </c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24" t="s">
        <v>325</v>
      </c>
      <c r="B349" s="24" t="s">
        <v>465</v>
      </c>
      <c r="C349" s="24" t="s">
        <v>466</v>
      </c>
      <c r="D349" s="25">
        <v>128.0</v>
      </c>
      <c r="E349" s="25">
        <v>224.0</v>
      </c>
      <c r="F349" s="25">
        <f t="shared" si="2"/>
        <v>352</v>
      </c>
      <c r="G349" s="26">
        <f t="shared" si="3"/>
        <v>0.3636363636</v>
      </c>
      <c r="H349" s="26">
        <f t="shared" si="4"/>
        <v>0.6363636364</v>
      </c>
      <c r="I349" s="24" t="s">
        <v>83</v>
      </c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24" t="s">
        <v>325</v>
      </c>
      <c r="B350" s="24" t="s">
        <v>465</v>
      </c>
      <c r="C350" s="24" t="s">
        <v>467</v>
      </c>
      <c r="D350" s="25">
        <v>128.0</v>
      </c>
      <c r="E350" s="25">
        <v>224.0</v>
      </c>
      <c r="F350" s="25">
        <f t="shared" si="2"/>
        <v>352</v>
      </c>
      <c r="G350" s="26">
        <f t="shared" si="3"/>
        <v>0.3636363636</v>
      </c>
      <c r="H350" s="26">
        <f t="shared" si="4"/>
        <v>0.6363636364</v>
      </c>
      <c r="I350" s="24" t="s">
        <v>83</v>
      </c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24" t="s">
        <v>325</v>
      </c>
      <c r="B351" s="24" t="s">
        <v>465</v>
      </c>
      <c r="C351" s="24" t="s">
        <v>468</v>
      </c>
      <c r="D351" s="25">
        <v>128.0</v>
      </c>
      <c r="E351" s="25">
        <v>224.0</v>
      </c>
      <c r="F351" s="25">
        <f t="shared" si="2"/>
        <v>352</v>
      </c>
      <c r="G351" s="26">
        <f t="shared" si="3"/>
        <v>0.3636363636</v>
      </c>
      <c r="H351" s="26">
        <f t="shared" si="4"/>
        <v>0.6363636364</v>
      </c>
      <c r="I351" s="24" t="s">
        <v>83</v>
      </c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24" t="s">
        <v>325</v>
      </c>
      <c r="B352" s="24" t="s">
        <v>465</v>
      </c>
      <c r="C352" s="24" t="s">
        <v>469</v>
      </c>
      <c r="D352" s="25">
        <v>128.0</v>
      </c>
      <c r="E352" s="25">
        <v>224.0</v>
      </c>
      <c r="F352" s="25">
        <f t="shared" si="2"/>
        <v>352</v>
      </c>
      <c r="G352" s="26">
        <f t="shared" si="3"/>
        <v>0.3636363636</v>
      </c>
      <c r="H352" s="26">
        <f t="shared" si="4"/>
        <v>0.6363636364</v>
      </c>
      <c r="I352" s="24" t="s">
        <v>83</v>
      </c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24" t="s">
        <v>325</v>
      </c>
      <c r="B353" s="24" t="s">
        <v>470</v>
      </c>
      <c r="C353" s="24" t="s">
        <v>471</v>
      </c>
      <c r="D353" s="25">
        <v>290.0</v>
      </c>
      <c r="E353" s="25">
        <v>610.0</v>
      </c>
      <c r="F353" s="25">
        <f t="shared" si="2"/>
        <v>900</v>
      </c>
      <c r="G353" s="26">
        <f t="shared" si="3"/>
        <v>0.3222222222</v>
      </c>
      <c r="H353" s="26">
        <f t="shared" si="4"/>
        <v>0.6777777778</v>
      </c>
      <c r="I353" s="24" t="s">
        <v>83</v>
      </c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24" t="s">
        <v>325</v>
      </c>
      <c r="B354" s="24" t="s">
        <v>470</v>
      </c>
      <c r="C354" s="24" t="s">
        <v>472</v>
      </c>
      <c r="D354" s="25">
        <v>290.0</v>
      </c>
      <c r="E354" s="25">
        <v>610.0</v>
      </c>
      <c r="F354" s="25">
        <f t="shared" si="2"/>
        <v>900</v>
      </c>
      <c r="G354" s="26">
        <f t="shared" si="3"/>
        <v>0.3222222222</v>
      </c>
      <c r="H354" s="26">
        <f t="shared" si="4"/>
        <v>0.6777777778</v>
      </c>
      <c r="I354" s="24" t="s">
        <v>83</v>
      </c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24" t="s">
        <v>325</v>
      </c>
      <c r="B355" s="24" t="s">
        <v>470</v>
      </c>
      <c r="C355" s="24" t="s">
        <v>473</v>
      </c>
      <c r="D355" s="25">
        <v>290.0</v>
      </c>
      <c r="E355" s="25">
        <v>610.0</v>
      </c>
      <c r="F355" s="25">
        <f t="shared" si="2"/>
        <v>900</v>
      </c>
      <c r="G355" s="26">
        <f t="shared" si="3"/>
        <v>0.3222222222</v>
      </c>
      <c r="H355" s="26">
        <f t="shared" si="4"/>
        <v>0.6777777778</v>
      </c>
      <c r="I355" s="24" t="s">
        <v>83</v>
      </c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24" t="s">
        <v>325</v>
      </c>
      <c r="B356" s="24" t="s">
        <v>470</v>
      </c>
      <c r="C356" s="24" t="s">
        <v>474</v>
      </c>
      <c r="D356" s="25">
        <v>290.0</v>
      </c>
      <c r="E356" s="25">
        <v>610.0</v>
      </c>
      <c r="F356" s="25">
        <f t="shared" si="2"/>
        <v>900</v>
      </c>
      <c r="G356" s="26">
        <f t="shared" si="3"/>
        <v>0.3222222222</v>
      </c>
      <c r="H356" s="26">
        <f t="shared" si="4"/>
        <v>0.6777777778</v>
      </c>
      <c r="I356" s="24" t="s">
        <v>83</v>
      </c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24" t="s">
        <v>325</v>
      </c>
      <c r="B357" s="24" t="s">
        <v>475</v>
      </c>
      <c r="C357" s="24" t="s">
        <v>475</v>
      </c>
      <c r="D357" s="25">
        <v>75.0</v>
      </c>
      <c r="E357" s="25">
        <v>147.0</v>
      </c>
      <c r="F357" s="25">
        <f t="shared" si="2"/>
        <v>222</v>
      </c>
      <c r="G357" s="26">
        <f t="shared" si="3"/>
        <v>0.3378378378</v>
      </c>
      <c r="H357" s="26">
        <f t="shared" si="4"/>
        <v>0.6621621622</v>
      </c>
      <c r="I357" s="24" t="s">
        <v>83</v>
      </c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24" t="s">
        <v>325</v>
      </c>
      <c r="B358" s="24" t="s">
        <v>476</v>
      </c>
      <c r="C358" s="24" t="s">
        <v>476</v>
      </c>
      <c r="D358" s="25">
        <v>268.0</v>
      </c>
      <c r="E358" s="25">
        <v>506.0</v>
      </c>
      <c r="F358" s="25">
        <f t="shared" si="2"/>
        <v>774</v>
      </c>
      <c r="G358" s="26">
        <f t="shared" si="3"/>
        <v>0.34625323</v>
      </c>
      <c r="H358" s="26">
        <f t="shared" si="4"/>
        <v>0.65374677</v>
      </c>
      <c r="I358" s="24" t="s">
        <v>83</v>
      </c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24" t="s">
        <v>325</v>
      </c>
      <c r="B359" s="24" t="s">
        <v>477</v>
      </c>
      <c r="C359" s="24" t="s">
        <v>477</v>
      </c>
      <c r="D359" s="25">
        <v>177.0</v>
      </c>
      <c r="E359" s="25">
        <v>283.0</v>
      </c>
      <c r="F359" s="25">
        <f t="shared" si="2"/>
        <v>460</v>
      </c>
      <c r="G359" s="26">
        <f t="shared" si="3"/>
        <v>0.3847826087</v>
      </c>
      <c r="H359" s="26">
        <f t="shared" si="4"/>
        <v>0.6152173913</v>
      </c>
      <c r="I359" s="24" t="s">
        <v>83</v>
      </c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24" t="s">
        <v>325</v>
      </c>
      <c r="B360" s="24" t="s">
        <v>478</v>
      </c>
      <c r="C360" s="24" t="s">
        <v>478</v>
      </c>
      <c r="D360" s="25">
        <v>285.0</v>
      </c>
      <c r="E360" s="25">
        <v>392.0</v>
      </c>
      <c r="F360" s="25">
        <f t="shared" si="2"/>
        <v>677</v>
      </c>
      <c r="G360" s="26">
        <f t="shared" si="3"/>
        <v>0.4209748892</v>
      </c>
      <c r="H360" s="26">
        <f t="shared" si="4"/>
        <v>0.5790251108</v>
      </c>
      <c r="I360" s="24" t="s">
        <v>83</v>
      </c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24" t="s">
        <v>325</v>
      </c>
      <c r="B361" s="24" t="s">
        <v>479</v>
      </c>
      <c r="C361" s="24" t="s">
        <v>480</v>
      </c>
      <c r="D361" s="25">
        <v>213.0</v>
      </c>
      <c r="E361" s="25">
        <v>502.0</v>
      </c>
      <c r="F361" s="25">
        <f t="shared" si="2"/>
        <v>715</v>
      </c>
      <c r="G361" s="26">
        <f t="shared" si="3"/>
        <v>0.2979020979</v>
      </c>
      <c r="H361" s="26">
        <f t="shared" si="4"/>
        <v>0.7020979021</v>
      </c>
      <c r="I361" s="24" t="s">
        <v>83</v>
      </c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24" t="s">
        <v>325</v>
      </c>
      <c r="B362" s="24" t="s">
        <v>479</v>
      </c>
      <c r="C362" s="24" t="s">
        <v>481</v>
      </c>
      <c r="D362" s="25">
        <v>213.0</v>
      </c>
      <c r="E362" s="25">
        <v>502.0</v>
      </c>
      <c r="F362" s="25">
        <f t="shared" si="2"/>
        <v>715</v>
      </c>
      <c r="G362" s="26">
        <f t="shared" si="3"/>
        <v>0.2979020979</v>
      </c>
      <c r="H362" s="26">
        <f t="shared" si="4"/>
        <v>0.7020979021</v>
      </c>
      <c r="I362" s="24" t="s">
        <v>83</v>
      </c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24" t="s">
        <v>325</v>
      </c>
      <c r="B363" s="24" t="s">
        <v>479</v>
      </c>
      <c r="C363" s="24" t="s">
        <v>482</v>
      </c>
      <c r="D363" s="25">
        <v>213.0</v>
      </c>
      <c r="E363" s="25">
        <v>502.0</v>
      </c>
      <c r="F363" s="25">
        <f t="shared" si="2"/>
        <v>715</v>
      </c>
      <c r="G363" s="26">
        <f t="shared" si="3"/>
        <v>0.2979020979</v>
      </c>
      <c r="H363" s="26">
        <f t="shared" si="4"/>
        <v>0.7020979021</v>
      </c>
      <c r="I363" s="24" t="s">
        <v>83</v>
      </c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24" t="s">
        <v>325</v>
      </c>
      <c r="B364" s="24" t="s">
        <v>479</v>
      </c>
      <c r="C364" s="24" t="s">
        <v>483</v>
      </c>
      <c r="D364" s="25">
        <v>213.0</v>
      </c>
      <c r="E364" s="25">
        <v>502.0</v>
      </c>
      <c r="F364" s="25">
        <f t="shared" si="2"/>
        <v>715</v>
      </c>
      <c r="G364" s="26">
        <f t="shared" si="3"/>
        <v>0.2979020979</v>
      </c>
      <c r="H364" s="26">
        <f t="shared" si="4"/>
        <v>0.7020979021</v>
      </c>
      <c r="I364" s="24" t="s">
        <v>83</v>
      </c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24" t="s">
        <v>325</v>
      </c>
      <c r="B365" s="24" t="s">
        <v>479</v>
      </c>
      <c r="C365" s="24" t="s">
        <v>484</v>
      </c>
      <c r="D365" s="25">
        <v>213.0</v>
      </c>
      <c r="E365" s="25">
        <v>502.0</v>
      </c>
      <c r="F365" s="25">
        <f t="shared" si="2"/>
        <v>715</v>
      </c>
      <c r="G365" s="26">
        <f t="shared" si="3"/>
        <v>0.2979020979</v>
      </c>
      <c r="H365" s="26">
        <f t="shared" si="4"/>
        <v>0.7020979021</v>
      </c>
      <c r="I365" s="24" t="s">
        <v>83</v>
      </c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24" t="s">
        <v>325</v>
      </c>
      <c r="B366" s="24" t="s">
        <v>485</v>
      </c>
      <c r="C366" s="24" t="s">
        <v>486</v>
      </c>
      <c r="D366" s="25">
        <v>453.0</v>
      </c>
      <c r="E366" s="25">
        <v>498.0</v>
      </c>
      <c r="F366" s="25">
        <f t="shared" si="2"/>
        <v>951</v>
      </c>
      <c r="G366" s="26">
        <f t="shared" si="3"/>
        <v>0.476340694</v>
      </c>
      <c r="H366" s="26">
        <f t="shared" si="4"/>
        <v>0.523659306</v>
      </c>
      <c r="I366" s="24" t="s">
        <v>83</v>
      </c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24" t="s">
        <v>325</v>
      </c>
      <c r="B367" s="24" t="s">
        <v>485</v>
      </c>
      <c r="C367" s="24" t="s">
        <v>487</v>
      </c>
      <c r="D367" s="25">
        <v>453.0</v>
      </c>
      <c r="E367" s="25">
        <v>498.0</v>
      </c>
      <c r="F367" s="25">
        <f t="shared" si="2"/>
        <v>951</v>
      </c>
      <c r="G367" s="26">
        <f t="shared" si="3"/>
        <v>0.476340694</v>
      </c>
      <c r="H367" s="26">
        <f t="shared" si="4"/>
        <v>0.523659306</v>
      </c>
      <c r="I367" s="24" t="s">
        <v>83</v>
      </c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24" t="s">
        <v>325</v>
      </c>
      <c r="B368" s="24" t="s">
        <v>485</v>
      </c>
      <c r="C368" s="24" t="s">
        <v>488</v>
      </c>
      <c r="D368" s="25">
        <v>453.0</v>
      </c>
      <c r="E368" s="25">
        <v>498.0</v>
      </c>
      <c r="F368" s="25">
        <f t="shared" si="2"/>
        <v>951</v>
      </c>
      <c r="G368" s="26">
        <f t="shared" si="3"/>
        <v>0.476340694</v>
      </c>
      <c r="H368" s="26">
        <f t="shared" si="4"/>
        <v>0.523659306</v>
      </c>
      <c r="I368" s="24" t="s">
        <v>83</v>
      </c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24" t="s">
        <v>325</v>
      </c>
      <c r="B369" s="24" t="s">
        <v>485</v>
      </c>
      <c r="C369" s="24" t="s">
        <v>489</v>
      </c>
      <c r="D369" s="25">
        <v>453.0</v>
      </c>
      <c r="E369" s="25">
        <v>498.0</v>
      </c>
      <c r="F369" s="25">
        <f t="shared" si="2"/>
        <v>951</v>
      </c>
      <c r="G369" s="26">
        <f t="shared" si="3"/>
        <v>0.476340694</v>
      </c>
      <c r="H369" s="26">
        <f t="shared" si="4"/>
        <v>0.523659306</v>
      </c>
      <c r="I369" s="24" t="s">
        <v>83</v>
      </c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24" t="s">
        <v>325</v>
      </c>
      <c r="B370" s="24" t="s">
        <v>490</v>
      </c>
      <c r="C370" s="24" t="s">
        <v>490</v>
      </c>
      <c r="D370" s="25">
        <v>331.0</v>
      </c>
      <c r="E370" s="25">
        <v>523.0</v>
      </c>
      <c r="F370" s="25">
        <f t="shared" si="2"/>
        <v>854</v>
      </c>
      <c r="G370" s="26">
        <f t="shared" si="3"/>
        <v>0.387587822</v>
      </c>
      <c r="H370" s="26">
        <f t="shared" si="4"/>
        <v>0.612412178</v>
      </c>
      <c r="I370" s="24" t="s">
        <v>83</v>
      </c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24" t="s">
        <v>325</v>
      </c>
      <c r="B371" s="24" t="s">
        <v>491</v>
      </c>
      <c r="C371" s="24" t="s">
        <v>492</v>
      </c>
      <c r="D371" s="25">
        <v>454.0</v>
      </c>
      <c r="E371" s="25">
        <v>988.0</v>
      </c>
      <c r="F371" s="25">
        <f t="shared" si="2"/>
        <v>1442</v>
      </c>
      <c r="G371" s="26">
        <f t="shared" si="3"/>
        <v>0.3148404993</v>
      </c>
      <c r="H371" s="26">
        <f t="shared" si="4"/>
        <v>0.6851595007</v>
      </c>
      <c r="I371" s="24" t="s">
        <v>83</v>
      </c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24" t="s">
        <v>325</v>
      </c>
      <c r="B372" s="24" t="s">
        <v>491</v>
      </c>
      <c r="C372" s="24" t="s">
        <v>493</v>
      </c>
      <c r="D372" s="25">
        <v>454.0</v>
      </c>
      <c r="E372" s="25">
        <v>988.0</v>
      </c>
      <c r="F372" s="25">
        <f t="shared" si="2"/>
        <v>1442</v>
      </c>
      <c r="G372" s="26">
        <f t="shared" si="3"/>
        <v>0.3148404993</v>
      </c>
      <c r="H372" s="26">
        <f t="shared" si="4"/>
        <v>0.6851595007</v>
      </c>
      <c r="I372" s="24" t="s">
        <v>83</v>
      </c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24" t="s">
        <v>325</v>
      </c>
      <c r="B373" s="24" t="s">
        <v>494</v>
      </c>
      <c r="C373" s="24" t="s">
        <v>494</v>
      </c>
      <c r="D373" s="25">
        <v>212.0</v>
      </c>
      <c r="E373" s="25">
        <v>261.0</v>
      </c>
      <c r="F373" s="25">
        <f t="shared" si="2"/>
        <v>473</v>
      </c>
      <c r="G373" s="26">
        <f t="shared" si="3"/>
        <v>0.4482029598</v>
      </c>
      <c r="H373" s="26">
        <f t="shared" si="4"/>
        <v>0.5517970402</v>
      </c>
      <c r="I373" s="24" t="s">
        <v>83</v>
      </c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24" t="s">
        <v>325</v>
      </c>
      <c r="B374" s="24" t="s">
        <v>495</v>
      </c>
      <c r="C374" s="24" t="s">
        <v>496</v>
      </c>
      <c r="D374" s="25">
        <v>404.0</v>
      </c>
      <c r="E374" s="25">
        <v>546.0</v>
      </c>
      <c r="F374" s="25">
        <f t="shared" si="2"/>
        <v>950</v>
      </c>
      <c r="G374" s="26">
        <f t="shared" si="3"/>
        <v>0.4252631579</v>
      </c>
      <c r="H374" s="26">
        <f t="shared" si="4"/>
        <v>0.5747368421</v>
      </c>
      <c r="I374" s="24" t="s">
        <v>83</v>
      </c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24" t="s">
        <v>325</v>
      </c>
      <c r="B375" s="24" t="s">
        <v>495</v>
      </c>
      <c r="C375" s="24" t="s">
        <v>497</v>
      </c>
      <c r="D375" s="25">
        <v>404.0</v>
      </c>
      <c r="E375" s="25">
        <v>546.0</v>
      </c>
      <c r="F375" s="25">
        <f t="shared" si="2"/>
        <v>950</v>
      </c>
      <c r="G375" s="26">
        <f t="shared" si="3"/>
        <v>0.4252631579</v>
      </c>
      <c r="H375" s="26">
        <f t="shared" si="4"/>
        <v>0.5747368421</v>
      </c>
      <c r="I375" s="24" t="s">
        <v>83</v>
      </c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24" t="s">
        <v>325</v>
      </c>
      <c r="B376" s="24" t="s">
        <v>495</v>
      </c>
      <c r="C376" s="24" t="s">
        <v>498</v>
      </c>
      <c r="D376" s="25">
        <v>404.0</v>
      </c>
      <c r="E376" s="25">
        <v>546.0</v>
      </c>
      <c r="F376" s="25">
        <f t="shared" si="2"/>
        <v>950</v>
      </c>
      <c r="G376" s="26">
        <f t="shared" si="3"/>
        <v>0.4252631579</v>
      </c>
      <c r="H376" s="26">
        <f t="shared" si="4"/>
        <v>0.5747368421</v>
      </c>
      <c r="I376" s="24" t="s">
        <v>83</v>
      </c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24" t="s">
        <v>325</v>
      </c>
      <c r="B377" s="24" t="s">
        <v>495</v>
      </c>
      <c r="C377" s="24" t="s">
        <v>499</v>
      </c>
      <c r="D377" s="25">
        <v>404.0</v>
      </c>
      <c r="E377" s="25">
        <v>546.0</v>
      </c>
      <c r="F377" s="25">
        <f t="shared" si="2"/>
        <v>950</v>
      </c>
      <c r="G377" s="26">
        <f t="shared" si="3"/>
        <v>0.4252631579</v>
      </c>
      <c r="H377" s="26">
        <f t="shared" si="4"/>
        <v>0.5747368421</v>
      </c>
      <c r="I377" s="24" t="s">
        <v>83</v>
      </c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24" t="s">
        <v>325</v>
      </c>
      <c r="B378" s="24" t="s">
        <v>500</v>
      </c>
      <c r="C378" s="24" t="s">
        <v>501</v>
      </c>
      <c r="D378" s="25">
        <v>456.0</v>
      </c>
      <c r="E378" s="25">
        <v>387.0</v>
      </c>
      <c r="F378" s="25">
        <f t="shared" si="2"/>
        <v>843</v>
      </c>
      <c r="G378" s="26">
        <f t="shared" si="3"/>
        <v>0.5409252669</v>
      </c>
      <c r="H378" s="26">
        <f t="shared" si="4"/>
        <v>0.4590747331</v>
      </c>
      <c r="I378" s="24" t="s">
        <v>83</v>
      </c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24" t="s">
        <v>325</v>
      </c>
      <c r="B379" s="24" t="s">
        <v>500</v>
      </c>
      <c r="C379" s="24" t="s">
        <v>502</v>
      </c>
      <c r="D379" s="25">
        <v>456.0</v>
      </c>
      <c r="E379" s="25">
        <v>387.0</v>
      </c>
      <c r="F379" s="25">
        <f t="shared" si="2"/>
        <v>843</v>
      </c>
      <c r="G379" s="26">
        <f t="shared" si="3"/>
        <v>0.5409252669</v>
      </c>
      <c r="H379" s="26">
        <f t="shared" si="4"/>
        <v>0.4590747331</v>
      </c>
      <c r="I379" s="24" t="s">
        <v>83</v>
      </c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24" t="s">
        <v>325</v>
      </c>
      <c r="B380" s="24" t="s">
        <v>500</v>
      </c>
      <c r="C380" s="24" t="s">
        <v>503</v>
      </c>
      <c r="D380" s="25">
        <v>456.0</v>
      </c>
      <c r="E380" s="25">
        <v>387.0</v>
      </c>
      <c r="F380" s="25">
        <f t="shared" si="2"/>
        <v>843</v>
      </c>
      <c r="G380" s="26">
        <f t="shared" si="3"/>
        <v>0.5409252669</v>
      </c>
      <c r="H380" s="26">
        <f t="shared" si="4"/>
        <v>0.4590747331</v>
      </c>
      <c r="I380" s="24" t="s">
        <v>83</v>
      </c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24" t="s">
        <v>325</v>
      </c>
      <c r="B381" s="24" t="s">
        <v>504</v>
      </c>
      <c r="C381" s="24" t="s">
        <v>505</v>
      </c>
      <c r="D381" s="25">
        <v>591.0</v>
      </c>
      <c r="E381" s="25">
        <v>800.0</v>
      </c>
      <c r="F381" s="25">
        <f t="shared" si="2"/>
        <v>1391</v>
      </c>
      <c r="G381" s="26">
        <f t="shared" si="3"/>
        <v>0.4248741912</v>
      </c>
      <c r="H381" s="26">
        <f t="shared" si="4"/>
        <v>0.5751258088</v>
      </c>
      <c r="I381" s="24" t="s">
        <v>83</v>
      </c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5">
    <mergeCell ref="A1:I1"/>
    <mergeCell ref="A3:I3"/>
    <mergeCell ref="A6:I6"/>
    <mergeCell ref="A9:I9"/>
    <mergeCell ref="A10:I10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6.0"/>
    <col customWidth="1" min="3" max="3" width="40.29"/>
    <col customWidth="1" min="4" max="4" width="14.0"/>
    <col customWidth="1" min="5" max="5" width="16.0"/>
    <col customWidth="1" min="6" max="6" width="12.0"/>
    <col customWidth="1" min="7" max="7" width="13.0"/>
    <col customWidth="1" min="8" max="8" width="15.0"/>
    <col customWidth="1" min="9" max="9" width="37.14"/>
  </cols>
  <sheetData>
    <row r="1" ht="14.25" customHeight="1">
      <c r="A1" s="2" t="s">
        <v>2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4" t="s">
        <v>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13" t="s">
        <v>68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4" t="s">
        <v>39</v>
      </c>
      <c r="B4" s="4" t="s">
        <v>69</v>
      </c>
      <c r="C4" s="4" t="s">
        <v>41</v>
      </c>
      <c r="D4" s="4" t="s">
        <v>42</v>
      </c>
      <c r="E4" s="4" t="s">
        <v>43</v>
      </c>
      <c r="F4" s="4" t="s">
        <v>44</v>
      </c>
      <c r="G4" s="4" t="s">
        <v>45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14" t="s">
        <v>47</v>
      </c>
      <c r="B6" s="15"/>
      <c r="C6" s="15"/>
      <c r="D6" s="15"/>
      <c r="E6" s="15"/>
      <c r="F6" s="15"/>
      <c r="G6" s="15"/>
      <c r="H6" s="15"/>
      <c r="I6" s="16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17" t="s">
        <v>50</v>
      </c>
      <c r="B7" s="17" t="s">
        <v>51</v>
      </c>
      <c r="C7" s="17" t="s">
        <v>52</v>
      </c>
      <c r="D7" s="17" t="s">
        <v>53</v>
      </c>
      <c r="E7" s="17" t="s">
        <v>54</v>
      </c>
      <c r="F7" s="17" t="s">
        <v>55</v>
      </c>
      <c r="G7" s="17" t="s">
        <v>56</v>
      </c>
      <c r="H7" s="17" t="s">
        <v>57</v>
      </c>
      <c r="I7" s="17" t="s">
        <v>58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18" t="s">
        <v>59</v>
      </c>
      <c r="B8" s="18" t="s">
        <v>60</v>
      </c>
      <c r="C8" s="18"/>
      <c r="D8" s="19">
        <f t="shared" ref="D8:E8" si="1">SUM(D12:D381)</f>
        <v>162421</v>
      </c>
      <c r="E8" s="19">
        <f t="shared" si="1"/>
        <v>186323</v>
      </c>
      <c r="F8" s="19">
        <f>D8+E8</f>
        <v>348744</v>
      </c>
      <c r="G8" s="20">
        <f>IF(F8=0,"",D8/F8)</f>
        <v>0.4657313101</v>
      </c>
      <c r="H8" s="20">
        <f>IF(F8=0,"",E8/F8)</f>
        <v>0.5342686899</v>
      </c>
      <c r="I8" s="18" t="s">
        <v>70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13" t="s">
        <v>62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14" t="s">
        <v>63</v>
      </c>
      <c r="B10" s="15"/>
      <c r="C10" s="15"/>
      <c r="D10" s="15"/>
      <c r="E10" s="15"/>
      <c r="F10" s="15"/>
      <c r="G10" s="15"/>
      <c r="H10" s="15"/>
      <c r="I10" s="16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1.5" customHeight="1">
      <c r="A11" s="17" t="s">
        <v>64</v>
      </c>
      <c r="B11" s="17" t="s">
        <v>65</v>
      </c>
      <c r="C11" s="17" t="s">
        <v>66</v>
      </c>
      <c r="D11" s="17" t="s">
        <v>53</v>
      </c>
      <c r="E11" s="17" t="s">
        <v>54</v>
      </c>
      <c r="F11" s="17" t="s">
        <v>55</v>
      </c>
      <c r="G11" s="17" t="s">
        <v>56</v>
      </c>
      <c r="H11" s="17" t="s">
        <v>57</v>
      </c>
      <c r="I11" s="17" t="s">
        <v>67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21" t="s">
        <v>71</v>
      </c>
      <c r="B12" s="21" t="s">
        <v>72</v>
      </c>
      <c r="C12" s="21" t="s">
        <v>72</v>
      </c>
      <c r="D12" s="22">
        <v>141.0</v>
      </c>
      <c r="E12" s="22">
        <v>250.0</v>
      </c>
      <c r="F12" s="22">
        <f t="shared" ref="F12:F381" si="2">D12+E12</f>
        <v>391</v>
      </c>
      <c r="G12" s="23">
        <f t="shared" ref="G12:G381" si="3">IF(F12=0,"",D12/F12)</f>
        <v>0.3606138107</v>
      </c>
      <c r="H12" s="23">
        <f t="shared" ref="H12:H381" si="4">IF(F12=0,"",E12/F12)</f>
        <v>0.6393861893</v>
      </c>
      <c r="I12" s="21" t="s">
        <v>73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21" t="s">
        <v>71</v>
      </c>
      <c r="B13" s="21" t="s">
        <v>74</v>
      </c>
      <c r="C13" s="21" t="s">
        <v>74</v>
      </c>
      <c r="D13" s="22">
        <v>85.0</v>
      </c>
      <c r="E13" s="22">
        <v>256.0</v>
      </c>
      <c r="F13" s="22">
        <f t="shared" si="2"/>
        <v>341</v>
      </c>
      <c r="G13" s="23">
        <f t="shared" si="3"/>
        <v>0.2492668622</v>
      </c>
      <c r="H13" s="23">
        <f t="shared" si="4"/>
        <v>0.7507331378</v>
      </c>
      <c r="I13" s="21" t="s">
        <v>73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21" t="s">
        <v>71</v>
      </c>
      <c r="B14" s="21" t="s">
        <v>75</v>
      </c>
      <c r="C14" s="21" t="s">
        <v>75</v>
      </c>
      <c r="D14" s="22">
        <v>111.0</v>
      </c>
      <c r="E14" s="22">
        <v>300.0</v>
      </c>
      <c r="F14" s="22">
        <f t="shared" si="2"/>
        <v>411</v>
      </c>
      <c r="G14" s="23">
        <f t="shared" si="3"/>
        <v>0.2700729927</v>
      </c>
      <c r="H14" s="23">
        <f t="shared" si="4"/>
        <v>0.7299270073</v>
      </c>
      <c r="I14" s="21" t="s">
        <v>73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21" t="s">
        <v>71</v>
      </c>
      <c r="B15" s="21" t="s">
        <v>76</v>
      </c>
      <c r="C15" s="21" t="s">
        <v>77</v>
      </c>
      <c r="D15" s="22">
        <v>154.0</v>
      </c>
      <c r="E15" s="22">
        <v>632.0</v>
      </c>
      <c r="F15" s="22">
        <f t="shared" si="2"/>
        <v>786</v>
      </c>
      <c r="G15" s="23">
        <f t="shared" si="3"/>
        <v>0.1959287532</v>
      </c>
      <c r="H15" s="23">
        <f t="shared" si="4"/>
        <v>0.8040712468</v>
      </c>
      <c r="I15" s="21" t="s">
        <v>73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21" t="s">
        <v>71</v>
      </c>
      <c r="B16" s="21" t="s">
        <v>76</v>
      </c>
      <c r="C16" s="21" t="s">
        <v>78</v>
      </c>
      <c r="D16" s="22">
        <v>167.0</v>
      </c>
      <c r="E16" s="22">
        <v>530.0</v>
      </c>
      <c r="F16" s="22">
        <f t="shared" si="2"/>
        <v>697</v>
      </c>
      <c r="G16" s="23">
        <f t="shared" si="3"/>
        <v>0.2395982783</v>
      </c>
      <c r="H16" s="23">
        <f t="shared" si="4"/>
        <v>0.7604017217</v>
      </c>
      <c r="I16" s="21" t="s">
        <v>73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21" t="s">
        <v>71</v>
      </c>
      <c r="B17" s="21" t="s">
        <v>79</v>
      </c>
      <c r="C17" s="21" t="s">
        <v>79</v>
      </c>
      <c r="D17" s="22">
        <v>31.0</v>
      </c>
      <c r="E17" s="22">
        <v>80.0</v>
      </c>
      <c r="F17" s="22">
        <f t="shared" si="2"/>
        <v>111</v>
      </c>
      <c r="G17" s="23">
        <f t="shared" si="3"/>
        <v>0.2792792793</v>
      </c>
      <c r="H17" s="23">
        <f t="shared" si="4"/>
        <v>0.7207207207</v>
      </c>
      <c r="I17" s="21" t="s">
        <v>73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21" t="s">
        <v>71</v>
      </c>
      <c r="B18" s="21" t="s">
        <v>80</v>
      </c>
      <c r="C18" s="21" t="s">
        <v>81</v>
      </c>
      <c r="D18" s="22">
        <v>244.0</v>
      </c>
      <c r="E18" s="22">
        <v>716.0</v>
      </c>
      <c r="F18" s="22">
        <f t="shared" si="2"/>
        <v>960</v>
      </c>
      <c r="G18" s="23">
        <f t="shared" si="3"/>
        <v>0.2541666667</v>
      </c>
      <c r="H18" s="23">
        <f t="shared" si="4"/>
        <v>0.7458333333</v>
      </c>
      <c r="I18" s="21" t="s">
        <v>73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24" t="s">
        <v>71</v>
      </c>
      <c r="B19" s="24" t="s">
        <v>80</v>
      </c>
      <c r="C19" s="24" t="s">
        <v>82</v>
      </c>
      <c r="D19" s="25">
        <v>567.0</v>
      </c>
      <c r="E19" s="25">
        <v>1691.0</v>
      </c>
      <c r="F19" s="25">
        <f t="shared" si="2"/>
        <v>2258</v>
      </c>
      <c r="G19" s="26">
        <f t="shared" si="3"/>
        <v>0.2511071745</v>
      </c>
      <c r="H19" s="26">
        <f t="shared" si="4"/>
        <v>0.7488928255</v>
      </c>
      <c r="I19" s="24" t="s">
        <v>83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21" t="s">
        <v>71</v>
      </c>
      <c r="B20" s="21" t="s">
        <v>80</v>
      </c>
      <c r="C20" s="21" t="s">
        <v>84</v>
      </c>
      <c r="D20" s="22">
        <v>199.0</v>
      </c>
      <c r="E20" s="22">
        <v>577.0</v>
      </c>
      <c r="F20" s="22">
        <f t="shared" si="2"/>
        <v>776</v>
      </c>
      <c r="G20" s="23">
        <f t="shared" si="3"/>
        <v>0.256443299</v>
      </c>
      <c r="H20" s="23">
        <f t="shared" si="4"/>
        <v>0.743556701</v>
      </c>
      <c r="I20" s="21" t="s">
        <v>73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21" t="s">
        <v>71</v>
      </c>
      <c r="B21" s="21" t="s">
        <v>85</v>
      </c>
      <c r="C21" s="21" t="s">
        <v>86</v>
      </c>
      <c r="D21" s="22">
        <v>183.0</v>
      </c>
      <c r="E21" s="22">
        <v>297.0</v>
      </c>
      <c r="F21" s="22">
        <f t="shared" si="2"/>
        <v>480</v>
      </c>
      <c r="G21" s="23">
        <f t="shared" si="3"/>
        <v>0.38125</v>
      </c>
      <c r="H21" s="23">
        <f t="shared" si="4"/>
        <v>0.61875</v>
      </c>
      <c r="I21" s="21" t="s">
        <v>73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21" t="s">
        <v>71</v>
      </c>
      <c r="B22" s="21" t="s">
        <v>85</v>
      </c>
      <c r="C22" s="21" t="s">
        <v>87</v>
      </c>
      <c r="D22" s="22">
        <v>137.0</v>
      </c>
      <c r="E22" s="22">
        <v>201.0</v>
      </c>
      <c r="F22" s="22">
        <f t="shared" si="2"/>
        <v>338</v>
      </c>
      <c r="G22" s="23">
        <f t="shared" si="3"/>
        <v>0.4053254438</v>
      </c>
      <c r="H22" s="23">
        <f t="shared" si="4"/>
        <v>0.5946745562</v>
      </c>
      <c r="I22" s="21" t="s">
        <v>73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21" t="s">
        <v>71</v>
      </c>
      <c r="B23" s="21" t="s">
        <v>85</v>
      </c>
      <c r="C23" s="21" t="s">
        <v>88</v>
      </c>
      <c r="D23" s="22">
        <v>235.0</v>
      </c>
      <c r="E23" s="22">
        <v>455.0</v>
      </c>
      <c r="F23" s="22">
        <f t="shared" si="2"/>
        <v>690</v>
      </c>
      <c r="G23" s="23">
        <f t="shared" si="3"/>
        <v>0.3405797101</v>
      </c>
      <c r="H23" s="23">
        <f t="shared" si="4"/>
        <v>0.6594202899</v>
      </c>
      <c r="I23" s="21" t="s">
        <v>73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21" t="s">
        <v>71</v>
      </c>
      <c r="B24" s="21" t="s">
        <v>85</v>
      </c>
      <c r="C24" s="21" t="s">
        <v>89</v>
      </c>
      <c r="D24" s="22">
        <v>127.0</v>
      </c>
      <c r="E24" s="22">
        <v>144.0</v>
      </c>
      <c r="F24" s="22">
        <f t="shared" si="2"/>
        <v>271</v>
      </c>
      <c r="G24" s="23">
        <f t="shared" si="3"/>
        <v>0.4686346863</v>
      </c>
      <c r="H24" s="23">
        <f t="shared" si="4"/>
        <v>0.5313653137</v>
      </c>
      <c r="I24" s="21" t="s">
        <v>73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21" t="s">
        <v>71</v>
      </c>
      <c r="B25" s="21" t="s">
        <v>85</v>
      </c>
      <c r="C25" s="21" t="s">
        <v>90</v>
      </c>
      <c r="D25" s="22">
        <v>266.0</v>
      </c>
      <c r="E25" s="22">
        <v>366.0</v>
      </c>
      <c r="F25" s="22">
        <f t="shared" si="2"/>
        <v>632</v>
      </c>
      <c r="G25" s="23">
        <f t="shared" si="3"/>
        <v>0.4208860759</v>
      </c>
      <c r="H25" s="23">
        <f t="shared" si="4"/>
        <v>0.5791139241</v>
      </c>
      <c r="I25" s="21" t="s">
        <v>73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21" t="s">
        <v>71</v>
      </c>
      <c r="B26" s="21" t="s">
        <v>91</v>
      </c>
      <c r="C26" s="21" t="s">
        <v>92</v>
      </c>
      <c r="D26" s="22">
        <v>102.0</v>
      </c>
      <c r="E26" s="22">
        <v>185.0</v>
      </c>
      <c r="F26" s="22">
        <f t="shared" si="2"/>
        <v>287</v>
      </c>
      <c r="G26" s="23">
        <f t="shared" si="3"/>
        <v>0.3554006969</v>
      </c>
      <c r="H26" s="23">
        <f t="shared" si="4"/>
        <v>0.6445993031</v>
      </c>
      <c r="I26" s="21" t="s">
        <v>73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21" t="s">
        <v>71</v>
      </c>
      <c r="B27" s="21" t="s">
        <v>91</v>
      </c>
      <c r="C27" s="21" t="s">
        <v>93</v>
      </c>
      <c r="D27" s="22">
        <v>190.0</v>
      </c>
      <c r="E27" s="22">
        <v>435.0</v>
      </c>
      <c r="F27" s="22">
        <f t="shared" si="2"/>
        <v>625</v>
      </c>
      <c r="G27" s="23">
        <f t="shared" si="3"/>
        <v>0.304</v>
      </c>
      <c r="H27" s="23">
        <f t="shared" si="4"/>
        <v>0.696</v>
      </c>
      <c r="I27" s="21" t="s">
        <v>73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21" t="s">
        <v>71</v>
      </c>
      <c r="B28" s="21" t="s">
        <v>94</v>
      </c>
      <c r="C28" s="21" t="s">
        <v>95</v>
      </c>
      <c r="D28" s="22">
        <v>184.0</v>
      </c>
      <c r="E28" s="22">
        <v>362.0</v>
      </c>
      <c r="F28" s="22">
        <f t="shared" si="2"/>
        <v>546</v>
      </c>
      <c r="G28" s="23">
        <f t="shared" si="3"/>
        <v>0.336996337</v>
      </c>
      <c r="H28" s="23">
        <f t="shared" si="4"/>
        <v>0.663003663</v>
      </c>
      <c r="I28" s="21" t="s">
        <v>73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21" t="s">
        <v>71</v>
      </c>
      <c r="B29" s="21" t="s">
        <v>94</v>
      </c>
      <c r="C29" s="21" t="s">
        <v>96</v>
      </c>
      <c r="D29" s="22">
        <v>104.0</v>
      </c>
      <c r="E29" s="22">
        <v>191.0</v>
      </c>
      <c r="F29" s="22">
        <f t="shared" si="2"/>
        <v>295</v>
      </c>
      <c r="G29" s="23">
        <f t="shared" si="3"/>
        <v>0.3525423729</v>
      </c>
      <c r="H29" s="23">
        <f t="shared" si="4"/>
        <v>0.6474576271</v>
      </c>
      <c r="I29" s="21" t="s">
        <v>73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21" t="s">
        <v>71</v>
      </c>
      <c r="B30" s="21" t="s">
        <v>94</v>
      </c>
      <c r="C30" s="21" t="s">
        <v>97</v>
      </c>
      <c r="D30" s="22">
        <v>86.0</v>
      </c>
      <c r="E30" s="22">
        <v>151.0</v>
      </c>
      <c r="F30" s="22">
        <f t="shared" si="2"/>
        <v>237</v>
      </c>
      <c r="G30" s="23">
        <f t="shared" si="3"/>
        <v>0.3628691983</v>
      </c>
      <c r="H30" s="23">
        <f t="shared" si="4"/>
        <v>0.6371308017</v>
      </c>
      <c r="I30" s="21" t="s">
        <v>73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21" t="s">
        <v>71</v>
      </c>
      <c r="B31" s="21" t="s">
        <v>98</v>
      </c>
      <c r="C31" s="21" t="s">
        <v>98</v>
      </c>
      <c r="D31" s="22">
        <v>33.0</v>
      </c>
      <c r="E31" s="22">
        <v>109.0</v>
      </c>
      <c r="F31" s="22">
        <f t="shared" si="2"/>
        <v>142</v>
      </c>
      <c r="G31" s="23">
        <f t="shared" si="3"/>
        <v>0.2323943662</v>
      </c>
      <c r="H31" s="23">
        <f t="shared" si="4"/>
        <v>0.7676056338</v>
      </c>
      <c r="I31" s="21" t="s">
        <v>73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21" t="s">
        <v>71</v>
      </c>
      <c r="B32" s="21" t="s">
        <v>99</v>
      </c>
      <c r="C32" s="21" t="s">
        <v>99</v>
      </c>
      <c r="D32" s="22">
        <v>59.0</v>
      </c>
      <c r="E32" s="22">
        <v>219.0</v>
      </c>
      <c r="F32" s="22">
        <f t="shared" si="2"/>
        <v>278</v>
      </c>
      <c r="G32" s="23">
        <f t="shared" si="3"/>
        <v>0.2122302158</v>
      </c>
      <c r="H32" s="23">
        <f t="shared" si="4"/>
        <v>0.7877697842</v>
      </c>
      <c r="I32" s="21" t="s">
        <v>73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21" t="s">
        <v>71</v>
      </c>
      <c r="B33" s="21" t="s">
        <v>100</v>
      </c>
      <c r="C33" s="21" t="s">
        <v>101</v>
      </c>
      <c r="D33" s="22">
        <v>228.0</v>
      </c>
      <c r="E33" s="22">
        <v>406.0</v>
      </c>
      <c r="F33" s="22">
        <f t="shared" si="2"/>
        <v>634</v>
      </c>
      <c r="G33" s="23">
        <f t="shared" si="3"/>
        <v>0.3596214511</v>
      </c>
      <c r="H33" s="23">
        <f t="shared" si="4"/>
        <v>0.6403785489</v>
      </c>
      <c r="I33" s="21" t="s">
        <v>73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21" t="s">
        <v>71</v>
      </c>
      <c r="B34" s="21" t="s">
        <v>100</v>
      </c>
      <c r="C34" s="21" t="s">
        <v>102</v>
      </c>
      <c r="D34" s="22">
        <v>217.0</v>
      </c>
      <c r="E34" s="22">
        <v>380.0</v>
      </c>
      <c r="F34" s="22">
        <f t="shared" si="2"/>
        <v>597</v>
      </c>
      <c r="G34" s="23">
        <f t="shared" si="3"/>
        <v>0.3634840871</v>
      </c>
      <c r="H34" s="23">
        <f t="shared" si="4"/>
        <v>0.6365159129</v>
      </c>
      <c r="I34" s="21" t="s">
        <v>73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21" t="s">
        <v>71</v>
      </c>
      <c r="B35" s="21" t="s">
        <v>100</v>
      </c>
      <c r="C35" s="21" t="s">
        <v>103</v>
      </c>
      <c r="D35" s="22">
        <v>209.0</v>
      </c>
      <c r="E35" s="22">
        <v>460.0</v>
      </c>
      <c r="F35" s="22">
        <f t="shared" si="2"/>
        <v>669</v>
      </c>
      <c r="G35" s="23">
        <f t="shared" si="3"/>
        <v>0.312406577</v>
      </c>
      <c r="H35" s="23">
        <f t="shared" si="4"/>
        <v>0.687593423</v>
      </c>
      <c r="I35" s="21" t="s">
        <v>73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21" t="s">
        <v>71</v>
      </c>
      <c r="B36" s="21" t="s">
        <v>104</v>
      </c>
      <c r="C36" s="21" t="s">
        <v>105</v>
      </c>
      <c r="D36" s="22">
        <v>220.0</v>
      </c>
      <c r="E36" s="22">
        <v>737.0</v>
      </c>
      <c r="F36" s="22">
        <f t="shared" si="2"/>
        <v>957</v>
      </c>
      <c r="G36" s="23">
        <f t="shared" si="3"/>
        <v>0.2298850575</v>
      </c>
      <c r="H36" s="23">
        <f t="shared" si="4"/>
        <v>0.7701149425</v>
      </c>
      <c r="I36" s="21" t="s">
        <v>73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21" t="s">
        <v>71</v>
      </c>
      <c r="B37" s="21" t="s">
        <v>104</v>
      </c>
      <c r="C37" s="21" t="s">
        <v>106</v>
      </c>
      <c r="D37" s="22">
        <v>168.0</v>
      </c>
      <c r="E37" s="22">
        <v>479.0</v>
      </c>
      <c r="F37" s="22">
        <f t="shared" si="2"/>
        <v>647</v>
      </c>
      <c r="G37" s="23">
        <f t="shared" si="3"/>
        <v>0.2596599691</v>
      </c>
      <c r="H37" s="23">
        <f t="shared" si="4"/>
        <v>0.7403400309</v>
      </c>
      <c r="I37" s="21" t="s">
        <v>73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21" t="s">
        <v>71</v>
      </c>
      <c r="B38" s="21" t="s">
        <v>107</v>
      </c>
      <c r="C38" s="21" t="s">
        <v>108</v>
      </c>
      <c r="D38" s="22">
        <v>105.0</v>
      </c>
      <c r="E38" s="22">
        <v>353.0</v>
      </c>
      <c r="F38" s="22">
        <f t="shared" si="2"/>
        <v>458</v>
      </c>
      <c r="G38" s="23">
        <f t="shared" si="3"/>
        <v>0.2292576419</v>
      </c>
      <c r="H38" s="23">
        <f t="shared" si="4"/>
        <v>0.7707423581</v>
      </c>
      <c r="I38" s="21" t="s">
        <v>73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21" t="s">
        <v>71</v>
      </c>
      <c r="B39" s="21" t="s">
        <v>107</v>
      </c>
      <c r="C39" s="21" t="s">
        <v>109</v>
      </c>
      <c r="D39" s="22">
        <v>94.0</v>
      </c>
      <c r="E39" s="22">
        <v>282.0</v>
      </c>
      <c r="F39" s="22">
        <f t="shared" si="2"/>
        <v>376</v>
      </c>
      <c r="G39" s="23">
        <f t="shared" si="3"/>
        <v>0.25</v>
      </c>
      <c r="H39" s="23">
        <f t="shared" si="4"/>
        <v>0.75</v>
      </c>
      <c r="I39" s="21" t="s">
        <v>73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21" t="s">
        <v>71</v>
      </c>
      <c r="B40" s="21" t="s">
        <v>107</v>
      </c>
      <c r="C40" s="21" t="s">
        <v>110</v>
      </c>
      <c r="D40" s="22">
        <v>332.0</v>
      </c>
      <c r="E40" s="22">
        <v>910.0</v>
      </c>
      <c r="F40" s="22">
        <f t="shared" si="2"/>
        <v>1242</v>
      </c>
      <c r="G40" s="23">
        <f t="shared" si="3"/>
        <v>0.267310789</v>
      </c>
      <c r="H40" s="23">
        <f t="shared" si="4"/>
        <v>0.732689211</v>
      </c>
      <c r="I40" s="21" t="s">
        <v>73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21" t="s">
        <v>71</v>
      </c>
      <c r="B41" s="21" t="s">
        <v>111</v>
      </c>
      <c r="C41" s="21" t="s">
        <v>112</v>
      </c>
      <c r="D41" s="22">
        <v>210.0</v>
      </c>
      <c r="E41" s="22">
        <v>415.0</v>
      </c>
      <c r="F41" s="22">
        <f t="shared" si="2"/>
        <v>625</v>
      </c>
      <c r="G41" s="23">
        <f t="shared" si="3"/>
        <v>0.336</v>
      </c>
      <c r="H41" s="23">
        <f t="shared" si="4"/>
        <v>0.664</v>
      </c>
      <c r="I41" s="21" t="s">
        <v>73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21" t="s">
        <v>71</v>
      </c>
      <c r="B42" s="21" t="s">
        <v>111</v>
      </c>
      <c r="C42" s="21" t="s">
        <v>113</v>
      </c>
      <c r="D42" s="22">
        <v>239.0</v>
      </c>
      <c r="E42" s="22">
        <v>478.0</v>
      </c>
      <c r="F42" s="22">
        <f t="shared" si="2"/>
        <v>717</v>
      </c>
      <c r="G42" s="23">
        <f t="shared" si="3"/>
        <v>0.3333333333</v>
      </c>
      <c r="H42" s="23">
        <f t="shared" si="4"/>
        <v>0.6666666667</v>
      </c>
      <c r="I42" s="21" t="s">
        <v>73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21" t="s">
        <v>71</v>
      </c>
      <c r="B43" s="21" t="s">
        <v>114</v>
      </c>
      <c r="C43" s="21" t="s">
        <v>114</v>
      </c>
      <c r="D43" s="22">
        <v>114.0</v>
      </c>
      <c r="E43" s="22">
        <v>483.0</v>
      </c>
      <c r="F43" s="22">
        <f t="shared" si="2"/>
        <v>597</v>
      </c>
      <c r="G43" s="23">
        <f t="shared" si="3"/>
        <v>0.1909547739</v>
      </c>
      <c r="H43" s="23">
        <f t="shared" si="4"/>
        <v>0.8090452261</v>
      </c>
      <c r="I43" s="21" t="s">
        <v>73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21" t="s">
        <v>71</v>
      </c>
      <c r="B44" s="21" t="s">
        <v>115</v>
      </c>
      <c r="C44" s="21" t="s">
        <v>116</v>
      </c>
      <c r="D44" s="22">
        <v>233.0</v>
      </c>
      <c r="E44" s="22">
        <v>525.0</v>
      </c>
      <c r="F44" s="22">
        <f t="shared" si="2"/>
        <v>758</v>
      </c>
      <c r="G44" s="23">
        <f t="shared" si="3"/>
        <v>0.3073878628</v>
      </c>
      <c r="H44" s="23">
        <f t="shared" si="4"/>
        <v>0.6926121372</v>
      </c>
      <c r="I44" s="21" t="s">
        <v>73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21" t="s">
        <v>71</v>
      </c>
      <c r="B45" s="21" t="s">
        <v>115</v>
      </c>
      <c r="C45" s="21" t="s">
        <v>117</v>
      </c>
      <c r="D45" s="22">
        <v>366.0</v>
      </c>
      <c r="E45" s="22">
        <v>726.0</v>
      </c>
      <c r="F45" s="22">
        <f t="shared" si="2"/>
        <v>1092</v>
      </c>
      <c r="G45" s="23">
        <f t="shared" si="3"/>
        <v>0.3351648352</v>
      </c>
      <c r="H45" s="23">
        <f t="shared" si="4"/>
        <v>0.6648351648</v>
      </c>
      <c r="I45" s="21" t="s">
        <v>73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21" t="s">
        <v>71</v>
      </c>
      <c r="B46" s="21" t="s">
        <v>115</v>
      </c>
      <c r="C46" s="21" t="s">
        <v>118</v>
      </c>
      <c r="D46" s="22">
        <v>106.0</v>
      </c>
      <c r="E46" s="22">
        <v>236.0</v>
      </c>
      <c r="F46" s="22">
        <f t="shared" si="2"/>
        <v>342</v>
      </c>
      <c r="G46" s="23">
        <f t="shared" si="3"/>
        <v>0.3099415205</v>
      </c>
      <c r="H46" s="23">
        <f t="shared" si="4"/>
        <v>0.6900584795</v>
      </c>
      <c r="I46" s="21" t="s">
        <v>73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21" t="s">
        <v>71</v>
      </c>
      <c r="B47" s="21" t="s">
        <v>119</v>
      </c>
      <c r="C47" s="21" t="s">
        <v>119</v>
      </c>
      <c r="D47" s="22">
        <v>61.0</v>
      </c>
      <c r="E47" s="22">
        <v>148.0</v>
      </c>
      <c r="F47" s="22">
        <f t="shared" si="2"/>
        <v>209</v>
      </c>
      <c r="G47" s="23">
        <f t="shared" si="3"/>
        <v>0.2918660287</v>
      </c>
      <c r="H47" s="23">
        <f t="shared" si="4"/>
        <v>0.7081339713</v>
      </c>
      <c r="I47" s="21" t="s">
        <v>73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21" t="s">
        <v>71</v>
      </c>
      <c r="B48" s="21" t="s">
        <v>120</v>
      </c>
      <c r="C48" s="21" t="s">
        <v>121</v>
      </c>
      <c r="D48" s="22">
        <v>344.0</v>
      </c>
      <c r="E48" s="22">
        <v>633.0</v>
      </c>
      <c r="F48" s="22">
        <f t="shared" si="2"/>
        <v>977</v>
      </c>
      <c r="G48" s="23">
        <f t="shared" si="3"/>
        <v>0.35209826</v>
      </c>
      <c r="H48" s="23">
        <f t="shared" si="4"/>
        <v>0.64790174</v>
      </c>
      <c r="I48" s="21" t="s">
        <v>73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21" t="s">
        <v>71</v>
      </c>
      <c r="B49" s="21" t="s">
        <v>120</v>
      </c>
      <c r="C49" s="21" t="s">
        <v>122</v>
      </c>
      <c r="D49" s="22">
        <v>247.0</v>
      </c>
      <c r="E49" s="22">
        <v>482.0</v>
      </c>
      <c r="F49" s="22">
        <f t="shared" si="2"/>
        <v>729</v>
      </c>
      <c r="G49" s="23">
        <f t="shared" si="3"/>
        <v>0.3388203018</v>
      </c>
      <c r="H49" s="23">
        <f t="shared" si="4"/>
        <v>0.6611796982</v>
      </c>
      <c r="I49" s="21" t="s">
        <v>73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24" t="s">
        <v>71</v>
      </c>
      <c r="B50" s="24" t="s">
        <v>120</v>
      </c>
      <c r="C50" s="24" t="s">
        <v>123</v>
      </c>
      <c r="D50" s="25">
        <v>567.0</v>
      </c>
      <c r="E50" s="25">
        <v>1138.0</v>
      </c>
      <c r="F50" s="25">
        <f t="shared" si="2"/>
        <v>1705</v>
      </c>
      <c r="G50" s="26">
        <f t="shared" si="3"/>
        <v>0.3325513196</v>
      </c>
      <c r="H50" s="26">
        <f t="shared" si="4"/>
        <v>0.6674486804</v>
      </c>
      <c r="I50" s="24" t="s">
        <v>83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24" t="s">
        <v>71</v>
      </c>
      <c r="B51" s="24" t="s">
        <v>120</v>
      </c>
      <c r="C51" s="24" t="s">
        <v>124</v>
      </c>
      <c r="D51" s="25">
        <v>567.0</v>
      </c>
      <c r="E51" s="25">
        <v>1138.0</v>
      </c>
      <c r="F51" s="25">
        <f t="shared" si="2"/>
        <v>1705</v>
      </c>
      <c r="G51" s="26">
        <f t="shared" si="3"/>
        <v>0.3325513196</v>
      </c>
      <c r="H51" s="26">
        <f t="shared" si="4"/>
        <v>0.6674486804</v>
      </c>
      <c r="I51" s="24" t="s">
        <v>83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24" t="s">
        <v>71</v>
      </c>
      <c r="B52" s="24" t="s">
        <v>120</v>
      </c>
      <c r="C52" s="24" t="s">
        <v>125</v>
      </c>
      <c r="D52" s="25">
        <v>567.0</v>
      </c>
      <c r="E52" s="25">
        <v>1138.0</v>
      </c>
      <c r="F52" s="25">
        <f t="shared" si="2"/>
        <v>1705</v>
      </c>
      <c r="G52" s="26">
        <f t="shared" si="3"/>
        <v>0.3325513196</v>
      </c>
      <c r="H52" s="26">
        <f t="shared" si="4"/>
        <v>0.6674486804</v>
      </c>
      <c r="I52" s="24" t="s">
        <v>83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21" t="s">
        <v>71</v>
      </c>
      <c r="B53" s="21" t="s">
        <v>126</v>
      </c>
      <c r="C53" s="21" t="s">
        <v>127</v>
      </c>
      <c r="D53" s="22">
        <v>115.0</v>
      </c>
      <c r="E53" s="22">
        <v>180.0</v>
      </c>
      <c r="F53" s="22">
        <f t="shared" si="2"/>
        <v>295</v>
      </c>
      <c r="G53" s="23">
        <f t="shared" si="3"/>
        <v>0.3898305085</v>
      </c>
      <c r="H53" s="23">
        <f t="shared" si="4"/>
        <v>0.6101694915</v>
      </c>
      <c r="I53" s="21" t="s">
        <v>73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21" t="s">
        <v>71</v>
      </c>
      <c r="B54" s="21" t="s">
        <v>126</v>
      </c>
      <c r="C54" s="21" t="s">
        <v>128</v>
      </c>
      <c r="D54" s="22">
        <v>137.0</v>
      </c>
      <c r="E54" s="22">
        <v>186.0</v>
      </c>
      <c r="F54" s="22">
        <f t="shared" si="2"/>
        <v>323</v>
      </c>
      <c r="G54" s="23">
        <f t="shared" si="3"/>
        <v>0.4241486068</v>
      </c>
      <c r="H54" s="23">
        <f t="shared" si="4"/>
        <v>0.5758513932</v>
      </c>
      <c r="I54" s="21" t="s">
        <v>73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21" t="s">
        <v>71</v>
      </c>
      <c r="B55" s="21" t="s">
        <v>126</v>
      </c>
      <c r="C55" s="21" t="s">
        <v>129</v>
      </c>
      <c r="D55" s="22">
        <v>90.0</v>
      </c>
      <c r="E55" s="22">
        <v>180.0</v>
      </c>
      <c r="F55" s="22">
        <f t="shared" si="2"/>
        <v>270</v>
      </c>
      <c r="G55" s="23">
        <f t="shared" si="3"/>
        <v>0.3333333333</v>
      </c>
      <c r="H55" s="23">
        <f t="shared" si="4"/>
        <v>0.6666666667</v>
      </c>
      <c r="I55" s="21" t="s">
        <v>73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21" t="s">
        <v>71</v>
      </c>
      <c r="B56" s="21" t="s">
        <v>126</v>
      </c>
      <c r="C56" s="21" t="s">
        <v>130</v>
      </c>
      <c r="D56" s="22">
        <v>150.0</v>
      </c>
      <c r="E56" s="22">
        <v>296.0</v>
      </c>
      <c r="F56" s="22">
        <f t="shared" si="2"/>
        <v>446</v>
      </c>
      <c r="G56" s="23">
        <f t="shared" si="3"/>
        <v>0.33632287</v>
      </c>
      <c r="H56" s="23">
        <f t="shared" si="4"/>
        <v>0.66367713</v>
      </c>
      <c r="I56" s="21" t="s">
        <v>73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21" t="s">
        <v>71</v>
      </c>
      <c r="B57" s="21" t="s">
        <v>131</v>
      </c>
      <c r="C57" s="21" t="s">
        <v>132</v>
      </c>
      <c r="D57" s="22">
        <v>252.0</v>
      </c>
      <c r="E57" s="22">
        <v>590.0</v>
      </c>
      <c r="F57" s="22">
        <f t="shared" si="2"/>
        <v>842</v>
      </c>
      <c r="G57" s="23">
        <f t="shared" si="3"/>
        <v>0.2992874109</v>
      </c>
      <c r="H57" s="23">
        <f t="shared" si="4"/>
        <v>0.7007125891</v>
      </c>
      <c r="I57" s="21" t="s">
        <v>73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21" t="s">
        <v>71</v>
      </c>
      <c r="B58" s="21" t="s">
        <v>131</v>
      </c>
      <c r="C58" s="21" t="s">
        <v>133</v>
      </c>
      <c r="D58" s="22">
        <v>204.0</v>
      </c>
      <c r="E58" s="22">
        <v>585.0</v>
      </c>
      <c r="F58" s="22">
        <f t="shared" si="2"/>
        <v>789</v>
      </c>
      <c r="G58" s="23">
        <f t="shared" si="3"/>
        <v>0.2585551331</v>
      </c>
      <c r="H58" s="23">
        <f t="shared" si="4"/>
        <v>0.7414448669</v>
      </c>
      <c r="I58" s="21" t="s">
        <v>73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21" t="s">
        <v>71</v>
      </c>
      <c r="B59" s="21" t="s">
        <v>131</v>
      </c>
      <c r="C59" s="21" t="s">
        <v>134</v>
      </c>
      <c r="D59" s="22">
        <v>204.0</v>
      </c>
      <c r="E59" s="22">
        <v>585.0</v>
      </c>
      <c r="F59" s="22">
        <f t="shared" si="2"/>
        <v>789</v>
      </c>
      <c r="G59" s="23">
        <f t="shared" si="3"/>
        <v>0.2585551331</v>
      </c>
      <c r="H59" s="23">
        <f t="shared" si="4"/>
        <v>0.7414448669</v>
      </c>
      <c r="I59" s="21" t="s">
        <v>73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21" t="s">
        <v>71</v>
      </c>
      <c r="B60" s="21" t="s">
        <v>135</v>
      </c>
      <c r="C60" s="21" t="s">
        <v>136</v>
      </c>
      <c r="D60" s="22">
        <v>185.0</v>
      </c>
      <c r="E60" s="22">
        <v>459.0</v>
      </c>
      <c r="F60" s="22">
        <f t="shared" si="2"/>
        <v>644</v>
      </c>
      <c r="G60" s="23">
        <f t="shared" si="3"/>
        <v>0.2872670807</v>
      </c>
      <c r="H60" s="23">
        <f t="shared" si="4"/>
        <v>0.7127329193</v>
      </c>
      <c r="I60" s="21" t="s">
        <v>73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21" t="s">
        <v>71</v>
      </c>
      <c r="B61" s="21" t="s">
        <v>135</v>
      </c>
      <c r="C61" s="21" t="s">
        <v>137</v>
      </c>
      <c r="D61" s="22">
        <v>74.0</v>
      </c>
      <c r="E61" s="22">
        <v>237.0</v>
      </c>
      <c r="F61" s="22">
        <f t="shared" si="2"/>
        <v>311</v>
      </c>
      <c r="G61" s="23">
        <f t="shared" si="3"/>
        <v>0.2379421222</v>
      </c>
      <c r="H61" s="23">
        <f t="shared" si="4"/>
        <v>0.7620578778</v>
      </c>
      <c r="I61" s="21" t="s">
        <v>73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21" t="s">
        <v>71</v>
      </c>
      <c r="B62" s="21" t="s">
        <v>138</v>
      </c>
      <c r="C62" s="21" t="s">
        <v>138</v>
      </c>
      <c r="D62" s="22">
        <v>29.0</v>
      </c>
      <c r="E62" s="22">
        <v>73.0</v>
      </c>
      <c r="F62" s="22">
        <f t="shared" si="2"/>
        <v>102</v>
      </c>
      <c r="G62" s="23">
        <f t="shared" si="3"/>
        <v>0.2843137255</v>
      </c>
      <c r="H62" s="23">
        <f t="shared" si="4"/>
        <v>0.7156862745</v>
      </c>
      <c r="I62" s="21" t="s">
        <v>73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21" t="s">
        <v>139</v>
      </c>
      <c r="B63" s="21" t="s">
        <v>140</v>
      </c>
      <c r="C63" s="21" t="s">
        <v>140</v>
      </c>
      <c r="D63" s="22">
        <v>465.0</v>
      </c>
      <c r="E63" s="22">
        <v>701.0</v>
      </c>
      <c r="F63" s="22">
        <f t="shared" si="2"/>
        <v>1166</v>
      </c>
      <c r="G63" s="23">
        <f t="shared" si="3"/>
        <v>0.3987993139</v>
      </c>
      <c r="H63" s="23">
        <f t="shared" si="4"/>
        <v>0.6012006861</v>
      </c>
      <c r="I63" s="21" t="s">
        <v>73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21" t="s">
        <v>139</v>
      </c>
      <c r="B64" s="21" t="s">
        <v>141</v>
      </c>
      <c r="C64" s="21" t="s">
        <v>142</v>
      </c>
      <c r="D64" s="22">
        <v>181.0</v>
      </c>
      <c r="E64" s="22">
        <v>98.0</v>
      </c>
      <c r="F64" s="22">
        <f t="shared" si="2"/>
        <v>279</v>
      </c>
      <c r="G64" s="23">
        <f t="shared" si="3"/>
        <v>0.6487455197</v>
      </c>
      <c r="H64" s="23">
        <f t="shared" si="4"/>
        <v>0.3512544803</v>
      </c>
      <c r="I64" s="21" t="s">
        <v>73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21" t="s">
        <v>139</v>
      </c>
      <c r="B65" s="21" t="s">
        <v>141</v>
      </c>
      <c r="C65" s="21" t="s">
        <v>143</v>
      </c>
      <c r="D65" s="22">
        <v>59.0</v>
      </c>
      <c r="E65" s="22">
        <v>40.0</v>
      </c>
      <c r="F65" s="22">
        <f t="shared" si="2"/>
        <v>99</v>
      </c>
      <c r="G65" s="23">
        <f t="shared" si="3"/>
        <v>0.595959596</v>
      </c>
      <c r="H65" s="23">
        <f t="shared" si="4"/>
        <v>0.404040404</v>
      </c>
      <c r="I65" s="21" t="s">
        <v>73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21" t="s">
        <v>139</v>
      </c>
      <c r="B66" s="21" t="s">
        <v>141</v>
      </c>
      <c r="C66" s="21" t="s">
        <v>144</v>
      </c>
      <c r="D66" s="22">
        <v>104.0</v>
      </c>
      <c r="E66" s="22">
        <v>59.0</v>
      </c>
      <c r="F66" s="22">
        <f t="shared" si="2"/>
        <v>163</v>
      </c>
      <c r="G66" s="23">
        <f t="shared" si="3"/>
        <v>0.6380368098</v>
      </c>
      <c r="H66" s="23">
        <f t="shared" si="4"/>
        <v>0.3619631902</v>
      </c>
      <c r="I66" s="21" t="s">
        <v>73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21" t="s">
        <v>139</v>
      </c>
      <c r="B67" s="21" t="s">
        <v>141</v>
      </c>
      <c r="C67" s="21" t="s">
        <v>145</v>
      </c>
      <c r="D67" s="22">
        <v>111.0</v>
      </c>
      <c r="E67" s="22">
        <v>62.0</v>
      </c>
      <c r="F67" s="22">
        <f t="shared" si="2"/>
        <v>173</v>
      </c>
      <c r="G67" s="23">
        <f t="shared" si="3"/>
        <v>0.6416184971</v>
      </c>
      <c r="H67" s="23">
        <f t="shared" si="4"/>
        <v>0.3583815029</v>
      </c>
      <c r="I67" s="21" t="s">
        <v>73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21" t="s">
        <v>139</v>
      </c>
      <c r="B68" s="21" t="s">
        <v>141</v>
      </c>
      <c r="C68" s="21" t="s">
        <v>146</v>
      </c>
      <c r="D68" s="22">
        <v>74.0</v>
      </c>
      <c r="E68" s="22">
        <v>35.0</v>
      </c>
      <c r="F68" s="22">
        <f t="shared" si="2"/>
        <v>109</v>
      </c>
      <c r="G68" s="23">
        <f t="shared" si="3"/>
        <v>0.6788990826</v>
      </c>
      <c r="H68" s="23">
        <f t="shared" si="4"/>
        <v>0.3211009174</v>
      </c>
      <c r="I68" s="21" t="s">
        <v>73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21" t="s">
        <v>139</v>
      </c>
      <c r="B69" s="21" t="s">
        <v>141</v>
      </c>
      <c r="C69" s="21" t="s">
        <v>147</v>
      </c>
      <c r="D69" s="22">
        <v>169.0</v>
      </c>
      <c r="E69" s="22">
        <v>89.0</v>
      </c>
      <c r="F69" s="22">
        <f t="shared" si="2"/>
        <v>258</v>
      </c>
      <c r="G69" s="23">
        <f t="shared" si="3"/>
        <v>0.6550387597</v>
      </c>
      <c r="H69" s="23">
        <f t="shared" si="4"/>
        <v>0.3449612403</v>
      </c>
      <c r="I69" s="21" t="s">
        <v>73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21" t="s">
        <v>139</v>
      </c>
      <c r="B70" s="21" t="s">
        <v>141</v>
      </c>
      <c r="C70" s="21" t="s">
        <v>148</v>
      </c>
      <c r="D70" s="22">
        <v>462.0</v>
      </c>
      <c r="E70" s="22">
        <v>144.0</v>
      </c>
      <c r="F70" s="22">
        <f t="shared" si="2"/>
        <v>606</v>
      </c>
      <c r="G70" s="23">
        <f t="shared" si="3"/>
        <v>0.7623762376</v>
      </c>
      <c r="H70" s="23">
        <f t="shared" si="4"/>
        <v>0.2376237624</v>
      </c>
      <c r="I70" s="21" t="s">
        <v>73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21" t="s">
        <v>139</v>
      </c>
      <c r="B71" s="21" t="s">
        <v>141</v>
      </c>
      <c r="C71" s="21" t="s">
        <v>149</v>
      </c>
      <c r="D71" s="22">
        <v>237.0</v>
      </c>
      <c r="E71" s="22">
        <v>132.0</v>
      </c>
      <c r="F71" s="22">
        <f t="shared" si="2"/>
        <v>369</v>
      </c>
      <c r="G71" s="23">
        <f t="shared" si="3"/>
        <v>0.6422764228</v>
      </c>
      <c r="H71" s="23">
        <f t="shared" si="4"/>
        <v>0.3577235772</v>
      </c>
      <c r="I71" s="21" t="s">
        <v>73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21" t="s">
        <v>139</v>
      </c>
      <c r="B72" s="21" t="s">
        <v>141</v>
      </c>
      <c r="C72" s="21" t="s">
        <v>150</v>
      </c>
      <c r="D72" s="22">
        <v>376.0</v>
      </c>
      <c r="E72" s="22">
        <v>267.0</v>
      </c>
      <c r="F72" s="22">
        <f t="shared" si="2"/>
        <v>643</v>
      </c>
      <c r="G72" s="23">
        <f t="shared" si="3"/>
        <v>0.5847589425</v>
      </c>
      <c r="H72" s="23">
        <f t="shared" si="4"/>
        <v>0.4152410575</v>
      </c>
      <c r="I72" s="21" t="s">
        <v>73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21" t="s">
        <v>139</v>
      </c>
      <c r="B73" s="21" t="s">
        <v>141</v>
      </c>
      <c r="C73" s="21" t="s">
        <v>151</v>
      </c>
      <c r="D73" s="22">
        <v>335.0</v>
      </c>
      <c r="E73" s="22">
        <v>208.0</v>
      </c>
      <c r="F73" s="22">
        <f t="shared" si="2"/>
        <v>543</v>
      </c>
      <c r="G73" s="23">
        <f t="shared" si="3"/>
        <v>0.6169429098</v>
      </c>
      <c r="H73" s="23">
        <f t="shared" si="4"/>
        <v>0.3830570902</v>
      </c>
      <c r="I73" s="21" t="s">
        <v>73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21" t="s">
        <v>139</v>
      </c>
      <c r="B74" s="21" t="s">
        <v>141</v>
      </c>
      <c r="C74" s="21" t="s">
        <v>152</v>
      </c>
      <c r="D74" s="22">
        <v>193.0</v>
      </c>
      <c r="E74" s="22">
        <v>104.0</v>
      </c>
      <c r="F74" s="22">
        <f t="shared" si="2"/>
        <v>297</v>
      </c>
      <c r="G74" s="23">
        <f t="shared" si="3"/>
        <v>0.6498316498</v>
      </c>
      <c r="H74" s="23">
        <f t="shared" si="4"/>
        <v>0.3501683502</v>
      </c>
      <c r="I74" s="21" t="s">
        <v>73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21" t="s">
        <v>139</v>
      </c>
      <c r="B75" s="21" t="s">
        <v>141</v>
      </c>
      <c r="C75" s="21" t="s">
        <v>153</v>
      </c>
      <c r="D75" s="22">
        <v>220.0</v>
      </c>
      <c r="E75" s="22">
        <v>155.0</v>
      </c>
      <c r="F75" s="22">
        <f t="shared" si="2"/>
        <v>375</v>
      </c>
      <c r="G75" s="23">
        <f t="shared" si="3"/>
        <v>0.5866666667</v>
      </c>
      <c r="H75" s="23">
        <f t="shared" si="4"/>
        <v>0.4133333333</v>
      </c>
      <c r="I75" s="21" t="s">
        <v>73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21" t="s">
        <v>139</v>
      </c>
      <c r="B76" s="21" t="s">
        <v>141</v>
      </c>
      <c r="C76" s="21" t="s">
        <v>154</v>
      </c>
      <c r="D76" s="22">
        <v>306.0</v>
      </c>
      <c r="E76" s="22">
        <v>185.0</v>
      </c>
      <c r="F76" s="22">
        <f t="shared" si="2"/>
        <v>491</v>
      </c>
      <c r="G76" s="23">
        <f t="shared" si="3"/>
        <v>0.6232179226</v>
      </c>
      <c r="H76" s="23">
        <f t="shared" si="4"/>
        <v>0.3767820774</v>
      </c>
      <c r="I76" s="21" t="s">
        <v>73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21" t="s">
        <v>139</v>
      </c>
      <c r="B77" s="21" t="s">
        <v>141</v>
      </c>
      <c r="C77" s="21" t="s">
        <v>155</v>
      </c>
      <c r="D77" s="22">
        <v>340.0</v>
      </c>
      <c r="E77" s="22">
        <v>292.0</v>
      </c>
      <c r="F77" s="22">
        <f t="shared" si="2"/>
        <v>632</v>
      </c>
      <c r="G77" s="23">
        <f t="shared" si="3"/>
        <v>0.5379746835</v>
      </c>
      <c r="H77" s="23">
        <f t="shared" si="4"/>
        <v>0.4620253165</v>
      </c>
      <c r="I77" s="21" t="s">
        <v>73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21" t="s">
        <v>139</v>
      </c>
      <c r="B78" s="21" t="s">
        <v>141</v>
      </c>
      <c r="C78" s="21" t="s">
        <v>156</v>
      </c>
      <c r="D78" s="22">
        <v>195.0</v>
      </c>
      <c r="E78" s="22">
        <v>159.0</v>
      </c>
      <c r="F78" s="22">
        <f t="shared" si="2"/>
        <v>354</v>
      </c>
      <c r="G78" s="23">
        <f t="shared" si="3"/>
        <v>0.5508474576</v>
      </c>
      <c r="H78" s="23">
        <f t="shared" si="4"/>
        <v>0.4491525424</v>
      </c>
      <c r="I78" s="21" t="s">
        <v>73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21" t="s">
        <v>139</v>
      </c>
      <c r="B79" s="21" t="s">
        <v>141</v>
      </c>
      <c r="C79" s="21" t="s">
        <v>157</v>
      </c>
      <c r="D79" s="22">
        <v>166.0</v>
      </c>
      <c r="E79" s="22">
        <v>97.0</v>
      </c>
      <c r="F79" s="22">
        <f t="shared" si="2"/>
        <v>263</v>
      </c>
      <c r="G79" s="23">
        <f t="shared" si="3"/>
        <v>0.6311787072</v>
      </c>
      <c r="H79" s="23">
        <f t="shared" si="4"/>
        <v>0.3688212928</v>
      </c>
      <c r="I79" s="21" t="s">
        <v>73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21" t="s">
        <v>139</v>
      </c>
      <c r="B80" s="21" t="s">
        <v>141</v>
      </c>
      <c r="C80" s="21" t="s">
        <v>158</v>
      </c>
      <c r="D80" s="22">
        <v>119.0</v>
      </c>
      <c r="E80" s="22">
        <v>85.0</v>
      </c>
      <c r="F80" s="22">
        <f t="shared" si="2"/>
        <v>204</v>
      </c>
      <c r="G80" s="23">
        <f t="shared" si="3"/>
        <v>0.5833333333</v>
      </c>
      <c r="H80" s="23">
        <f t="shared" si="4"/>
        <v>0.4166666667</v>
      </c>
      <c r="I80" s="21" t="s">
        <v>73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21" t="s">
        <v>139</v>
      </c>
      <c r="B81" s="21" t="s">
        <v>141</v>
      </c>
      <c r="C81" s="21" t="s">
        <v>159</v>
      </c>
      <c r="D81" s="22">
        <v>183.0</v>
      </c>
      <c r="E81" s="22">
        <v>114.0</v>
      </c>
      <c r="F81" s="22">
        <f t="shared" si="2"/>
        <v>297</v>
      </c>
      <c r="G81" s="23">
        <f t="shared" si="3"/>
        <v>0.6161616162</v>
      </c>
      <c r="H81" s="23">
        <f t="shared" si="4"/>
        <v>0.3838383838</v>
      </c>
      <c r="I81" s="21" t="s">
        <v>73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21" t="s">
        <v>139</v>
      </c>
      <c r="B82" s="21" t="s">
        <v>141</v>
      </c>
      <c r="C82" s="21" t="s">
        <v>160</v>
      </c>
      <c r="D82" s="22">
        <v>161.0</v>
      </c>
      <c r="E82" s="22">
        <v>84.0</v>
      </c>
      <c r="F82" s="22">
        <f t="shared" si="2"/>
        <v>245</v>
      </c>
      <c r="G82" s="23">
        <f t="shared" si="3"/>
        <v>0.6571428571</v>
      </c>
      <c r="H82" s="23">
        <f t="shared" si="4"/>
        <v>0.3428571429</v>
      </c>
      <c r="I82" s="21" t="s">
        <v>73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21" t="s">
        <v>139</v>
      </c>
      <c r="B83" s="21" t="s">
        <v>141</v>
      </c>
      <c r="C83" s="21" t="s">
        <v>161</v>
      </c>
      <c r="D83" s="22">
        <v>292.0</v>
      </c>
      <c r="E83" s="22">
        <v>201.0</v>
      </c>
      <c r="F83" s="22">
        <f t="shared" si="2"/>
        <v>493</v>
      </c>
      <c r="G83" s="23">
        <f t="shared" si="3"/>
        <v>0.5922920892</v>
      </c>
      <c r="H83" s="23">
        <f t="shared" si="4"/>
        <v>0.4077079108</v>
      </c>
      <c r="I83" s="21" t="s">
        <v>73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21" t="s">
        <v>139</v>
      </c>
      <c r="B84" s="21" t="s">
        <v>141</v>
      </c>
      <c r="C84" s="21" t="s">
        <v>162</v>
      </c>
      <c r="D84" s="22">
        <v>277.0</v>
      </c>
      <c r="E84" s="22">
        <v>208.0</v>
      </c>
      <c r="F84" s="22">
        <f t="shared" si="2"/>
        <v>485</v>
      </c>
      <c r="G84" s="23">
        <f t="shared" si="3"/>
        <v>0.5711340206</v>
      </c>
      <c r="H84" s="23">
        <f t="shared" si="4"/>
        <v>0.4288659794</v>
      </c>
      <c r="I84" s="21" t="s">
        <v>73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21" t="s">
        <v>139</v>
      </c>
      <c r="B85" s="21" t="s">
        <v>141</v>
      </c>
      <c r="C85" s="21" t="s">
        <v>163</v>
      </c>
      <c r="D85" s="22">
        <v>256.0</v>
      </c>
      <c r="E85" s="22">
        <v>273.0</v>
      </c>
      <c r="F85" s="22">
        <f t="shared" si="2"/>
        <v>529</v>
      </c>
      <c r="G85" s="23">
        <f t="shared" si="3"/>
        <v>0.4839319471</v>
      </c>
      <c r="H85" s="23">
        <f t="shared" si="4"/>
        <v>0.5160680529</v>
      </c>
      <c r="I85" s="21" t="s">
        <v>73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21" t="s">
        <v>139</v>
      </c>
      <c r="B86" s="21" t="s">
        <v>141</v>
      </c>
      <c r="C86" s="21" t="s">
        <v>164</v>
      </c>
      <c r="D86" s="22">
        <v>360.0</v>
      </c>
      <c r="E86" s="22">
        <v>251.0</v>
      </c>
      <c r="F86" s="22">
        <f t="shared" si="2"/>
        <v>611</v>
      </c>
      <c r="G86" s="23">
        <f t="shared" si="3"/>
        <v>0.589198036</v>
      </c>
      <c r="H86" s="23">
        <f t="shared" si="4"/>
        <v>0.410801964</v>
      </c>
      <c r="I86" s="21" t="s">
        <v>73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21" t="s">
        <v>139</v>
      </c>
      <c r="B87" s="21" t="s">
        <v>141</v>
      </c>
      <c r="C87" s="21" t="s">
        <v>165</v>
      </c>
      <c r="D87" s="22">
        <v>356.0</v>
      </c>
      <c r="E87" s="22">
        <v>256.0</v>
      </c>
      <c r="F87" s="22">
        <f t="shared" si="2"/>
        <v>612</v>
      </c>
      <c r="G87" s="23">
        <f t="shared" si="3"/>
        <v>0.5816993464</v>
      </c>
      <c r="H87" s="23">
        <f t="shared" si="4"/>
        <v>0.4183006536</v>
      </c>
      <c r="I87" s="21" t="s">
        <v>73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21" t="s">
        <v>139</v>
      </c>
      <c r="B88" s="21" t="s">
        <v>141</v>
      </c>
      <c r="C88" s="21" t="s">
        <v>166</v>
      </c>
      <c r="D88" s="22">
        <v>233.0</v>
      </c>
      <c r="E88" s="22">
        <v>218.0</v>
      </c>
      <c r="F88" s="22">
        <f t="shared" si="2"/>
        <v>451</v>
      </c>
      <c r="G88" s="23">
        <f t="shared" si="3"/>
        <v>0.5166297118</v>
      </c>
      <c r="H88" s="23">
        <f t="shared" si="4"/>
        <v>0.4833702882</v>
      </c>
      <c r="I88" s="21" t="s">
        <v>73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21" t="s">
        <v>139</v>
      </c>
      <c r="B89" s="21" t="s">
        <v>141</v>
      </c>
      <c r="C89" s="21" t="s">
        <v>167</v>
      </c>
      <c r="D89" s="22">
        <v>200.0</v>
      </c>
      <c r="E89" s="22">
        <v>141.0</v>
      </c>
      <c r="F89" s="22">
        <f t="shared" si="2"/>
        <v>341</v>
      </c>
      <c r="G89" s="23">
        <f t="shared" si="3"/>
        <v>0.5865102639</v>
      </c>
      <c r="H89" s="23">
        <f t="shared" si="4"/>
        <v>0.4134897361</v>
      </c>
      <c r="I89" s="21" t="s">
        <v>73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21" t="s">
        <v>139</v>
      </c>
      <c r="B90" s="21" t="s">
        <v>141</v>
      </c>
      <c r="C90" s="21" t="s">
        <v>168</v>
      </c>
      <c r="D90" s="22">
        <v>392.0</v>
      </c>
      <c r="E90" s="22">
        <v>342.0</v>
      </c>
      <c r="F90" s="22">
        <f t="shared" si="2"/>
        <v>734</v>
      </c>
      <c r="G90" s="23">
        <f t="shared" si="3"/>
        <v>0.5340599455</v>
      </c>
      <c r="H90" s="23">
        <f t="shared" si="4"/>
        <v>0.4659400545</v>
      </c>
      <c r="I90" s="21" t="s">
        <v>73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21" t="s">
        <v>139</v>
      </c>
      <c r="B91" s="21" t="s">
        <v>141</v>
      </c>
      <c r="C91" s="21" t="s">
        <v>169</v>
      </c>
      <c r="D91" s="22">
        <v>327.0</v>
      </c>
      <c r="E91" s="22">
        <v>159.0</v>
      </c>
      <c r="F91" s="22">
        <f t="shared" si="2"/>
        <v>486</v>
      </c>
      <c r="G91" s="23">
        <f t="shared" si="3"/>
        <v>0.6728395062</v>
      </c>
      <c r="H91" s="23">
        <f t="shared" si="4"/>
        <v>0.3271604938</v>
      </c>
      <c r="I91" s="21" t="s">
        <v>73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21" t="s">
        <v>139</v>
      </c>
      <c r="B92" s="21" t="s">
        <v>141</v>
      </c>
      <c r="C92" s="21" t="s">
        <v>170</v>
      </c>
      <c r="D92" s="22">
        <v>420.0</v>
      </c>
      <c r="E92" s="22">
        <v>237.0</v>
      </c>
      <c r="F92" s="22">
        <f t="shared" si="2"/>
        <v>657</v>
      </c>
      <c r="G92" s="23">
        <f t="shared" si="3"/>
        <v>0.6392694064</v>
      </c>
      <c r="H92" s="23">
        <f t="shared" si="4"/>
        <v>0.3607305936</v>
      </c>
      <c r="I92" s="21" t="s">
        <v>73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21" t="s">
        <v>139</v>
      </c>
      <c r="B93" s="21" t="s">
        <v>141</v>
      </c>
      <c r="C93" s="21" t="s">
        <v>171</v>
      </c>
      <c r="D93" s="22">
        <v>458.0</v>
      </c>
      <c r="E93" s="22">
        <v>262.0</v>
      </c>
      <c r="F93" s="22">
        <f t="shared" si="2"/>
        <v>720</v>
      </c>
      <c r="G93" s="23">
        <f t="shared" si="3"/>
        <v>0.6361111111</v>
      </c>
      <c r="H93" s="23">
        <f t="shared" si="4"/>
        <v>0.3638888889</v>
      </c>
      <c r="I93" s="21" t="s">
        <v>73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24" t="s">
        <v>139</v>
      </c>
      <c r="B94" s="24" t="s">
        <v>141</v>
      </c>
      <c r="C94" s="24" t="s">
        <v>172</v>
      </c>
      <c r="D94" s="25">
        <v>2768.0</v>
      </c>
      <c r="E94" s="25">
        <v>1740.0</v>
      </c>
      <c r="F94" s="25">
        <f t="shared" si="2"/>
        <v>4508</v>
      </c>
      <c r="G94" s="26">
        <f t="shared" si="3"/>
        <v>0.6140195209</v>
      </c>
      <c r="H94" s="26">
        <f t="shared" si="4"/>
        <v>0.3859804791</v>
      </c>
      <c r="I94" s="24" t="s">
        <v>83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24" t="s">
        <v>139</v>
      </c>
      <c r="B95" s="24" t="s">
        <v>141</v>
      </c>
      <c r="C95" s="24" t="s">
        <v>173</v>
      </c>
      <c r="D95" s="25">
        <v>2768.0</v>
      </c>
      <c r="E95" s="25">
        <v>1740.0</v>
      </c>
      <c r="F95" s="25">
        <f t="shared" si="2"/>
        <v>4508</v>
      </c>
      <c r="G95" s="26">
        <f t="shared" si="3"/>
        <v>0.6140195209</v>
      </c>
      <c r="H95" s="26">
        <f t="shared" si="4"/>
        <v>0.3859804791</v>
      </c>
      <c r="I95" s="24" t="s">
        <v>83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21" t="s">
        <v>139</v>
      </c>
      <c r="B96" s="21" t="s">
        <v>141</v>
      </c>
      <c r="C96" s="21" t="s">
        <v>174</v>
      </c>
      <c r="D96" s="22">
        <v>374.0</v>
      </c>
      <c r="E96" s="22">
        <v>211.0</v>
      </c>
      <c r="F96" s="22">
        <f t="shared" si="2"/>
        <v>585</v>
      </c>
      <c r="G96" s="23">
        <f t="shared" si="3"/>
        <v>0.6393162393</v>
      </c>
      <c r="H96" s="23">
        <f t="shared" si="4"/>
        <v>0.3606837607</v>
      </c>
      <c r="I96" s="21" t="s">
        <v>73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24" t="s">
        <v>139</v>
      </c>
      <c r="B97" s="24" t="s">
        <v>141</v>
      </c>
      <c r="C97" s="24" t="s">
        <v>175</v>
      </c>
      <c r="D97" s="25">
        <v>2768.0</v>
      </c>
      <c r="E97" s="25">
        <v>1740.0</v>
      </c>
      <c r="F97" s="25">
        <f t="shared" si="2"/>
        <v>4508</v>
      </c>
      <c r="G97" s="26">
        <f t="shared" si="3"/>
        <v>0.6140195209</v>
      </c>
      <c r="H97" s="26">
        <f t="shared" si="4"/>
        <v>0.3859804791</v>
      </c>
      <c r="I97" s="24" t="s">
        <v>83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24" t="s">
        <v>139</v>
      </c>
      <c r="B98" s="24" t="s">
        <v>141</v>
      </c>
      <c r="C98" s="24" t="s">
        <v>176</v>
      </c>
      <c r="D98" s="25">
        <v>2768.0</v>
      </c>
      <c r="E98" s="25">
        <v>1740.0</v>
      </c>
      <c r="F98" s="25">
        <f t="shared" si="2"/>
        <v>4508</v>
      </c>
      <c r="G98" s="26">
        <f t="shared" si="3"/>
        <v>0.6140195209</v>
      </c>
      <c r="H98" s="26">
        <f t="shared" si="4"/>
        <v>0.3859804791</v>
      </c>
      <c r="I98" s="24" t="s">
        <v>83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21" t="s">
        <v>139</v>
      </c>
      <c r="B99" s="21" t="s">
        <v>141</v>
      </c>
      <c r="C99" s="21" t="s">
        <v>177</v>
      </c>
      <c r="D99" s="22">
        <v>174.0</v>
      </c>
      <c r="E99" s="22">
        <v>179.0</v>
      </c>
      <c r="F99" s="22">
        <f t="shared" si="2"/>
        <v>353</v>
      </c>
      <c r="G99" s="23">
        <f t="shared" si="3"/>
        <v>0.492917847</v>
      </c>
      <c r="H99" s="23">
        <f t="shared" si="4"/>
        <v>0.507082153</v>
      </c>
      <c r="I99" s="21" t="s">
        <v>73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21" t="s">
        <v>139</v>
      </c>
      <c r="B100" s="21" t="s">
        <v>141</v>
      </c>
      <c r="C100" s="21" t="s">
        <v>178</v>
      </c>
      <c r="D100" s="22">
        <v>265.0</v>
      </c>
      <c r="E100" s="22">
        <v>178.0</v>
      </c>
      <c r="F100" s="22">
        <f t="shared" si="2"/>
        <v>443</v>
      </c>
      <c r="G100" s="23">
        <f t="shared" si="3"/>
        <v>0.5981941309</v>
      </c>
      <c r="H100" s="23">
        <f t="shared" si="4"/>
        <v>0.4018058691</v>
      </c>
      <c r="I100" s="21" t="s">
        <v>73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21" t="s">
        <v>139</v>
      </c>
      <c r="B101" s="21" t="s">
        <v>141</v>
      </c>
      <c r="C101" s="21" t="s">
        <v>179</v>
      </c>
      <c r="D101" s="22">
        <v>237.0</v>
      </c>
      <c r="E101" s="22">
        <v>181.0</v>
      </c>
      <c r="F101" s="22">
        <f t="shared" si="2"/>
        <v>418</v>
      </c>
      <c r="G101" s="23">
        <f t="shared" si="3"/>
        <v>0.5669856459</v>
      </c>
      <c r="H101" s="23">
        <f t="shared" si="4"/>
        <v>0.4330143541</v>
      </c>
      <c r="I101" s="21" t="s">
        <v>73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21" t="s">
        <v>139</v>
      </c>
      <c r="B102" s="21" t="s">
        <v>141</v>
      </c>
      <c r="C102" s="21" t="s">
        <v>180</v>
      </c>
      <c r="D102" s="22">
        <v>214.0</v>
      </c>
      <c r="E102" s="22">
        <v>147.0</v>
      </c>
      <c r="F102" s="22">
        <f t="shared" si="2"/>
        <v>361</v>
      </c>
      <c r="G102" s="23">
        <f t="shared" si="3"/>
        <v>0.5927977839</v>
      </c>
      <c r="H102" s="23">
        <f t="shared" si="4"/>
        <v>0.4072022161</v>
      </c>
      <c r="I102" s="21" t="s">
        <v>73</v>
      </c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21" t="s">
        <v>139</v>
      </c>
      <c r="B103" s="21" t="s">
        <v>141</v>
      </c>
      <c r="C103" s="21" t="s">
        <v>181</v>
      </c>
      <c r="D103" s="22">
        <v>355.0</v>
      </c>
      <c r="E103" s="22">
        <v>240.0</v>
      </c>
      <c r="F103" s="22">
        <f t="shared" si="2"/>
        <v>595</v>
      </c>
      <c r="G103" s="23">
        <f t="shared" si="3"/>
        <v>0.5966386555</v>
      </c>
      <c r="H103" s="23">
        <f t="shared" si="4"/>
        <v>0.4033613445</v>
      </c>
      <c r="I103" s="21" t="s">
        <v>73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24" t="s">
        <v>139</v>
      </c>
      <c r="B104" s="24" t="s">
        <v>141</v>
      </c>
      <c r="C104" s="24" t="s">
        <v>182</v>
      </c>
      <c r="D104" s="25">
        <v>2768.0</v>
      </c>
      <c r="E104" s="25">
        <v>1740.0</v>
      </c>
      <c r="F104" s="25">
        <f t="shared" si="2"/>
        <v>4508</v>
      </c>
      <c r="G104" s="26">
        <f t="shared" si="3"/>
        <v>0.6140195209</v>
      </c>
      <c r="H104" s="26">
        <f t="shared" si="4"/>
        <v>0.3859804791</v>
      </c>
      <c r="I104" s="24" t="s">
        <v>83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21" t="s">
        <v>139</v>
      </c>
      <c r="B105" s="21" t="s">
        <v>141</v>
      </c>
      <c r="C105" s="21" t="s">
        <v>183</v>
      </c>
      <c r="D105" s="22">
        <v>405.0</v>
      </c>
      <c r="E105" s="22">
        <v>293.0</v>
      </c>
      <c r="F105" s="22">
        <f t="shared" si="2"/>
        <v>698</v>
      </c>
      <c r="G105" s="23">
        <f t="shared" si="3"/>
        <v>0.5802292264</v>
      </c>
      <c r="H105" s="23">
        <f t="shared" si="4"/>
        <v>0.4197707736</v>
      </c>
      <c r="I105" s="21" t="s">
        <v>73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21" t="s">
        <v>139</v>
      </c>
      <c r="B106" s="21" t="s">
        <v>141</v>
      </c>
      <c r="C106" s="21" t="s">
        <v>184</v>
      </c>
      <c r="D106" s="22">
        <v>136.0</v>
      </c>
      <c r="E106" s="22">
        <v>80.0</v>
      </c>
      <c r="F106" s="22">
        <f t="shared" si="2"/>
        <v>216</v>
      </c>
      <c r="G106" s="23">
        <f t="shared" si="3"/>
        <v>0.6296296296</v>
      </c>
      <c r="H106" s="23">
        <f t="shared" si="4"/>
        <v>0.3703703704</v>
      </c>
      <c r="I106" s="21" t="s">
        <v>73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21" t="s">
        <v>139</v>
      </c>
      <c r="B107" s="21" t="s">
        <v>141</v>
      </c>
      <c r="C107" s="21" t="s">
        <v>185</v>
      </c>
      <c r="D107" s="22">
        <v>198.0</v>
      </c>
      <c r="E107" s="22">
        <v>119.0</v>
      </c>
      <c r="F107" s="22">
        <f t="shared" si="2"/>
        <v>317</v>
      </c>
      <c r="G107" s="23">
        <f t="shared" si="3"/>
        <v>0.6246056782</v>
      </c>
      <c r="H107" s="23">
        <f t="shared" si="4"/>
        <v>0.3753943218</v>
      </c>
      <c r="I107" s="21" t="s">
        <v>73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21" t="s">
        <v>139</v>
      </c>
      <c r="B108" s="21" t="s">
        <v>141</v>
      </c>
      <c r="C108" s="21" t="s">
        <v>186</v>
      </c>
      <c r="D108" s="22">
        <v>319.0</v>
      </c>
      <c r="E108" s="22">
        <v>173.0</v>
      </c>
      <c r="F108" s="22">
        <f t="shared" si="2"/>
        <v>492</v>
      </c>
      <c r="G108" s="23">
        <f t="shared" si="3"/>
        <v>0.6483739837</v>
      </c>
      <c r="H108" s="23">
        <f t="shared" si="4"/>
        <v>0.3516260163</v>
      </c>
      <c r="I108" s="21" t="s">
        <v>73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21" t="s">
        <v>139</v>
      </c>
      <c r="B109" s="21" t="s">
        <v>141</v>
      </c>
      <c r="C109" s="21" t="s">
        <v>187</v>
      </c>
      <c r="D109" s="22">
        <v>119.0</v>
      </c>
      <c r="E109" s="22">
        <v>76.0</v>
      </c>
      <c r="F109" s="22">
        <f t="shared" si="2"/>
        <v>195</v>
      </c>
      <c r="G109" s="23">
        <f t="shared" si="3"/>
        <v>0.6102564103</v>
      </c>
      <c r="H109" s="23">
        <f t="shared" si="4"/>
        <v>0.3897435897</v>
      </c>
      <c r="I109" s="21" t="s">
        <v>73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21" t="s">
        <v>139</v>
      </c>
      <c r="B110" s="21" t="s">
        <v>141</v>
      </c>
      <c r="C110" s="21" t="s">
        <v>188</v>
      </c>
      <c r="D110" s="22">
        <v>162.0</v>
      </c>
      <c r="E110" s="22">
        <v>69.0</v>
      </c>
      <c r="F110" s="22">
        <f t="shared" si="2"/>
        <v>231</v>
      </c>
      <c r="G110" s="23">
        <f t="shared" si="3"/>
        <v>0.7012987013</v>
      </c>
      <c r="H110" s="23">
        <f t="shared" si="4"/>
        <v>0.2987012987</v>
      </c>
      <c r="I110" s="21" t="s">
        <v>73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21" t="s">
        <v>139</v>
      </c>
      <c r="B111" s="21" t="s">
        <v>141</v>
      </c>
      <c r="C111" s="21" t="s">
        <v>189</v>
      </c>
      <c r="D111" s="22">
        <v>24.0</v>
      </c>
      <c r="E111" s="22">
        <v>20.0</v>
      </c>
      <c r="F111" s="22">
        <f t="shared" si="2"/>
        <v>44</v>
      </c>
      <c r="G111" s="23">
        <f t="shared" si="3"/>
        <v>0.5454545455</v>
      </c>
      <c r="H111" s="23">
        <f t="shared" si="4"/>
        <v>0.4545454545</v>
      </c>
      <c r="I111" s="21" t="s">
        <v>73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21" t="s">
        <v>139</v>
      </c>
      <c r="B112" s="21" t="s">
        <v>141</v>
      </c>
      <c r="C112" s="21" t="s">
        <v>190</v>
      </c>
      <c r="D112" s="22">
        <v>149.0</v>
      </c>
      <c r="E112" s="22">
        <v>120.0</v>
      </c>
      <c r="F112" s="22">
        <f t="shared" si="2"/>
        <v>269</v>
      </c>
      <c r="G112" s="23">
        <f t="shared" si="3"/>
        <v>0.5539033457</v>
      </c>
      <c r="H112" s="23">
        <f t="shared" si="4"/>
        <v>0.4460966543</v>
      </c>
      <c r="I112" s="21" t="s">
        <v>73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21" t="s">
        <v>139</v>
      </c>
      <c r="B113" s="21" t="s">
        <v>141</v>
      </c>
      <c r="C113" s="21" t="s">
        <v>191</v>
      </c>
      <c r="D113" s="22">
        <v>223.0</v>
      </c>
      <c r="E113" s="22">
        <v>108.0</v>
      </c>
      <c r="F113" s="22">
        <f t="shared" si="2"/>
        <v>331</v>
      </c>
      <c r="G113" s="23">
        <f t="shared" si="3"/>
        <v>0.6737160121</v>
      </c>
      <c r="H113" s="23">
        <f t="shared" si="4"/>
        <v>0.3262839879</v>
      </c>
      <c r="I113" s="21" t="s">
        <v>73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21" t="s">
        <v>139</v>
      </c>
      <c r="B114" s="21" t="s">
        <v>141</v>
      </c>
      <c r="C114" s="21" t="s">
        <v>192</v>
      </c>
      <c r="D114" s="22">
        <v>61.0</v>
      </c>
      <c r="E114" s="22">
        <v>32.0</v>
      </c>
      <c r="F114" s="22">
        <f t="shared" si="2"/>
        <v>93</v>
      </c>
      <c r="G114" s="23">
        <f t="shared" si="3"/>
        <v>0.6559139785</v>
      </c>
      <c r="H114" s="23">
        <f t="shared" si="4"/>
        <v>0.3440860215</v>
      </c>
      <c r="I114" s="21" t="s">
        <v>73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21" t="s">
        <v>139</v>
      </c>
      <c r="B115" s="21" t="s">
        <v>141</v>
      </c>
      <c r="C115" s="21" t="s">
        <v>193</v>
      </c>
      <c r="D115" s="22">
        <v>57.0</v>
      </c>
      <c r="E115" s="22">
        <v>33.0</v>
      </c>
      <c r="F115" s="22">
        <f t="shared" si="2"/>
        <v>90</v>
      </c>
      <c r="G115" s="23">
        <f t="shared" si="3"/>
        <v>0.6333333333</v>
      </c>
      <c r="H115" s="23">
        <f t="shared" si="4"/>
        <v>0.3666666667</v>
      </c>
      <c r="I115" s="21" t="s">
        <v>73</v>
      </c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21" t="s">
        <v>139</v>
      </c>
      <c r="B116" s="21" t="s">
        <v>141</v>
      </c>
      <c r="C116" s="21" t="s">
        <v>194</v>
      </c>
      <c r="D116" s="22">
        <v>147.0</v>
      </c>
      <c r="E116" s="22">
        <v>71.0</v>
      </c>
      <c r="F116" s="22">
        <f t="shared" si="2"/>
        <v>218</v>
      </c>
      <c r="G116" s="23">
        <f t="shared" si="3"/>
        <v>0.6743119266</v>
      </c>
      <c r="H116" s="23">
        <f t="shared" si="4"/>
        <v>0.3256880734</v>
      </c>
      <c r="I116" s="21" t="s">
        <v>73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21" t="s">
        <v>139</v>
      </c>
      <c r="B117" s="21" t="s">
        <v>141</v>
      </c>
      <c r="C117" s="21" t="s">
        <v>195</v>
      </c>
      <c r="D117" s="22">
        <v>276.0</v>
      </c>
      <c r="E117" s="22">
        <v>165.0</v>
      </c>
      <c r="F117" s="22">
        <f t="shared" si="2"/>
        <v>441</v>
      </c>
      <c r="G117" s="23">
        <f t="shared" si="3"/>
        <v>0.6258503401</v>
      </c>
      <c r="H117" s="23">
        <f t="shared" si="4"/>
        <v>0.3741496599</v>
      </c>
      <c r="I117" s="21" t="s">
        <v>73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21" t="s">
        <v>139</v>
      </c>
      <c r="B118" s="21" t="s">
        <v>141</v>
      </c>
      <c r="C118" s="21" t="s">
        <v>196</v>
      </c>
      <c r="D118" s="22">
        <v>108.0</v>
      </c>
      <c r="E118" s="22">
        <v>63.0</v>
      </c>
      <c r="F118" s="22">
        <f t="shared" si="2"/>
        <v>171</v>
      </c>
      <c r="G118" s="23">
        <f t="shared" si="3"/>
        <v>0.6315789474</v>
      </c>
      <c r="H118" s="23">
        <f t="shared" si="4"/>
        <v>0.3684210526</v>
      </c>
      <c r="I118" s="21" t="s">
        <v>73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21" t="s">
        <v>139</v>
      </c>
      <c r="B119" s="21" t="s">
        <v>141</v>
      </c>
      <c r="C119" s="21" t="s">
        <v>197</v>
      </c>
      <c r="D119" s="22">
        <v>80.0</v>
      </c>
      <c r="E119" s="22">
        <v>55.0</v>
      </c>
      <c r="F119" s="22">
        <f t="shared" si="2"/>
        <v>135</v>
      </c>
      <c r="G119" s="23">
        <f t="shared" si="3"/>
        <v>0.5925925926</v>
      </c>
      <c r="H119" s="23">
        <f t="shared" si="4"/>
        <v>0.4074074074</v>
      </c>
      <c r="I119" s="21" t="s">
        <v>73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21" t="s">
        <v>139</v>
      </c>
      <c r="B120" s="21" t="s">
        <v>141</v>
      </c>
      <c r="C120" s="21" t="s">
        <v>198</v>
      </c>
      <c r="D120" s="22">
        <v>199.0</v>
      </c>
      <c r="E120" s="22">
        <v>132.0</v>
      </c>
      <c r="F120" s="22">
        <f t="shared" si="2"/>
        <v>331</v>
      </c>
      <c r="G120" s="23">
        <f t="shared" si="3"/>
        <v>0.6012084592</v>
      </c>
      <c r="H120" s="23">
        <f t="shared" si="4"/>
        <v>0.3987915408</v>
      </c>
      <c r="I120" s="21" t="s">
        <v>73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21" t="s">
        <v>139</v>
      </c>
      <c r="B121" s="21" t="s">
        <v>141</v>
      </c>
      <c r="C121" s="21" t="s">
        <v>199</v>
      </c>
      <c r="D121" s="22">
        <v>150.0</v>
      </c>
      <c r="E121" s="22">
        <v>97.0</v>
      </c>
      <c r="F121" s="22">
        <f t="shared" si="2"/>
        <v>247</v>
      </c>
      <c r="G121" s="23">
        <f t="shared" si="3"/>
        <v>0.6072874494</v>
      </c>
      <c r="H121" s="23">
        <f t="shared" si="4"/>
        <v>0.3927125506</v>
      </c>
      <c r="I121" s="21" t="s">
        <v>73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21" t="s">
        <v>139</v>
      </c>
      <c r="B122" s="21" t="s">
        <v>200</v>
      </c>
      <c r="C122" s="21" t="s">
        <v>201</v>
      </c>
      <c r="D122" s="22">
        <v>476.0</v>
      </c>
      <c r="E122" s="22">
        <v>224.0</v>
      </c>
      <c r="F122" s="22">
        <f t="shared" si="2"/>
        <v>700</v>
      </c>
      <c r="G122" s="23">
        <f t="shared" si="3"/>
        <v>0.68</v>
      </c>
      <c r="H122" s="23">
        <f t="shared" si="4"/>
        <v>0.32</v>
      </c>
      <c r="I122" s="21" t="s">
        <v>73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21" t="s">
        <v>139</v>
      </c>
      <c r="B123" s="21" t="s">
        <v>200</v>
      </c>
      <c r="C123" s="21" t="s">
        <v>202</v>
      </c>
      <c r="D123" s="22">
        <v>302.0</v>
      </c>
      <c r="E123" s="22">
        <v>191.0</v>
      </c>
      <c r="F123" s="22">
        <f t="shared" si="2"/>
        <v>493</v>
      </c>
      <c r="G123" s="23">
        <f t="shared" si="3"/>
        <v>0.6125760649</v>
      </c>
      <c r="H123" s="23">
        <f t="shared" si="4"/>
        <v>0.3874239351</v>
      </c>
      <c r="I123" s="21" t="s">
        <v>73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21" t="s">
        <v>139</v>
      </c>
      <c r="B124" s="21" t="s">
        <v>200</v>
      </c>
      <c r="C124" s="21" t="s">
        <v>203</v>
      </c>
      <c r="D124" s="22">
        <v>376.0</v>
      </c>
      <c r="E124" s="22">
        <v>167.0</v>
      </c>
      <c r="F124" s="22">
        <f t="shared" si="2"/>
        <v>543</v>
      </c>
      <c r="G124" s="23">
        <f t="shared" si="3"/>
        <v>0.6924493554</v>
      </c>
      <c r="H124" s="23">
        <f t="shared" si="4"/>
        <v>0.3075506446</v>
      </c>
      <c r="I124" s="21" t="s">
        <v>73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21" t="s">
        <v>139</v>
      </c>
      <c r="B125" s="21" t="s">
        <v>200</v>
      </c>
      <c r="C125" s="21" t="s">
        <v>204</v>
      </c>
      <c r="D125" s="22">
        <v>439.0</v>
      </c>
      <c r="E125" s="22">
        <v>235.0</v>
      </c>
      <c r="F125" s="22">
        <f t="shared" si="2"/>
        <v>674</v>
      </c>
      <c r="G125" s="23">
        <f t="shared" si="3"/>
        <v>0.6513353116</v>
      </c>
      <c r="H125" s="23">
        <f t="shared" si="4"/>
        <v>0.3486646884</v>
      </c>
      <c r="I125" s="21" t="s">
        <v>73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21" t="s">
        <v>139</v>
      </c>
      <c r="B126" s="21" t="s">
        <v>200</v>
      </c>
      <c r="C126" s="21" t="s">
        <v>205</v>
      </c>
      <c r="D126" s="22">
        <v>600.0</v>
      </c>
      <c r="E126" s="22">
        <v>332.0</v>
      </c>
      <c r="F126" s="22">
        <f t="shared" si="2"/>
        <v>932</v>
      </c>
      <c r="G126" s="23">
        <f t="shared" si="3"/>
        <v>0.643776824</v>
      </c>
      <c r="H126" s="23">
        <f t="shared" si="4"/>
        <v>0.356223176</v>
      </c>
      <c r="I126" s="21" t="s">
        <v>73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21" t="s">
        <v>139</v>
      </c>
      <c r="B127" s="21" t="s">
        <v>200</v>
      </c>
      <c r="C127" s="21" t="s">
        <v>206</v>
      </c>
      <c r="D127" s="22">
        <v>400.0</v>
      </c>
      <c r="E127" s="22">
        <v>281.0</v>
      </c>
      <c r="F127" s="22">
        <f t="shared" si="2"/>
        <v>681</v>
      </c>
      <c r="G127" s="23">
        <f t="shared" si="3"/>
        <v>0.5873715125</v>
      </c>
      <c r="H127" s="23">
        <f t="shared" si="4"/>
        <v>0.4126284875</v>
      </c>
      <c r="I127" s="21" t="s">
        <v>73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21" t="s">
        <v>139</v>
      </c>
      <c r="B128" s="21" t="s">
        <v>200</v>
      </c>
      <c r="C128" s="21" t="s">
        <v>207</v>
      </c>
      <c r="D128" s="22">
        <v>485.0</v>
      </c>
      <c r="E128" s="22">
        <v>325.0</v>
      </c>
      <c r="F128" s="22">
        <f t="shared" si="2"/>
        <v>810</v>
      </c>
      <c r="G128" s="23">
        <f t="shared" si="3"/>
        <v>0.5987654321</v>
      </c>
      <c r="H128" s="23">
        <f t="shared" si="4"/>
        <v>0.4012345679</v>
      </c>
      <c r="I128" s="21" t="s">
        <v>73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21" t="s">
        <v>139</v>
      </c>
      <c r="B129" s="21" t="s">
        <v>200</v>
      </c>
      <c r="C129" s="21" t="s">
        <v>208</v>
      </c>
      <c r="D129" s="22">
        <v>604.0</v>
      </c>
      <c r="E129" s="22">
        <v>430.0</v>
      </c>
      <c r="F129" s="22">
        <f t="shared" si="2"/>
        <v>1034</v>
      </c>
      <c r="G129" s="23">
        <f t="shared" si="3"/>
        <v>0.584139265</v>
      </c>
      <c r="H129" s="23">
        <f t="shared" si="4"/>
        <v>0.415860735</v>
      </c>
      <c r="I129" s="21" t="s">
        <v>73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21" t="s">
        <v>139</v>
      </c>
      <c r="B130" s="21" t="s">
        <v>200</v>
      </c>
      <c r="C130" s="21" t="s">
        <v>209</v>
      </c>
      <c r="D130" s="22">
        <v>405.0</v>
      </c>
      <c r="E130" s="22">
        <v>291.0</v>
      </c>
      <c r="F130" s="22">
        <f t="shared" si="2"/>
        <v>696</v>
      </c>
      <c r="G130" s="23">
        <f t="shared" si="3"/>
        <v>0.5818965517</v>
      </c>
      <c r="H130" s="23">
        <f t="shared" si="4"/>
        <v>0.4181034483</v>
      </c>
      <c r="I130" s="21" t="s">
        <v>73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21" t="s">
        <v>139</v>
      </c>
      <c r="B131" s="21" t="s">
        <v>200</v>
      </c>
      <c r="C131" s="21" t="s">
        <v>210</v>
      </c>
      <c r="D131" s="22">
        <v>368.0</v>
      </c>
      <c r="E131" s="22">
        <v>316.0</v>
      </c>
      <c r="F131" s="22">
        <f t="shared" si="2"/>
        <v>684</v>
      </c>
      <c r="G131" s="23">
        <f t="shared" si="3"/>
        <v>0.5380116959</v>
      </c>
      <c r="H131" s="23">
        <f t="shared" si="4"/>
        <v>0.4619883041</v>
      </c>
      <c r="I131" s="21" t="s">
        <v>73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21" t="s">
        <v>139</v>
      </c>
      <c r="B132" s="21" t="s">
        <v>200</v>
      </c>
      <c r="C132" s="21" t="s">
        <v>211</v>
      </c>
      <c r="D132" s="22">
        <v>439.0</v>
      </c>
      <c r="E132" s="22">
        <v>276.0</v>
      </c>
      <c r="F132" s="22">
        <f t="shared" si="2"/>
        <v>715</v>
      </c>
      <c r="G132" s="23">
        <f t="shared" si="3"/>
        <v>0.613986014</v>
      </c>
      <c r="H132" s="23">
        <f t="shared" si="4"/>
        <v>0.386013986</v>
      </c>
      <c r="I132" s="21" t="s">
        <v>73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21" t="s">
        <v>139</v>
      </c>
      <c r="B133" s="21" t="s">
        <v>200</v>
      </c>
      <c r="C133" s="21" t="s">
        <v>212</v>
      </c>
      <c r="D133" s="22">
        <v>488.0</v>
      </c>
      <c r="E133" s="22">
        <v>332.0</v>
      </c>
      <c r="F133" s="22">
        <f t="shared" si="2"/>
        <v>820</v>
      </c>
      <c r="G133" s="23">
        <f t="shared" si="3"/>
        <v>0.5951219512</v>
      </c>
      <c r="H133" s="23">
        <f t="shared" si="4"/>
        <v>0.4048780488</v>
      </c>
      <c r="I133" s="21" t="s">
        <v>73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21" t="s">
        <v>139</v>
      </c>
      <c r="B134" s="21" t="s">
        <v>213</v>
      </c>
      <c r="C134" s="21" t="s">
        <v>214</v>
      </c>
      <c r="D134" s="22">
        <v>377.0</v>
      </c>
      <c r="E134" s="22">
        <v>368.0</v>
      </c>
      <c r="F134" s="22">
        <f t="shared" si="2"/>
        <v>745</v>
      </c>
      <c r="G134" s="23">
        <f t="shared" si="3"/>
        <v>0.5060402685</v>
      </c>
      <c r="H134" s="23">
        <f t="shared" si="4"/>
        <v>0.4939597315</v>
      </c>
      <c r="I134" s="21" t="s">
        <v>73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21" t="s">
        <v>139</v>
      </c>
      <c r="B135" s="21" t="s">
        <v>213</v>
      </c>
      <c r="C135" s="21" t="s">
        <v>215</v>
      </c>
      <c r="D135" s="22">
        <v>316.0</v>
      </c>
      <c r="E135" s="22">
        <v>375.0</v>
      </c>
      <c r="F135" s="22">
        <f t="shared" si="2"/>
        <v>691</v>
      </c>
      <c r="G135" s="23">
        <f t="shared" si="3"/>
        <v>0.4573082489</v>
      </c>
      <c r="H135" s="23">
        <f t="shared" si="4"/>
        <v>0.5426917511</v>
      </c>
      <c r="I135" s="21" t="s">
        <v>73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21" t="s">
        <v>139</v>
      </c>
      <c r="B136" s="21" t="s">
        <v>213</v>
      </c>
      <c r="C136" s="21" t="s">
        <v>216</v>
      </c>
      <c r="D136" s="22">
        <v>380.0</v>
      </c>
      <c r="E136" s="22">
        <v>446.0</v>
      </c>
      <c r="F136" s="22">
        <f t="shared" si="2"/>
        <v>826</v>
      </c>
      <c r="G136" s="23">
        <f t="shared" si="3"/>
        <v>0.4600484262</v>
      </c>
      <c r="H136" s="23">
        <f t="shared" si="4"/>
        <v>0.5399515738</v>
      </c>
      <c r="I136" s="21" t="s">
        <v>73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21" t="s">
        <v>139</v>
      </c>
      <c r="B137" s="21" t="s">
        <v>217</v>
      </c>
      <c r="C137" s="21" t="s">
        <v>217</v>
      </c>
      <c r="D137" s="22">
        <v>660.0</v>
      </c>
      <c r="E137" s="22">
        <v>819.0</v>
      </c>
      <c r="F137" s="22">
        <f t="shared" si="2"/>
        <v>1479</v>
      </c>
      <c r="G137" s="23">
        <f t="shared" si="3"/>
        <v>0.4462474645</v>
      </c>
      <c r="H137" s="23">
        <f t="shared" si="4"/>
        <v>0.5537525355</v>
      </c>
      <c r="I137" s="21" t="s">
        <v>73</v>
      </c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21" t="s">
        <v>139</v>
      </c>
      <c r="B138" s="21" t="s">
        <v>218</v>
      </c>
      <c r="C138" s="21" t="s">
        <v>219</v>
      </c>
      <c r="D138" s="22">
        <v>265.0</v>
      </c>
      <c r="E138" s="22">
        <v>319.0</v>
      </c>
      <c r="F138" s="22">
        <f t="shared" si="2"/>
        <v>584</v>
      </c>
      <c r="G138" s="23">
        <f t="shared" si="3"/>
        <v>0.4537671233</v>
      </c>
      <c r="H138" s="23">
        <f t="shared" si="4"/>
        <v>0.5462328767</v>
      </c>
      <c r="I138" s="21" t="s">
        <v>73</v>
      </c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21" t="s">
        <v>139</v>
      </c>
      <c r="B139" s="21" t="s">
        <v>218</v>
      </c>
      <c r="C139" s="21" t="s">
        <v>220</v>
      </c>
      <c r="D139" s="22">
        <v>400.0</v>
      </c>
      <c r="E139" s="22">
        <v>435.0</v>
      </c>
      <c r="F139" s="22">
        <f t="shared" si="2"/>
        <v>835</v>
      </c>
      <c r="G139" s="23">
        <f t="shared" si="3"/>
        <v>0.4790419162</v>
      </c>
      <c r="H139" s="23">
        <f t="shared" si="4"/>
        <v>0.5209580838</v>
      </c>
      <c r="I139" s="21" t="s">
        <v>73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21" t="s">
        <v>139</v>
      </c>
      <c r="B140" s="21" t="s">
        <v>221</v>
      </c>
      <c r="C140" s="21" t="s">
        <v>222</v>
      </c>
      <c r="D140" s="22">
        <v>489.0</v>
      </c>
      <c r="E140" s="22">
        <v>465.0</v>
      </c>
      <c r="F140" s="22">
        <f t="shared" si="2"/>
        <v>954</v>
      </c>
      <c r="G140" s="23">
        <f t="shared" si="3"/>
        <v>0.5125786164</v>
      </c>
      <c r="H140" s="23">
        <f t="shared" si="4"/>
        <v>0.4874213836</v>
      </c>
      <c r="I140" s="21" t="s">
        <v>73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21" t="s">
        <v>139</v>
      </c>
      <c r="B141" s="21" t="s">
        <v>221</v>
      </c>
      <c r="C141" s="21" t="s">
        <v>223</v>
      </c>
      <c r="D141" s="22">
        <v>462.0</v>
      </c>
      <c r="E141" s="22">
        <v>428.0</v>
      </c>
      <c r="F141" s="22">
        <f t="shared" si="2"/>
        <v>890</v>
      </c>
      <c r="G141" s="23">
        <f t="shared" si="3"/>
        <v>0.5191011236</v>
      </c>
      <c r="H141" s="23">
        <f t="shared" si="4"/>
        <v>0.4808988764</v>
      </c>
      <c r="I141" s="21" t="s">
        <v>73</v>
      </c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21" t="s">
        <v>139</v>
      </c>
      <c r="B142" s="21" t="s">
        <v>221</v>
      </c>
      <c r="C142" s="21" t="s">
        <v>224</v>
      </c>
      <c r="D142" s="22">
        <v>592.0</v>
      </c>
      <c r="E142" s="22">
        <v>584.0</v>
      </c>
      <c r="F142" s="22">
        <f t="shared" si="2"/>
        <v>1176</v>
      </c>
      <c r="G142" s="23">
        <f t="shared" si="3"/>
        <v>0.5034013605</v>
      </c>
      <c r="H142" s="23">
        <f t="shared" si="4"/>
        <v>0.4965986395</v>
      </c>
      <c r="I142" s="21" t="s">
        <v>73</v>
      </c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21" t="s">
        <v>139</v>
      </c>
      <c r="B143" s="21" t="s">
        <v>221</v>
      </c>
      <c r="C143" s="21" t="s">
        <v>225</v>
      </c>
      <c r="D143" s="22">
        <v>534.0</v>
      </c>
      <c r="E143" s="22">
        <v>500.0</v>
      </c>
      <c r="F143" s="22">
        <f t="shared" si="2"/>
        <v>1034</v>
      </c>
      <c r="G143" s="23">
        <f t="shared" si="3"/>
        <v>0.5164410058</v>
      </c>
      <c r="H143" s="23">
        <f t="shared" si="4"/>
        <v>0.4835589942</v>
      </c>
      <c r="I143" s="21" t="s">
        <v>73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21" t="s">
        <v>139</v>
      </c>
      <c r="B144" s="21" t="s">
        <v>221</v>
      </c>
      <c r="C144" s="21" t="s">
        <v>226</v>
      </c>
      <c r="D144" s="22">
        <v>294.0</v>
      </c>
      <c r="E144" s="22">
        <v>324.0</v>
      </c>
      <c r="F144" s="22">
        <f t="shared" si="2"/>
        <v>618</v>
      </c>
      <c r="G144" s="23">
        <f t="shared" si="3"/>
        <v>0.4757281553</v>
      </c>
      <c r="H144" s="23">
        <f t="shared" si="4"/>
        <v>0.5242718447</v>
      </c>
      <c r="I144" s="21" t="s">
        <v>73</v>
      </c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21" t="s">
        <v>139</v>
      </c>
      <c r="B145" s="21" t="s">
        <v>221</v>
      </c>
      <c r="C145" s="21" t="s">
        <v>227</v>
      </c>
      <c r="D145" s="22">
        <v>625.0</v>
      </c>
      <c r="E145" s="22">
        <v>482.0</v>
      </c>
      <c r="F145" s="22">
        <f t="shared" si="2"/>
        <v>1107</v>
      </c>
      <c r="G145" s="23">
        <f t="shared" si="3"/>
        <v>0.5645889792</v>
      </c>
      <c r="H145" s="23">
        <f t="shared" si="4"/>
        <v>0.4354110208</v>
      </c>
      <c r="I145" s="21" t="s">
        <v>73</v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21" t="s">
        <v>139</v>
      </c>
      <c r="B146" s="21" t="s">
        <v>228</v>
      </c>
      <c r="C146" s="21" t="s">
        <v>229</v>
      </c>
      <c r="D146" s="22">
        <v>365.0</v>
      </c>
      <c r="E146" s="22">
        <v>210.0</v>
      </c>
      <c r="F146" s="22">
        <f t="shared" si="2"/>
        <v>575</v>
      </c>
      <c r="G146" s="23">
        <f t="shared" si="3"/>
        <v>0.6347826087</v>
      </c>
      <c r="H146" s="23">
        <f t="shared" si="4"/>
        <v>0.3652173913</v>
      </c>
      <c r="I146" s="21" t="s">
        <v>73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21" t="s">
        <v>139</v>
      </c>
      <c r="B147" s="21" t="s">
        <v>228</v>
      </c>
      <c r="C147" s="21" t="s">
        <v>230</v>
      </c>
      <c r="D147" s="22">
        <v>271.0</v>
      </c>
      <c r="E147" s="22">
        <v>174.0</v>
      </c>
      <c r="F147" s="22">
        <f t="shared" si="2"/>
        <v>445</v>
      </c>
      <c r="G147" s="23">
        <f t="shared" si="3"/>
        <v>0.608988764</v>
      </c>
      <c r="H147" s="23">
        <f t="shared" si="4"/>
        <v>0.391011236</v>
      </c>
      <c r="I147" s="21" t="s">
        <v>73</v>
      </c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21" t="s">
        <v>139</v>
      </c>
      <c r="B148" s="21" t="s">
        <v>228</v>
      </c>
      <c r="C148" s="21" t="s">
        <v>231</v>
      </c>
      <c r="D148" s="22">
        <v>326.0</v>
      </c>
      <c r="E148" s="22">
        <v>212.0</v>
      </c>
      <c r="F148" s="22">
        <f t="shared" si="2"/>
        <v>538</v>
      </c>
      <c r="G148" s="23">
        <f t="shared" si="3"/>
        <v>0.6059479554</v>
      </c>
      <c r="H148" s="23">
        <f t="shared" si="4"/>
        <v>0.3940520446</v>
      </c>
      <c r="I148" s="21" t="s">
        <v>73</v>
      </c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21" t="s">
        <v>139</v>
      </c>
      <c r="B149" s="21" t="s">
        <v>232</v>
      </c>
      <c r="C149" s="21" t="s">
        <v>232</v>
      </c>
      <c r="D149" s="22">
        <v>225.0</v>
      </c>
      <c r="E149" s="22">
        <v>217.0</v>
      </c>
      <c r="F149" s="22">
        <f t="shared" si="2"/>
        <v>442</v>
      </c>
      <c r="G149" s="23">
        <f t="shared" si="3"/>
        <v>0.5090497738</v>
      </c>
      <c r="H149" s="23">
        <f t="shared" si="4"/>
        <v>0.4909502262</v>
      </c>
      <c r="I149" s="21" t="s">
        <v>73</v>
      </c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21" t="s">
        <v>139</v>
      </c>
      <c r="B150" s="21" t="s">
        <v>233</v>
      </c>
      <c r="C150" s="21" t="s">
        <v>233</v>
      </c>
      <c r="D150" s="22">
        <v>521.0</v>
      </c>
      <c r="E150" s="22">
        <v>1305.0</v>
      </c>
      <c r="F150" s="22">
        <f t="shared" si="2"/>
        <v>1826</v>
      </c>
      <c r="G150" s="23">
        <f t="shared" si="3"/>
        <v>0.2853231106</v>
      </c>
      <c r="H150" s="23">
        <f t="shared" si="4"/>
        <v>0.7146768894</v>
      </c>
      <c r="I150" s="21" t="s">
        <v>73</v>
      </c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21" t="s">
        <v>139</v>
      </c>
      <c r="B151" s="21" t="s">
        <v>234</v>
      </c>
      <c r="C151" s="21" t="s">
        <v>235</v>
      </c>
      <c r="D151" s="22">
        <v>799.0</v>
      </c>
      <c r="E151" s="22">
        <v>895.0</v>
      </c>
      <c r="F151" s="22">
        <f t="shared" si="2"/>
        <v>1694</v>
      </c>
      <c r="G151" s="23">
        <f t="shared" si="3"/>
        <v>0.4716646989</v>
      </c>
      <c r="H151" s="23">
        <f t="shared" si="4"/>
        <v>0.5283353011</v>
      </c>
      <c r="I151" s="21" t="s">
        <v>73</v>
      </c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21" t="s">
        <v>139</v>
      </c>
      <c r="B152" s="21" t="s">
        <v>234</v>
      </c>
      <c r="C152" s="21" t="s">
        <v>236</v>
      </c>
      <c r="D152" s="22">
        <v>887.0</v>
      </c>
      <c r="E152" s="22">
        <v>917.0</v>
      </c>
      <c r="F152" s="22">
        <f t="shared" si="2"/>
        <v>1804</v>
      </c>
      <c r="G152" s="23">
        <f t="shared" si="3"/>
        <v>0.4916851441</v>
      </c>
      <c r="H152" s="23">
        <f t="shared" si="4"/>
        <v>0.5083148559</v>
      </c>
      <c r="I152" s="21" t="s">
        <v>73</v>
      </c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21" t="s">
        <v>139</v>
      </c>
      <c r="B153" s="21" t="s">
        <v>234</v>
      </c>
      <c r="C153" s="21" t="s">
        <v>237</v>
      </c>
      <c r="D153" s="22">
        <v>1602.0</v>
      </c>
      <c r="E153" s="22">
        <v>1646.0</v>
      </c>
      <c r="F153" s="22">
        <f t="shared" si="2"/>
        <v>3248</v>
      </c>
      <c r="G153" s="23">
        <f t="shared" si="3"/>
        <v>0.493226601</v>
      </c>
      <c r="H153" s="23">
        <f t="shared" si="4"/>
        <v>0.506773399</v>
      </c>
      <c r="I153" s="21" t="s">
        <v>73</v>
      </c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21" t="s">
        <v>139</v>
      </c>
      <c r="B154" s="21" t="s">
        <v>234</v>
      </c>
      <c r="C154" s="21" t="s">
        <v>238</v>
      </c>
      <c r="D154" s="22">
        <v>794.0</v>
      </c>
      <c r="E154" s="22">
        <v>905.0</v>
      </c>
      <c r="F154" s="22">
        <f t="shared" si="2"/>
        <v>1699</v>
      </c>
      <c r="G154" s="23">
        <f t="shared" si="3"/>
        <v>0.4673337257</v>
      </c>
      <c r="H154" s="23">
        <f t="shared" si="4"/>
        <v>0.5326662743</v>
      </c>
      <c r="I154" s="21" t="s">
        <v>73</v>
      </c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21" t="s">
        <v>139</v>
      </c>
      <c r="B155" s="21" t="s">
        <v>234</v>
      </c>
      <c r="C155" s="21" t="s">
        <v>239</v>
      </c>
      <c r="D155" s="22">
        <v>674.0</v>
      </c>
      <c r="E155" s="22">
        <v>766.0</v>
      </c>
      <c r="F155" s="22">
        <f t="shared" si="2"/>
        <v>1440</v>
      </c>
      <c r="G155" s="23">
        <f t="shared" si="3"/>
        <v>0.4680555556</v>
      </c>
      <c r="H155" s="23">
        <f t="shared" si="4"/>
        <v>0.5319444444</v>
      </c>
      <c r="I155" s="21" t="s">
        <v>73</v>
      </c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21" t="s">
        <v>139</v>
      </c>
      <c r="B156" s="21" t="s">
        <v>234</v>
      </c>
      <c r="C156" s="21" t="s">
        <v>240</v>
      </c>
      <c r="D156" s="22">
        <v>694.0</v>
      </c>
      <c r="E156" s="22">
        <v>643.0</v>
      </c>
      <c r="F156" s="22">
        <f t="shared" si="2"/>
        <v>1337</v>
      </c>
      <c r="G156" s="23">
        <f t="shared" si="3"/>
        <v>0.5190725505</v>
      </c>
      <c r="H156" s="23">
        <f t="shared" si="4"/>
        <v>0.4809274495</v>
      </c>
      <c r="I156" s="21" t="s">
        <v>73</v>
      </c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21" t="s">
        <v>139</v>
      </c>
      <c r="B157" s="21" t="s">
        <v>234</v>
      </c>
      <c r="C157" s="21" t="s">
        <v>241</v>
      </c>
      <c r="D157" s="22">
        <v>1173.0</v>
      </c>
      <c r="E157" s="22">
        <v>1468.0</v>
      </c>
      <c r="F157" s="22">
        <f t="shared" si="2"/>
        <v>2641</v>
      </c>
      <c r="G157" s="23">
        <f t="shared" si="3"/>
        <v>0.4441499432</v>
      </c>
      <c r="H157" s="23">
        <f t="shared" si="4"/>
        <v>0.5558500568</v>
      </c>
      <c r="I157" s="21" t="s">
        <v>73</v>
      </c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21" t="s">
        <v>139</v>
      </c>
      <c r="B158" s="21" t="s">
        <v>234</v>
      </c>
      <c r="C158" s="21" t="s">
        <v>242</v>
      </c>
      <c r="D158" s="22">
        <v>767.0</v>
      </c>
      <c r="E158" s="22">
        <v>686.0</v>
      </c>
      <c r="F158" s="22">
        <f t="shared" si="2"/>
        <v>1453</v>
      </c>
      <c r="G158" s="23">
        <f t="shared" si="3"/>
        <v>0.5278733655</v>
      </c>
      <c r="H158" s="23">
        <f t="shared" si="4"/>
        <v>0.4721266345</v>
      </c>
      <c r="I158" s="21" t="s">
        <v>73</v>
      </c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21" t="s">
        <v>139</v>
      </c>
      <c r="B159" s="21" t="s">
        <v>234</v>
      </c>
      <c r="C159" s="21" t="s">
        <v>243</v>
      </c>
      <c r="D159" s="22">
        <v>801.0</v>
      </c>
      <c r="E159" s="22">
        <v>758.0</v>
      </c>
      <c r="F159" s="22">
        <f t="shared" si="2"/>
        <v>1559</v>
      </c>
      <c r="G159" s="23">
        <f t="shared" si="3"/>
        <v>0.5137908916</v>
      </c>
      <c r="H159" s="23">
        <f t="shared" si="4"/>
        <v>0.4862091084</v>
      </c>
      <c r="I159" s="21" t="s">
        <v>73</v>
      </c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21" t="s">
        <v>139</v>
      </c>
      <c r="B160" s="21" t="s">
        <v>234</v>
      </c>
      <c r="C160" s="21" t="s">
        <v>244</v>
      </c>
      <c r="D160" s="22">
        <v>466.0</v>
      </c>
      <c r="E160" s="22">
        <v>483.0</v>
      </c>
      <c r="F160" s="22">
        <f t="shared" si="2"/>
        <v>949</v>
      </c>
      <c r="G160" s="23">
        <f t="shared" si="3"/>
        <v>0.4910432034</v>
      </c>
      <c r="H160" s="23">
        <f t="shared" si="4"/>
        <v>0.5089567966</v>
      </c>
      <c r="I160" s="21" t="s">
        <v>73</v>
      </c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21" t="s">
        <v>139</v>
      </c>
      <c r="B161" s="21" t="s">
        <v>245</v>
      </c>
      <c r="C161" s="21" t="s">
        <v>245</v>
      </c>
      <c r="D161" s="22">
        <v>917.0</v>
      </c>
      <c r="E161" s="22">
        <v>1553.0</v>
      </c>
      <c r="F161" s="22">
        <f t="shared" si="2"/>
        <v>2470</v>
      </c>
      <c r="G161" s="23">
        <f t="shared" si="3"/>
        <v>0.3712550607</v>
      </c>
      <c r="H161" s="23">
        <f t="shared" si="4"/>
        <v>0.6287449393</v>
      </c>
      <c r="I161" s="21" t="s">
        <v>73</v>
      </c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21" t="s">
        <v>139</v>
      </c>
      <c r="B162" s="21" t="s">
        <v>246</v>
      </c>
      <c r="C162" s="21" t="s">
        <v>246</v>
      </c>
      <c r="D162" s="22">
        <v>461.0</v>
      </c>
      <c r="E162" s="22">
        <v>882.0</v>
      </c>
      <c r="F162" s="22">
        <f t="shared" si="2"/>
        <v>1343</v>
      </c>
      <c r="G162" s="23">
        <f t="shared" si="3"/>
        <v>0.3432613552</v>
      </c>
      <c r="H162" s="23">
        <f t="shared" si="4"/>
        <v>0.6567386448</v>
      </c>
      <c r="I162" s="21" t="s">
        <v>73</v>
      </c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21" t="s">
        <v>139</v>
      </c>
      <c r="B163" s="21" t="s">
        <v>247</v>
      </c>
      <c r="C163" s="21" t="s">
        <v>248</v>
      </c>
      <c r="D163" s="22">
        <v>179.0</v>
      </c>
      <c r="E163" s="22">
        <v>476.0</v>
      </c>
      <c r="F163" s="22">
        <f t="shared" si="2"/>
        <v>655</v>
      </c>
      <c r="G163" s="23">
        <f t="shared" si="3"/>
        <v>0.2732824427</v>
      </c>
      <c r="H163" s="23">
        <f t="shared" si="4"/>
        <v>0.7267175573</v>
      </c>
      <c r="I163" s="21" t="s">
        <v>73</v>
      </c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21" t="s">
        <v>139</v>
      </c>
      <c r="B164" s="21" t="s">
        <v>247</v>
      </c>
      <c r="C164" s="21" t="s">
        <v>249</v>
      </c>
      <c r="D164" s="22">
        <v>113.0</v>
      </c>
      <c r="E164" s="22">
        <v>256.0</v>
      </c>
      <c r="F164" s="22">
        <f t="shared" si="2"/>
        <v>369</v>
      </c>
      <c r="G164" s="23">
        <f t="shared" si="3"/>
        <v>0.3062330623</v>
      </c>
      <c r="H164" s="23">
        <f t="shared" si="4"/>
        <v>0.6937669377</v>
      </c>
      <c r="I164" s="21" t="s">
        <v>73</v>
      </c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21" t="s">
        <v>139</v>
      </c>
      <c r="B165" s="21" t="s">
        <v>247</v>
      </c>
      <c r="C165" s="21" t="s">
        <v>250</v>
      </c>
      <c r="D165" s="22">
        <v>454.0</v>
      </c>
      <c r="E165" s="22">
        <v>972.0</v>
      </c>
      <c r="F165" s="22">
        <f t="shared" si="2"/>
        <v>1426</v>
      </c>
      <c r="G165" s="23">
        <f t="shared" si="3"/>
        <v>0.3183730715</v>
      </c>
      <c r="H165" s="23">
        <f t="shared" si="4"/>
        <v>0.6816269285</v>
      </c>
      <c r="I165" s="21" t="s">
        <v>73</v>
      </c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21" t="s">
        <v>139</v>
      </c>
      <c r="B166" s="21" t="s">
        <v>251</v>
      </c>
      <c r="C166" s="21" t="s">
        <v>251</v>
      </c>
      <c r="D166" s="22">
        <v>816.0</v>
      </c>
      <c r="E166" s="22">
        <v>741.0</v>
      </c>
      <c r="F166" s="22">
        <f t="shared" si="2"/>
        <v>1557</v>
      </c>
      <c r="G166" s="23">
        <f t="shared" si="3"/>
        <v>0.5240847784</v>
      </c>
      <c r="H166" s="23">
        <f t="shared" si="4"/>
        <v>0.4759152216</v>
      </c>
      <c r="I166" s="21" t="s">
        <v>73</v>
      </c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21" t="s">
        <v>139</v>
      </c>
      <c r="B167" s="21" t="s">
        <v>252</v>
      </c>
      <c r="C167" s="21" t="s">
        <v>253</v>
      </c>
      <c r="D167" s="22">
        <v>881.0</v>
      </c>
      <c r="E167" s="22">
        <v>1206.0</v>
      </c>
      <c r="F167" s="22">
        <f t="shared" si="2"/>
        <v>2087</v>
      </c>
      <c r="G167" s="23">
        <f t="shared" si="3"/>
        <v>0.4221370388</v>
      </c>
      <c r="H167" s="23">
        <f t="shared" si="4"/>
        <v>0.5778629612</v>
      </c>
      <c r="I167" s="21" t="s">
        <v>73</v>
      </c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21" t="s">
        <v>139</v>
      </c>
      <c r="B168" s="21" t="s">
        <v>252</v>
      </c>
      <c r="C168" s="21" t="s">
        <v>254</v>
      </c>
      <c r="D168" s="22">
        <v>724.0</v>
      </c>
      <c r="E168" s="22">
        <v>1199.0</v>
      </c>
      <c r="F168" s="22">
        <f t="shared" si="2"/>
        <v>1923</v>
      </c>
      <c r="G168" s="23">
        <f t="shared" si="3"/>
        <v>0.3764950598</v>
      </c>
      <c r="H168" s="23">
        <f t="shared" si="4"/>
        <v>0.6235049402</v>
      </c>
      <c r="I168" s="21" t="s">
        <v>73</v>
      </c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21" t="s">
        <v>139</v>
      </c>
      <c r="B169" s="21" t="s">
        <v>252</v>
      </c>
      <c r="C169" s="21" t="s">
        <v>255</v>
      </c>
      <c r="D169" s="22">
        <v>382.0</v>
      </c>
      <c r="E169" s="22">
        <v>614.0</v>
      </c>
      <c r="F169" s="22">
        <f t="shared" si="2"/>
        <v>996</v>
      </c>
      <c r="G169" s="23">
        <f t="shared" si="3"/>
        <v>0.3835341365</v>
      </c>
      <c r="H169" s="23">
        <f t="shared" si="4"/>
        <v>0.6164658635</v>
      </c>
      <c r="I169" s="21" t="s">
        <v>73</v>
      </c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21" t="s">
        <v>139</v>
      </c>
      <c r="B170" s="21" t="s">
        <v>252</v>
      </c>
      <c r="C170" s="21" t="s">
        <v>256</v>
      </c>
      <c r="D170" s="22">
        <v>608.0</v>
      </c>
      <c r="E170" s="22">
        <v>904.0</v>
      </c>
      <c r="F170" s="22">
        <f t="shared" si="2"/>
        <v>1512</v>
      </c>
      <c r="G170" s="23">
        <f t="shared" si="3"/>
        <v>0.4021164021</v>
      </c>
      <c r="H170" s="23">
        <f t="shared" si="4"/>
        <v>0.5978835979</v>
      </c>
      <c r="I170" s="21" t="s">
        <v>73</v>
      </c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21" t="s">
        <v>139</v>
      </c>
      <c r="B171" s="21" t="s">
        <v>252</v>
      </c>
      <c r="C171" s="21" t="s">
        <v>257</v>
      </c>
      <c r="D171" s="22">
        <v>529.0</v>
      </c>
      <c r="E171" s="22">
        <v>829.0</v>
      </c>
      <c r="F171" s="22">
        <f t="shared" si="2"/>
        <v>1358</v>
      </c>
      <c r="G171" s="23">
        <f t="shared" si="3"/>
        <v>0.3895434462</v>
      </c>
      <c r="H171" s="23">
        <f t="shared" si="4"/>
        <v>0.6104565538</v>
      </c>
      <c r="I171" s="21" t="s">
        <v>73</v>
      </c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21" t="s">
        <v>139</v>
      </c>
      <c r="B172" s="21" t="s">
        <v>252</v>
      </c>
      <c r="C172" s="21" t="s">
        <v>258</v>
      </c>
      <c r="D172" s="22">
        <v>363.0</v>
      </c>
      <c r="E172" s="22">
        <v>566.0</v>
      </c>
      <c r="F172" s="22">
        <f t="shared" si="2"/>
        <v>929</v>
      </c>
      <c r="G172" s="23">
        <f t="shared" si="3"/>
        <v>0.3907427341</v>
      </c>
      <c r="H172" s="23">
        <f t="shared" si="4"/>
        <v>0.6092572659</v>
      </c>
      <c r="I172" s="21" t="s">
        <v>73</v>
      </c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21" t="s">
        <v>139</v>
      </c>
      <c r="B173" s="21" t="s">
        <v>259</v>
      </c>
      <c r="C173" s="21" t="s">
        <v>260</v>
      </c>
      <c r="D173" s="22">
        <v>503.0</v>
      </c>
      <c r="E173" s="22">
        <v>577.0</v>
      </c>
      <c r="F173" s="22">
        <f t="shared" si="2"/>
        <v>1080</v>
      </c>
      <c r="G173" s="23">
        <f t="shared" si="3"/>
        <v>0.4657407407</v>
      </c>
      <c r="H173" s="23">
        <f t="shared" si="4"/>
        <v>0.5342592593</v>
      </c>
      <c r="I173" s="21" t="s">
        <v>73</v>
      </c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21" t="s">
        <v>139</v>
      </c>
      <c r="B174" s="21" t="s">
        <v>259</v>
      </c>
      <c r="C174" s="21" t="s">
        <v>261</v>
      </c>
      <c r="D174" s="22">
        <v>621.0</v>
      </c>
      <c r="E174" s="22">
        <v>697.0</v>
      </c>
      <c r="F174" s="22">
        <f t="shared" si="2"/>
        <v>1318</v>
      </c>
      <c r="G174" s="23">
        <f t="shared" si="3"/>
        <v>0.471168437</v>
      </c>
      <c r="H174" s="23">
        <f t="shared" si="4"/>
        <v>0.528831563</v>
      </c>
      <c r="I174" s="21" t="s">
        <v>73</v>
      </c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21" t="s">
        <v>139</v>
      </c>
      <c r="B175" s="21" t="s">
        <v>259</v>
      </c>
      <c r="C175" s="21" t="s">
        <v>262</v>
      </c>
      <c r="D175" s="22">
        <v>300.0</v>
      </c>
      <c r="E175" s="22">
        <v>333.0</v>
      </c>
      <c r="F175" s="22">
        <f t="shared" si="2"/>
        <v>633</v>
      </c>
      <c r="G175" s="23">
        <f t="shared" si="3"/>
        <v>0.4739336493</v>
      </c>
      <c r="H175" s="23">
        <f t="shared" si="4"/>
        <v>0.5260663507</v>
      </c>
      <c r="I175" s="21" t="s">
        <v>73</v>
      </c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21" t="s">
        <v>139</v>
      </c>
      <c r="B176" s="21" t="s">
        <v>259</v>
      </c>
      <c r="C176" s="21" t="s">
        <v>263</v>
      </c>
      <c r="D176" s="22">
        <v>353.0</v>
      </c>
      <c r="E176" s="22">
        <v>374.0</v>
      </c>
      <c r="F176" s="22">
        <f t="shared" si="2"/>
        <v>727</v>
      </c>
      <c r="G176" s="23">
        <f t="shared" si="3"/>
        <v>0.4855570839</v>
      </c>
      <c r="H176" s="23">
        <f t="shared" si="4"/>
        <v>0.5144429161</v>
      </c>
      <c r="I176" s="21" t="s">
        <v>73</v>
      </c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21" t="s">
        <v>139</v>
      </c>
      <c r="B177" s="21" t="s">
        <v>259</v>
      </c>
      <c r="C177" s="21" t="s">
        <v>264</v>
      </c>
      <c r="D177" s="22">
        <v>450.0</v>
      </c>
      <c r="E177" s="22">
        <v>463.0</v>
      </c>
      <c r="F177" s="22">
        <f t="shared" si="2"/>
        <v>913</v>
      </c>
      <c r="G177" s="23">
        <f t="shared" si="3"/>
        <v>0.4928806134</v>
      </c>
      <c r="H177" s="23">
        <f t="shared" si="4"/>
        <v>0.5071193866</v>
      </c>
      <c r="I177" s="21" t="s">
        <v>73</v>
      </c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21" t="s">
        <v>139</v>
      </c>
      <c r="B178" s="21" t="s">
        <v>259</v>
      </c>
      <c r="C178" s="21" t="s">
        <v>265</v>
      </c>
      <c r="D178" s="22">
        <v>283.0</v>
      </c>
      <c r="E178" s="22">
        <v>337.0</v>
      </c>
      <c r="F178" s="22">
        <f t="shared" si="2"/>
        <v>620</v>
      </c>
      <c r="G178" s="23">
        <f t="shared" si="3"/>
        <v>0.4564516129</v>
      </c>
      <c r="H178" s="23">
        <f t="shared" si="4"/>
        <v>0.5435483871</v>
      </c>
      <c r="I178" s="21" t="s">
        <v>73</v>
      </c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21" t="s">
        <v>139</v>
      </c>
      <c r="B179" s="21" t="s">
        <v>259</v>
      </c>
      <c r="C179" s="21" t="s">
        <v>266</v>
      </c>
      <c r="D179" s="22">
        <v>384.0</v>
      </c>
      <c r="E179" s="22">
        <v>316.0</v>
      </c>
      <c r="F179" s="22">
        <f t="shared" si="2"/>
        <v>700</v>
      </c>
      <c r="G179" s="23">
        <f t="shared" si="3"/>
        <v>0.5485714286</v>
      </c>
      <c r="H179" s="23">
        <f t="shared" si="4"/>
        <v>0.4514285714</v>
      </c>
      <c r="I179" s="21" t="s">
        <v>73</v>
      </c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21" t="s">
        <v>139</v>
      </c>
      <c r="B180" s="21" t="s">
        <v>259</v>
      </c>
      <c r="C180" s="21" t="s">
        <v>267</v>
      </c>
      <c r="D180" s="22">
        <v>480.0</v>
      </c>
      <c r="E180" s="22">
        <v>476.0</v>
      </c>
      <c r="F180" s="22">
        <f t="shared" si="2"/>
        <v>956</v>
      </c>
      <c r="G180" s="23">
        <f t="shared" si="3"/>
        <v>0.5020920502</v>
      </c>
      <c r="H180" s="23">
        <f t="shared" si="4"/>
        <v>0.4979079498</v>
      </c>
      <c r="I180" s="21" t="s">
        <v>73</v>
      </c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21" t="s">
        <v>139</v>
      </c>
      <c r="B181" s="21" t="s">
        <v>268</v>
      </c>
      <c r="C181" s="21" t="s">
        <v>269</v>
      </c>
      <c r="D181" s="22">
        <v>171.0</v>
      </c>
      <c r="E181" s="22">
        <v>271.0</v>
      </c>
      <c r="F181" s="22">
        <f t="shared" si="2"/>
        <v>442</v>
      </c>
      <c r="G181" s="23">
        <f t="shared" si="3"/>
        <v>0.3868778281</v>
      </c>
      <c r="H181" s="23">
        <f t="shared" si="4"/>
        <v>0.6131221719</v>
      </c>
      <c r="I181" s="21" t="s">
        <v>73</v>
      </c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21" t="s">
        <v>139</v>
      </c>
      <c r="B182" s="21" t="s">
        <v>268</v>
      </c>
      <c r="C182" s="21" t="s">
        <v>270</v>
      </c>
      <c r="D182" s="22">
        <v>112.0</v>
      </c>
      <c r="E182" s="22">
        <v>212.0</v>
      </c>
      <c r="F182" s="22">
        <f t="shared" si="2"/>
        <v>324</v>
      </c>
      <c r="G182" s="23">
        <f t="shared" si="3"/>
        <v>0.3456790123</v>
      </c>
      <c r="H182" s="23">
        <f t="shared" si="4"/>
        <v>0.6543209877</v>
      </c>
      <c r="I182" s="21" t="s">
        <v>73</v>
      </c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21" t="s">
        <v>139</v>
      </c>
      <c r="B183" s="21" t="s">
        <v>268</v>
      </c>
      <c r="C183" s="21" t="s">
        <v>271</v>
      </c>
      <c r="D183" s="22">
        <v>301.0</v>
      </c>
      <c r="E183" s="22">
        <v>472.0</v>
      </c>
      <c r="F183" s="22">
        <f t="shared" si="2"/>
        <v>773</v>
      </c>
      <c r="G183" s="23">
        <f t="shared" si="3"/>
        <v>0.3893919793</v>
      </c>
      <c r="H183" s="23">
        <f t="shared" si="4"/>
        <v>0.6106080207</v>
      </c>
      <c r="I183" s="21" t="s">
        <v>73</v>
      </c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21" t="s">
        <v>139</v>
      </c>
      <c r="B184" s="21" t="s">
        <v>272</v>
      </c>
      <c r="C184" s="21" t="s">
        <v>273</v>
      </c>
      <c r="D184" s="22">
        <v>711.0</v>
      </c>
      <c r="E184" s="22">
        <v>854.0</v>
      </c>
      <c r="F184" s="22">
        <f t="shared" si="2"/>
        <v>1565</v>
      </c>
      <c r="G184" s="23">
        <f t="shared" si="3"/>
        <v>0.454313099</v>
      </c>
      <c r="H184" s="23">
        <f t="shared" si="4"/>
        <v>0.545686901</v>
      </c>
      <c r="I184" s="21" t="s">
        <v>73</v>
      </c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21" t="s">
        <v>139</v>
      </c>
      <c r="B185" s="21" t="s">
        <v>272</v>
      </c>
      <c r="C185" s="21" t="s">
        <v>274</v>
      </c>
      <c r="D185" s="22">
        <v>311.0</v>
      </c>
      <c r="E185" s="22">
        <v>368.0</v>
      </c>
      <c r="F185" s="22">
        <f t="shared" si="2"/>
        <v>679</v>
      </c>
      <c r="G185" s="23">
        <f t="shared" si="3"/>
        <v>0.4580265096</v>
      </c>
      <c r="H185" s="23">
        <f t="shared" si="4"/>
        <v>0.5419734904</v>
      </c>
      <c r="I185" s="21" t="s">
        <v>73</v>
      </c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21" t="s">
        <v>139</v>
      </c>
      <c r="B186" s="21" t="s">
        <v>272</v>
      </c>
      <c r="C186" s="21" t="s">
        <v>275</v>
      </c>
      <c r="D186" s="22">
        <v>1015.0</v>
      </c>
      <c r="E186" s="22">
        <v>808.0</v>
      </c>
      <c r="F186" s="22">
        <f t="shared" si="2"/>
        <v>1823</v>
      </c>
      <c r="G186" s="23">
        <f t="shared" si="3"/>
        <v>0.5567745474</v>
      </c>
      <c r="H186" s="23">
        <f t="shared" si="4"/>
        <v>0.4432254526</v>
      </c>
      <c r="I186" s="21" t="s">
        <v>73</v>
      </c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21" t="s">
        <v>139</v>
      </c>
      <c r="B187" s="21" t="s">
        <v>272</v>
      </c>
      <c r="C187" s="21" t="s">
        <v>276</v>
      </c>
      <c r="D187" s="22">
        <v>413.0</v>
      </c>
      <c r="E187" s="22">
        <v>480.0</v>
      </c>
      <c r="F187" s="22">
        <f t="shared" si="2"/>
        <v>893</v>
      </c>
      <c r="G187" s="23">
        <f t="shared" si="3"/>
        <v>0.4624860022</v>
      </c>
      <c r="H187" s="23">
        <f t="shared" si="4"/>
        <v>0.5375139978</v>
      </c>
      <c r="I187" s="21" t="s">
        <v>73</v>
      </c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21" t="s">
        <v>139</v>
      </c>
      <c r="B188" s="21" t="s">
        <v>272</v>
      </c>
      <c r="C188" s="21" t="s">
        <v>277</v>
      </c>
      <c r="D188" s="22">
        <v>887.0</v>
      </c>
      <c r="E188" s="22">
        <v>611.0</v>
      </c>
      <c r="F188" s="22">
        <f t="shared" si="2"/>
        <v>1498</v>
      </c>
      <c r="G188" s="23">
        <f t="shared" si="3"/>
        <v>0.5921228304</v>
      </c>
      <c r="H188" s="23">
        <f t="shared" si="4"/>
        <v>0.4078771696</v>
      </c>
      <c r="I188" s="21" t="s">
        <v>73</v>
      </c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21" t="s">
        <v>139</v>
      </c>
      <c r="B189" s="21" t="s">
        <v>272</v>
      </c>
      <c r="C189" s="21" t="s">
        <v>278</v>
      </c>
      <c r="D189" s="22">
        <v>934.0</v>
      </c>
      <c r="E189" s="22">
        <v>648.0</v>
      </c>
      <c r="F189" s="22">
        <f t="shared" si="2"/>
        <v>1582</v>
      </c>
      <c r="G189" s="23">
        <f t="shared" si="3"/>
        <v>0.590391909</v>
      </c>
      <c r="H189" s="23">
        <f t="shared" si="4"/>
        <v>0.409608091</v>
      </c>
      <c r="I189" s="21" t="s">
        <v>73</v>
      </c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21" t="s">
        <v>139</v>
      </c>
      <c r="B190" s="21" t="s">
        <v>272</v>
      </c>
      <c r="C190" s="21" t="s">
        <v>279</v>
      </c>
      <c r="D190" s="22">
        <v>416.0</v>
      </c>
      <c r="E190" s="22">
        <v>447.0</v>
      </c>
      <c r="F190" s="22">
        <f t="shared" si="2"/>
        <v>863</v>
      </c>
      <c r="G190" s="23">
        <f t="shared" si="3"/>
        <v>0.4820393975</v>
      </c>
      <c r="H190" s="23">
        <f t="shared" si="4"/>
        <v>0.5179606025</v>
      </c>
      <c r="I190" s="21" t="s">
        <v>73</v>
      </c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21" t="s">
        <v>139</v>
      </c>
      <c r="B191" s="21" t="s">
        <v>272</v>
      </c>
      <c r="C191" s="21" t="s">
        <v>280</v>
      </c>
      <c r="D191" s="22">
        <v>1218.0</v>
      </c>
      <c r="E191" s="22">
        <v>1269.0</v>
      </c>
      <c r="F191" s="22">
        <f t="shared" si="2"/>
        <v>2487</v>
      </c>
      <c r="G191" s="23">
        <f t="shared" si="3"/>
        <v>0.4897466828</v>
      </c>
      <c r="H191" s="23">
        <f t="shared" si="4"/>
        <v>0.5102533172</v>
      </c>
      <c r="I191" s="21" t="s">
        <v>73</v>
      </c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21" t="s">
        <v>139</v>
      </c>
      <c r="B192" s="21" t="s">
        <v>281</v>
      </c>
      <c r="C192" s="21" t="s">
        <v>282</v>
      </c>
      <c r="D192" s="22">
        <v>807.0</v>
      </c>
      <c r="E192" s="22">
        <v>826.0</v>
      </c>
      <c r="F192" s="22">
        <f t="shared" si="2"/>
        <v>1633</v>
      </c>
      <c r="G192" s="23">
        <f t="shared" si="3"/>
        <v>0.4941824862</v>
      </c>
      <c r="H192" s="23">
        <f t="shared" si="4"/>
        <v>0.5058175138</v>
      </c>
      <c r="I192" s="21" t="s">
        <v>73</v>
      </c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21" t="s">
        <v>139</v>
      </c>
      <c r="B193" s="21" t="s">
        <v>281</v>
      </c>
      <c r="C193" s="21" t="s">
        <v>283</v>
      </c>
      <c r="D193" s="22">
        <v>1132.0</v>
      </c>
      <c r="E193" s="22">
        <v>1113.0</v>
      </c>
      <c r="F193" s="22">
        <f t="shared" si="2"/>
        <v>2245</v>
      </c>
      <c r="G193" s="23">
        <f t="shared" si="3"/>
        <v>0.5042316258</v>
      </c>
      <c r="H193" s="23">
        <f t="shared" si="4"/>
        <v>0.4957683742</v>
      </c>
      <c r="I193" s="21" t="s">
        <v>73</v>
      </c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21" t="s">
        <v>139</v>
      </c>
      <c r="B194" s="21" t="s">
        <v>281</v>
      </c>
      <c r="C194" s="21" t="s">
        <v>284</v>
      </c>
      <c r="D194" s="22">
        <v>687.0</v>
      </c>
      <c r="E194" s="22">
        <v>862.0</v>
      </c>
      <c r="F194" s="22">
        <f t="shared" si="2"/>
        <v>1549</v>
      </c>
      <c r="G194" s="23">
        <f t="shared" si="3"/>
        <v>0.4435119432</v>
      </c>
      <c r="H194" s="23">
        <f t="shared" si="4"/>
        <v>0.5564880568</v>
      </c>
      <c r="I194" s="21" t="s">
        <v>73</v>
      </c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21" t="s">
        <v>139</v>
      </c>
      <c r="B195" s="21" t="s">
        <v>281</v>
      </c>
      <c r="C195" s="21" t="s">
        <v>285</v>
      </c>
      <c r="D195" s="22">
        <v>539.0</v>
      </c>
      <c r="E195" s="22">
        <v>561.0</v>
      </c>
      <c r="F195" s="22">
        <f t="shared" si="2"/>
        <v>1100</v>
      </c>
      <c r="G195" s="23">
        <f t="shared" si="3"/>
        <v>0.49</v>
      </c>
      <c r="H195" s="23">
        <f t="shared" si="4"/>
        <v>0.51</v>
      </c>
      <c r="I195" s="21" t="s">
        <v>73</v>
      </c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21" t="s">
        <v>139</v>
      </c>
      <c r="B196" s="21" t="s">
        <v>281</v>
      </c>
      <c r="C196" s="21" t="s">
        <v>286</v>
      </c>
      <c r="D196" s="22">
        <v>1666.0</v>
      </c>
      <c r="E196" s="22">
        <v>1429.0</v>
      </c>
      <c r="F196" s="22">
        <f t="shared" si="2"/>
        <v>3095</v>
      </c>
      <c r="G196" s="23">
        <f t="shared" si="3"/>
        <v>0.5382875606</v>
      </c>
      <c r="H196" s="23">
        <f t="shared" si="4"/>
        <v>0.4617124394</v>
      </c>
      <c r="I196" s="21" t="s">
        <v>73</v>
      </c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21" t="s">
        <v>139</v>
      </c>
      <c r="B197" s="21" t="s">
        <v>281</v>
      </c>
      <c r="C197" s="21" t="s">
        <v>287</v>
      </c>
      <c r="D197" s="22">
        <v>540.0</v>
      </c>
      <c r="E197" s="22">
        <v>574.0</v>
      </c>
      <c r="F197" s="22">
        <f t="shared" si="2"/>
        <v>1114</v>
      </c>
      <c r="G197" s="23">
        <f t="shared" si="3"/>
        <v>0.4847396768</v>
      </c>
      <c r="H197" s="23">
        <f t="shared" si="4"/>
        <v>0.5152603232</v>
      </c>
      <c r="I197" s="21" t="s">
        <v>73</v>
      </c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21" t="s">
        <v>139</v>
      </c>
      <c r="B198" s="21" t="s">
        <v>281</v>
      </c>
      <c r="C198" s="21" t="s">
        <v>288</v>
      </c>
      <c r="D198" s="22">
        <v>534.0</v>
      </c>
      <c r="E198" s="22">
        <v>463.0</v>
      </c>
      <c r="F198" s="22">
        <f t="shared" si="2"/>
        <v>997</v>
      </c>
      <c r="G198" s="23">
        <f t="shared" si="3"/>
        <v>0.5356068205</v>
      </c>
      <c r="H198" s="23">
        <f t="shared" si="4"/>
        <v>0.4643931795</v>
      </c>
      <c r="I198" s="21" t="s">
        <v>73</v>
      </c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21" t="s">
        <v>139</v>
      </c>
      <c r="B199" s="21" t="s">
        <v>281</v>
      </c>
      <c r="C199" s="21" t="s">
        <v>289</v>
      </c>
      <c r="D199" s="22">
        <v>585.0</v>
      </c>
      <c r="E199" s="22">
        <v>582.0</v>
      </c>
      <c r="F199" s="22">
        <f t="shared" si="2"/>
        <v>1167</v>
      </c>
      <c r="G199" s="23">
        <f t="shared" si="3"/>
        <v>0.501285347</v>
      </c>
      <c r="H199" s="23">
        <f t="shared" si="4"/>
        <v>0.498714653</v>
      </c>
      <c r="I199" s="21" t="s">
        <v>73</v>
      </c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21" t="s">
        <v>139</v>
      </c>
      <c r="B200" s="21" t="s">
        <v>290</v>
      </c>
      <c r="C200" s="21" t="s">
        <v>291</v>
      </c>
      <c r="D200" s="22">
        <v>1399.0</v>
      </c>
      <c r="E200" s="22">
        <v>1692.0</v>
      </c>
      <c r="F200" s="22">
        <f t="shared" si="2"/>
        <v>3091</v>
      </c>
      <c r="G200" s="23">
        <f t="shared" si="3"/>
        <v>0.4526043352</v>
      </c>
      <c r="H200" s="23">
        <f t="shared" si="4"/>
        <v>0.5473956648</v>
      </c>
      <c r="I200" s="21" t="s">
        <v>73</v>
      </c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21" t="s">
        <v>139</v>
      </c>
      <c r="B201" s="21" t="s">
        <v>290</v>
      </c>
      <c r="C201" s="21" t="s">
        <v>292</v>
      </c>
      <c r="D201" s="22">
        <v>821.0</v>
      </c>
      <c r="E201" s="22">
        <v>1415.0</v>
      </c>
      <c r="F201" s="22">
        <f t="shared" si="2"/>
        <v>2236</v>
      </c>
      <c r="G201" s="23">
        <f t="shared" si="3"/>
        <v>0.3671735242</v>
      </c>
      <c r="H201" s="23">
        <f t="shared" si="4"/>
        <v>0.6328264758</v>
      </c>
      <c r="I201" s="21" t="s">
        <v>73</v>
      </c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21" t="s">
        <v>139</v>
      </c>
      <c r="B202" s="21" t="s">
        <v>293</v>
      </c>
      <c r="C202" s="21" t="s">
        <v>294</v>
      </c>
      <c r="D202" s="22">
        <v>932.0</v>
      </c>
      <c r="E202" s="22">
        <v>992.0</v>
      </c>
      <c r="F202" s="22">
        <f t="shared" si="2"/>
        <v>1924</v>
      </c>
      <c r="G202" s="23">
        <f t="shared" si="3"/>
        <v>0.4844074844</v>
      </c>
      <c r="H202" s="23">
        <f t="shared" si="4"/>
        <v>0.5155925156</v>
      </c>
      <c r="I202" s="21" t="s">
        <v>73</v>
      </c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21" t="s">
        <v>139</v>
      </c>
      <c r="B203" s="21" t="s">
        <v>293</v>
      </c>
      <c r="C203" s="21" t="s">
        <v>295</v>
      </c>
      <c r="D203" s="22">
        <v>678.0</v>
      </c>
      <c r="E203" s="22">
        <v>797.0</v>
      </c>
      <c r="F203" s="22">
        <f t="shared" si="2"/>
        <v>1475</v>
      </c>
      <c r="G203" s="23">
        <f t="shared" si="3"/>
        <v>0.4596610169</v>
      </c>
      <c r="H203" s="23">
        <f t="shared" si="4"/>
        <v>0.5403389831</v>
      </c>
      <c r="I203" s="21" t="s">
        <v>73</v>
      </c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21" t="s">
        <v>139</v>
      </c>
      <c r="B204" s="21" t="s">
        <v>293</v>
      </c>
      <c r="C204" s="21" t="s">
        <v>296</v>
      </c>
      <c r="D204" s="22">
        <v>570.0</v>
      </c>
      <c r="E204" s="22">
        <v>646.0</v>
      </c>
      <c r="F204" s="22">
        <f t="shared" si="2"/>
        <v>1216</v>
      </c>
      <c r="G204" s="23">
        <f t="shared" si="3"/>
        <v>0.46875</v>
      </c>
      <c r="H204" s="23">
        <f t="shared" si="4"/>
        <v>0.53125</v>
      </c>
      <c r="I204" s="21" t="s">
        <v>73</v>
      </c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21" t="s">
        <v>139</v>
      </c>
      <c r="B205" s="21" t="s">
        <v>293</v>
      </c>
      <c r="C205" s="21" t="s">
        <v>297</v>
      </c>
      <c r="D205" s="22">
        <v>1467.0</v>
      </c>
      <c r="E205" s="22">
        <v>1626.0</v>
      </c>
      <c r="F205" s="22">
        <f t="shared" si="2"/>
        <v>3093</v>
      </c>
      <c r="G205" s="23">
        <f t="shared" si="3"/>
        <v>0.4742967992</v>
      </c>
      <c r="H205" s="23">
        <f t="shared" si="4"/>
        <v>0.5257032008</v>
      </c>
      <c r="I205" s="21" t="s">
        <v>73</v>
      </c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21" t="s">
        <v>139</v>
      </c>
      <c r="B206" s="21" t="s">
        <v>293</v>
      </c>
      <c r="C206" s="21" t="s">
        <v>298</v>
      </c>
      <c r="D206" s="22">
        <v>608.0</v>
      </c>
      <c r="E206" s="22">
        <v>584.0</v>
      </c>
      <c r="F206" s="22">
        <f t="shared" si="2"/>
        <v>1192</v>
      </c>
      <c r="G206" s="23">
        <f t="shared" si="3"/>
        <v>0.5100671141</v>
      </c>
      <c r="H206" s="23">
        <f t="shared" si="4"/>
        <v>0.4899328859</v>
      </c>
      <c r="I206" s="21" t="s">
        <v>73</v>
      </c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21" t="s">
        <v>139</v>
      </c>
      <c r="B207" s="21" t="s">
        <v>293</v>
      </c>
      <c r="C207" s="21" t="s">
        <v>299</v>
      </c>
      <c r="D207" s="22">
        <v>625.0</v>
      </c>
      <c r="E207" s="22">
        <v>605.0</v>
      </c>
      <c r="F207" s="22">
        <f t="shared" si="2"/>
        <v>1230</v>
      </c>
      <c r="G207" s="23">
        <f t="shared" si="3"/>
        <v>0.5081300813</v>
      </c>
      <c r="H207" s="23">
        <f t="shared" si="4"/>
        <v>0.4918699187</v>
      </c>
      <c r="I207" s="21" t="s">
        <v>73</v>
      </c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21" t="s">
        <v>139</v>
      </c>
      <c r="B208" s="21" t="s">
        <v>300</v>
      </c>
      <c r="C208" s="21" t="s">
        <v>301</v>
      </c>
      <c r="D208" s="22">
        <v>215.0</v>
      </c>
      <c r="E208" s="22">
        <v>490.0</v>
      </c>
      <c r="F208" s="22">
        <f t="shared" si="2"/>
        <v>705</v>
      </c>
      <c r="G208" s="23">
        <f t="shared" si="3"/>
        <v>0.304964539</v>
      </c>
      <c r="H208" s="23">
        <f t="shared" si="4"/>
        <v>0.695035461</v>
      </c>
      <c r="I208" s="21" t="s">
        <v>73</v>
      </c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21" t="s">
        <v>139</v>
      </c>
      <c r="B209" s="21" t="s">
        <v>300</v>
      </c>
      <c r="C209" s="21" t="s">
        <v>302</v>
      </c>
      <c r="D209" s="22">
        <v>710.0</v>
      </c>
      <c r="E209" s="22">
        <v>1520.0</v>
      </c>
      <c r="F209" s="22">
        <f t="shared" si="2"/>
        <v>2230</v>
      </c>
      <c r="G209" s="23">
        <f t="shared" si="3"/>
        <v>0.3183856502</v>
      </c>
      <c r="H209" s="23">
        <f t="shared" si="4"/>
        <v>0.6816143498</v>
      </c>
      <c r="I209" s="21" t="s">
        <v>73</v>
      </c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21" t="s">
        <v>139</v>
      </c>
      <c r="B210" s="21" t="s">
        <v>300</v>
      </c>
      <c r="C210" s="21" t="s">
        <v>303</v>
      </c>
      <c r="D210" s="22">
        <v>155.0</v>
      </c>
      <c r="E210" s="22">
        <v>455.0</v>
      </c>
      <c r="F210" s="22">
        <f t="shared" si="2"/>
        <v>610</v>
      </c>
      <c r="G210" s="23">
        <f t="shared" si="3"/>
        <v>0.2540983607</v>
      </c>
      <c r="H210" s="23">
        <f t="shared" si="4"/>
        <v>0.7459016393</v>
      </c>
      <c r="I210" s="21" t="s">
        <v>73</v>
      </c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21" t="s">
        <v>139</v>
      </c>
      <c r="B211" s="21" t="s">
        <v>304</v>
      </c>
      <c r="C211" s="21" t="s">
        <v>304</v>
      </c>
      <c r="D211" s="22">
        <v>1043.0</v>
      </c>
      <c r="E211" s="22">
        <v>2000.0</v>
      </c>
      <c r="F211" s="22">
        <f t="shared" si="2"/>
        <v>3043</v>
      </c>
      <c r="G211" s="23">
        <f t="shared" si="3"/>
        <v>0.3427538613</v>
      </c>
      <c r="H211" s="23">
        <f t="shared" si="4"/>
        <v>0.6572461387</v>
      </c>
      <c r="I211" s="21" t="s">
        <v>73</v>
      </c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21" t="s">
        <v>139</v>
      </c>
      <c r="B212" s="21" t="s">
        <v>305</v>
      </c>
      <c r="C212" s="21" t="s">
        <v>306</v>
      </c>
      <c r="D212" s="22">
        <v>691.0</v>
      </c>
      <c r="E212" s="22">
        <v>802.0</v>
      </c>
      <c r="F212" s="22">
        <f t="shared" si="2"/>
        <v>1493</v>
      </c>
      <c r="G212" s="23">
        <f t="shared" si="3"/>
        <v>0.4628265238</v>
      </c>
      <c r="H212" s="23">
        <f t="shared" si="4"/>
        <v>0.5371734762</v>
      </c>
      <c r="I212" s="21" t="s">
        <v>73</v>
      </c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21" t="s">
        <v>139</v>
      </c>
      <c r="B213" s="21" t="s">
        <v>305</v>
      </c>
      <c r="C213" s="21" t="s">
        <v>307</v>
      </c>
      <c r="D213" s="22">
        <v>521.0</v>
      </c>
      <c r="E213" s="22">
        <v>620.0</v>
      </c>
      <c r="F213" s="22">
        <f t="shared" si="2"/>
        <v>1141</v>
      </c>
      <c r="G213" s="23">
        <f t="shared" si="3"/>
        <v>0.4566170026</v>
      </c>
      <c r="H213" s="23">
        <f t="shared" si="4"/>
        <v>0.5433829974</v>
      </c>
      <c r="I213" s="21" t="s">
        <v>73</v>
      </c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21" t="s">
        <v>139</v>
      </c>
      <c r="B214" s="21" t="s">
        <v>305</v>
      </c>
      <c r="C214" s="21" t="s">
        <v>308</v>
      </c>
      <c r="D214" s="22">
        <v>471.0</v>
      </c>
      <c r="E214" s="22">
        <v>448.0</v>
      </c>
      <c r="F214" s="22">
        <f t="shared" si="2"/>
        <v>919</v>
      </c>
      <c r="G214" s="23">
        <f t="shared" si="3"/>
        <v>0.5125136017</v>
      </c>
      <c r="H214" s="23">
        <f t="shared" si="4"/>
        <v>0.4874863983</v>
      </c>
      <c r="I214" s="21" t="s">
        <v>73</v>
      </c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21" t="s">
        <v>139</v>
      </c>
      <c r="B215" s="21" t="s">
        <v>305</v>
      </c>
      <c r="C215" s="21" t="s">
        <v>309</v>
      </c>
      <c r="D215" s="22">
        <v>578.0</v>
      </c>
      <c r="E215" s="22">
        <v>466.0</v>
      </c>
      <c r="F215" s="22">
        <f t="shared" si="2"/>
        <v>1044</v>
      </c>
      <c r="G215" s="23">
        <f t="shared" si="3"/>
        <v>0.5536398467</v>
      </c>
      <c r="H215" s="23">
        <f t="shared" si="4"/>
        <v>0.4463601533</v>
      </c>
      <c r="I215" s="21" t="s">
        <v>73</v>
      </c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21" t="s">
        <v>139</v>
      </c>
      <c r="B216" s="21" t="s">
        <v>305</v>
      </c>
      <c r="C216" s="21" t="s">
        <v>310</v>
      </c>
      <c r="D216" s="22">
        <v>189.0</v>
      </c>
      <c r="E216" s="22">
        <v>184.0</v>
      </c>
      <c r="F216" s="22">
        <f t="shared" si="2"/>
        <v>373</v>
      </c>
      <c r="G216" s="23">
        <f t="shared" si="3"/>
        <v>0.5067024129</v>
      </c>
      <c r="H216" s="23">
        <f t="shared" si="4"/>
        <v>0.4932975871</v>
      </c>
      <c r="I216" s="21" t="s">
        <v>73</v>
      </c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21" t="s">
        <v>139</v>
      </c>
      <c r="B217" s="21" t="s">
        <v>305</v>
      </c>
      <c r="C217" s="21" t="s">
        <v>311</v>
      </c>
      <c r="D217" s="22">
        <v>302.0</v>
      </c>
      <c r="E217" s="22">
        <v>245.0</v>
      </c>
      <c r="F217" s="22">
        <f t="shared" si="2"/>
        <v>547</v>
      </c>
      <c r="G217" s="23">
        <f t="shared" si="3"/>
        <v>0.5521023766</v>
      </c>
      <c r="H217" s="23">
        <f t="shared" si="4"/>
        <v>0.4478976234</v>
      </c>
      <c r="I217" s="21" t="s">
        <v>73</v>
      </c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21" t="s">
        <v>139</v>
      </c>
      <c r="B218" s="21" t="s">
        <v>305</v>
      </c>
      <c r="C218" s="21" t="s">
        <v>312</v>
      </c>
      <c r="D218" s="22">
        <v>406.0</v>
      </c>
      <c r="E218" s="22">
        <v>351.0</v>
      </c>
      <c r="F218" s="22">
        <f t="shared" si="2"/>
        <v>757</v>
      </c>
      <c r="G218" s="23">
        <f t="shared" si="3"/>
        <v>0.536327609</v>
      </c>
      <c r="H218" s="23">
        <f t="shared" si="4"/>
        <v>0.463672391</v>
      </c>
      <c r="I218" s="21" t="s">
        <v>73</v>
      </c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21" t="s">
        <v>139</v>
      </c>
      <c r="B219" s="21" t="s">
        <v>305</v>
      </c>
      <c r="C219" s="21" t="s">
        <v>313</v>
      </c>
      <c r="D219" s="22">
        <v>194.0</v>
      </c>
      <c r="E219" s="22">
        <v>270.0</v>
      </c>
      <c r="F219" s="22">
        <f t="shared" si="2"/>
        <v>464</v>
      </c>
      <c r="G219" s="23">
        <f t="shared" si="3"/>
        <v>0.4181034483</v>
      </c>
      <c r="H219" s="23">
        <f t="shared" si="4"/>
        <v>0.5818965517</v>
      </c>
      <c r="I219" s="21" t="s">
        <v>73</v>
      </c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21" t="s">
        <v>139</v>
      </c>
      <c r="B220" s="21" t="s">
        <v>305</v>
      </c>
      <c r="C220" s="21" t="s">
        <v>314</v>
      </c>
      <c r="D220" s="22">
        <v>401.0</v>
      </c>
      <c r="E220" s="22">
        <v>422.0</v>
      </c>
      <c r="F220" s="22">
        <f t="shared" si="2"/>
        <v>823</v>
      </c>
      <c r="G220" s="23">
        <f t="shared" si="3"/>
        <v>0.4872417983</v>
      </c>
      <c r="H220" s="23">
        <f t="shared" si="4"/>
        <v>0.5127582017</v>
      </c>
      <c r="I220" s="21" t="s">
        <v>73</v>
      </c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21" t="s">
        <v>139</v>
      </c>
      <c r="B221" s="21" t="s">
        <v>305</v>
      </c>
      <c r="C221" s="21" t="s">
        <v>315</v>
      </c>
      <c r="D221" s="22">
        <v>677.0</v>
      </c>
      <c r="E221" s="22">
        <v>845.0</v>
      </c>
      <c r="F221" s="22">
        <f t="shared" si="2"/>
        <v>1522</v>
      </c>
      <c r="G221" s="23">
        <f t="shared" si="3"/>
        <v>0.4448094612</v>
      </c>
      <c r="H221" s="23">
        <f t="shared" si="4"/>
        <v>0.5551905388</v>
      </c>
      <c r="I221" s="21" t="s">
        <v>73</v>
      </c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21" t="s">
        <v>139</v>
      </c>
      <c r="B222" s="21" t="s">
        <v>305</v>
      </c>
      <c r="C222" s="21" t="s">
        <v>316</v>
      </c>
      <c r="D222" s="22">
        <v>617.0</v>
      </c>
      <c r="E222" s="22">
        <v>722.0</v>
      </c>
      <c r="F222" s="22">
        <f t="shared" si="2"/>
        <v>1339</v>
      </c>
      <c r="G222" s="23">
        <f t="shared" si="3"/>
        <v>0.4607916355</v>
      </c>
      <c r="H222" s="23">
        <f t="shared" si="4"/>
        <v>0.5392083645</v>
      </c>
      <c r="I222" s="21" t="s">
        <v>73</v>
      </c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21" t="s">
        <v>139</v>
      </c>
      <c r="B223" s="21" t="s">
        <v>305</v>
      </c>
      <c r="C223" s="21" t="s">
        <v>317</v>
      </c>
      <c r="D223" s="22">
        <v>436.0</v>
      </c>
      <c r="E223" s="22">
        <v>461.0</v>
      </c>
      <c r="F223" s="22">
        <f t="shared" si="2"/>
        <v>897</v>
      </c>
      <c r="G223" s="23">
        <f t="shared" si="3"/>
        <v>0.48606466</v>
      </c>
      <c r="H223" s="23">
        <f t="shared" si="4"/>
        <v>0.51393534</v>
      </c>
      <c r="I223" s="21" t="s">
        <v>73</v>
      </c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27" t="s">
        <v>318</v>
      </c>
      <c r="B224" s="21" t="s">
        <v>319</v>
      </c>
      <c r="C224" s="21" t="s">
        <v>320</v>
      </c>
      <c r="D224" s="22">
        <v>390.0</v>
      </c>
      <c r="E224" s="22">
        <v>1018.0</v>
      </c>
      <c r="F224" s="22">
        <f t="shared" si="2"/>
        <v>1408</v>
      </c>
      <c r="G224" s="23">
        <f t="shared" si="3"/>
        <v>0.2769886364</v>
      </c>
      <c r="H224" s="23">
        <f t="shared" si="4"/>
        <v>0.7230113636</v>
      </c>
      <c r="I224" s="21" t="s">
        <v>73</v>
      </c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27" t="s">
        <v>318</v>
      </c>
      <c r="B225" s="21" t="s">
        <v>321</v>
      </c>
      <c r="C225" s="21" t="s">
        <v>322</v>
      </c>
      <c r="D225" s="22">
        <v>1037.0</v>
      </c>
      <c r="E225" s="22">
        <v>2493.0</v>
      </c>
      <c r="F225" s="22">
        <f t="shared" si="2"/>
        <v>3530</v>
      </c>
      <c r="G225" s="23">
        <f t="shared" si="3"/>
        <v>0.2937677054</v>
      </c>
      <c r="H225" s="23">
        <f t="shared" si="4"/>
        <v>0.7062322946</v>
      </c>
      <c r="I225" s="21" t="s">
        <v>73</v>
      </c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28" t="s">
        <v>318</v>
      </c>
      <c r="B226" s="24" t="s">
        <v>323</v>
      </c>
      <c r="C226" s="24" t="s">
        <v>324</v>
      </c>
      <c r="D226" s="25">
        <v>108.0</v>
      </c>
      <c r="E226" s="25">
        <v>229.0</v>
      </c>
      <c r="F226" s="25">
        <f t="shared" si="2"/>
        <v>337</v>
      </c>
      <c r="G226" s="26">
        <f t="shared" si="3"/>
        <v>0.3204747774</v>
      </c>
      <c r="H226" s="26">
        <f t="shared" si="4"/>
        <v>0.6795252226</v>
      </c>
      <c r="I226" s="24" t="s">
        <v>83</v>
      </c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24" t="s">
        <v>325</v>
      </c>
      <c r="B227" s="24" t="s">
        <v>326</v>
      </c>
      <c r="C227" s="24" t="s">
        <v>327</v>
      </c>
      <c r="D227" s="25">
        <v>661.0</v>
      </c>
      <c r="E227" s="25">
        <v>887.0</v>
      </c>
      <c r="F227" s="25">
        <f t="shared" si="2"/>
        <v>1548</v>
      </c>
      <c r="G227" s="26">
        <f t="shared" si="3"/>
        <v>0.427002584</v>
      </c>
      <c r="H227" s="26">
        <f t="shared" si="4"/>
        <v>0.572997416</v>
      </c>
      <c r="I227" s="24" t="s">
        <v>83</v>
      </c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24" t="s">
        <v>325</v>
      </c>
      <c r="B228" s="24" t="s">
        <v>326</v>
      </c>
      <c r="C228" s="24" t="s">
        <v>328</v>
      </c>
      <c r="D228" s="25">
        <v>661.0</v>
      </c>
      <c r="E228" s="25">
        <v>887.0</v>
      </c>
      <c r="F228" s="25">
        <f t="shared" si="2"/>
        <v>1548</v>
      </c>
      <c r="G228" s="26">
        <f t="shared" si="3"/>
        <v>0.427002584</v>
      </c>
      <c r="H228" s="26">
        <f t="shared" si="4"/>
        <v>0.572997416</v>
      </c>
      <c r="I228" s="24" t="s">
        <v>83</v>
      </c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24" t="s">
        <v>325</v>
      </c>
      <c r="B229" s="24" t="s">
        <v>329</v>
      </c>
      <c r="C229" s="24" t="s">
        <v>330</v>
      </c>
      <c r="D229" s="25">
        <v>354.0</v>
      </c>
      <c r="E229" s="25">
        <v>563.0</v>
      </c>
      <c r="F229" s="25">
        <f t="shared" si="2"/>
        <v>917</v>
      </c>
      <c r="G229" s="26">
        <f t="shared" si="3"/>
        <v>0.3860414395</v>
      </c>
      <c r="H229" s="26">
        <f t="shared" si="4"/>
        <v>0.6139585605</v>
      </c>
      <c r="I229" s="24" t="s">
        <v>83</v>
      </c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24" t="s">
        <v>325</v>
      </c>
      <c r="B230" s="24" t="s">
        <v>329</v>
      </c>
      <c r="C230" s="24" t="s">
        <v>331</v>
      </c>
      <c r="D230" s="25">
        <v>354.0</v>
      </c>
      <c r="E230" s="25">
        <v>563.0</v>
      </c>
      <c r="F230" s="25">
        <f t="shared" si="2"/>
        <v>917</v>
      </c>
      <c r="G230" s="26">
        <f t="shared" si="3"/>
        <v>0.3860414395</v>
      </c>
      <c r="H230" s="26">
        <f t="shared" si="4"/>
        <v>0.6139585605</v>
      </c>
      <c r="I230" s="24" t="s">
        <v>83</v>
      </c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24" t="s">
        <v>325</v>
      </c>
      <c r="B231" s="24" t="s">
        <v>332</v>
      </c>
      <c r="C231" s="24" t="s">
        <v>332</v>
      </c>
      <c r="D231" s="25">
        <v>514.0</v>
      </c>
      <c r="E231" s="25">
        <v>618.0</v>
      </c>
      <c r="F231" s="25">
        <f t="shared" si="2"/>
        <v>1132</v>
      </c>
      <c r="G231" s="26">
        <f t="shared" si="3"/>
        <v>0.4540636042</v>
      </c>
      <c r="H231" s="26">
        <f t="shared" si="4"/>
        <v>0.5459363958</v>
      </c>
      <c r="I231" s="24" t="s">
        <v>83</v>
      </c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24" t="s">
        <v>325</v>
      </c>
      <c r="B232" s="24" t="s">
        <v>200</v>
      </c>
      <c r="C232" s="24" t="s">
        <v>333</v>
      </c>
      <c r="D232" s="25">
        <v>315.0</v>
      </c>
      <c r="E232" s="25">
        <v>279.0</v>
      </c>
      <c r="F232" s="25">
        <f t="shared" si="2"/>
        <v>594</v>
      </c>
      <c r="G232" s="26">
        <f t="shared" si="3"/>
        <v>0.5303030303</v>
      </c>
      <c r="H232" s="26">
        <f t="shared" si="4"/>
        <v>0.4696969697</v>
      </c>
      <c r="I232" s="24" t="s">
        <v>83</v>
      </c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24" t="s">
        <v>325</v>
      </c>
      <c r="B233" s="24" t="s">
        <v>200</v>
      </c>
      <c r="C233" s="24" t="s">
        <v>334</v>
      </c>
      <c r="D233" s="25">
        <v>315.0</v>
      </c>
      <c r="E233" s="25">
        <v>279.0</v>
      </c>
      <c r="F233" s="25">
        <f t="shared" si="2"/>
        <v>594</v>
      </c>
      <c r="G233" s="26">
        <f t="shared" si="3"/>
        <v>0.5303030303</v>
      </c>
      <c r="H233" s="26">
        <f t="shared" si="4"/>
        <v>0.4696969697</v>
      </c>
      <c r="I233" s="24" t="s">
        <v>83</v>
      </c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24" t="s">
        <v>325</v>
      </c>
      <c r="B234" s="24" t="s">
        <v>200</v>
      </c>
      <c r="C234" s="24" t="s">
        <v>335</v>
      </c>
      <c r="D234" s="25">
        <v>315.0</v>
      </c>
      <c r="E234" s="25">
        <v>279.0</v>
      </c>
      <c r="F234" s="25">
        <f t="shared" si="2"/>
        <v>594</v>
      </c>
      <c r="G234" s="26">
        <f t="shared" si="3"/>
        <v>0.5303030303</v>
      </c>
      <c r="H234" s="26">
        <f t="shared" si="4"/>
        <v>0.4696969697</v>
      </c>
      <c r="I234" s="24" t="s">
        <v>83</v>
      </c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24" t="s">
        <v>325</v>
      </c>
      <c r="B235" s="24" t="s">
        <v>200</v>
      </c>
      <c r="C235" s="24" t="s">
        <v>336</v>
      </c>
      <c r="D235" s="25">
        <v>315.0</v>
      </c>
      <c r="E235" s="25">
        <v>279.0</v>
      </c>
      <c r="F235" s="25">
        <f t="shared" si="2"/>
        <v>594</v>
      </c>
      <c r="G235" s="26">
        <f t="shared" si="3"/>
        <v>0.5303030303</v>
      </c>
      <c r="H235" s="26">
        <f t="shared" si="4"/>
        <v>0.4696969697</v>
      </c>
      <c r="I235" s="24" t="s">
        <v>83</v>
      </c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24" t="s">
        <v>325</v>
      </c>
      <c r="B236" s="24" t="s">
        <v>200</v>
      </c>
      <c r="C236" s="24" t="s">
        <v>337</v>
      </c>
      <c r="D236" s="25">
        <v>315.0</v>
      </c>
      <c r="E236" s="25">
        <v>279.0</v>
      </c>
      <c r="F236" s="25">
        <f t="shared" si="2"/>
        <v>594</v>
      </c>
      <c r="G236" s="26">
        <f t="shared" si="3"/>
        <v>0.5303030303</v>
      </c>
      <c r="H236" s="26">
        <f t="shared" si="4"/>
        <v>0.4696969697</v>
      </c>
      <c r="I236" s="24" t="s">
        <v>83</v>
      </c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24" t="s">
        <v>325</v>
      </c>
      <c r="B237" s="24" t="s">
        <v>200</v>
      </c>
      <c r="C237" s="24" t="s">
        <v>338</v>
      </c>
      <c r="D237" s="25">
        <v>315.0</v>
      </c>
      <c r="E237" s="25">
        <v>279.0</v>
      </c>
      <c r="F237" s="25">
        <f t="shared" si="2"/>
        <v>594</v>
      </c>
      <c r="G237" s="26">
        <f t="shared" si="3"/>
        <v>0.5303030303</v>
      </c>
      <c r="H237" s="26">
        <f t="shared" si="4"/>
        <v>0.4696969697</v>
      </c>
      <c r="I237" s="24" t="s">
        <v>83</v>
      </c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24" t="s">
        <v>325</v>
      </c>
      <c r="B238" s="24" t="s">
        <v>200</v>
      </c>
      <c r="C238" s="24" t="s">
        <v>339</v>
      </c>
      <c r="D238" s="25">
        <v>315.0</v>
      </c>
      <c r="E238" s="25">
        <v>279.0</v>
      </c>
      <c r="F238" s="25">
        <f t="shared" si="2"/>
        <v>594</v>
      </c>
      <c r="G238" s="26">
        <f t="shared" si="3"/>
        <v>0.5303030303</v>
      </c>
      <c r="H238" s="26">
        <f t="shared" si="4"/>
        <v>0.4696969697</v>
      </c>
      <c r="I238" s="24" t="s">
        <v>83</v>
      </c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24" t="s">
        <v>325</v>
      </c>
      <c r="B239" s="24" t="s">
        <v>200</v>
      </c>
      <c r="C239" s="24" t="s">
        <v>340</v>
      </c>
      <c r="D239" s="25">
        <v>315.0</v>
      </c>
      <c r="E239" s="25">
        <v>279.0</v>
      </c>
      <c r="F239" s="25">
        <f t="shared" si="2"/>
        <v>594</v>
      </c>
      <c r="G239" s="26">
        <f t="shared" si="3"/>
        <v>0.5303030303</v>
      </c>
      <c r="H239" s="26">
        <f t="shared" si="4"/>
        <v>0.4696969697</v>
      </c>
      <c r="I239" s="24" t="s">
        <v>83</v>
      </c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24" t="s">
        <v>325</v>
      </c>
      <c r="B240" s="24" t="s">
        <v>200</v>
      </c>
      <c r="C240" s="24" t="s">
        <v>341</v>
      </c>
      <c r="D240" s="25">
        <v>315.0</v>
      </c>
      <c r="E240" s="25">
        <v>279.0</v>
      </c>
      <c r="F240" s="25">
        <f t="shared" si="2"/>
        <v>594</v>
      </c>
      <c r="G240" s="26">
        <f t="shared" si="3"/>
        <v>0.5303030303</v>
      </c>
      <c r="H240" s="26">
        <f t="shared" si="4"/>
        <v>0.4696969697</v>
      </c>
      <c r="I240" s="24" t="s">
        <v>83</v>
      </c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24" t="s">
        <v>325</v>
      </c>
      <c r="B241" s="24" t="s">
        <v>200</v>
      </c>
      <c r="C241" s="24" t="s">
        <v>342</v>
      </c>
      <c r="D241" s="25">
        <v>315.0</v>
      </c>
      <c r="E241" s="25">
        <v>279.0</v>
      </c>
      <c r="F241" s="25">
        <f t="shared" si="2"/>
        <v>594</v>
      </c>
      <c r="G241" s="26">
        <f t="shared" si="3"/>
        <v>0.5303030303</v>
      </c>
      <c r="H241" s="26">
        <f t="shared" si="4"/>
        <v>0.4696969697</v>
      </c>
      <c r="I241" s="24" t="s">
        <v>83</v>
      </c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24" t="s">
        <v>325</v>
      </c>
      <c r="B242" s="24" t="s">
        <v>200</v>
      </c>
      <c r="C242" s="24" t="s">
        <v>343</v>
      </c>
      <c r="D242" s="25">
        <v>315.0</v>
      </c>
      <c r="E242" s="25">
        <v>279.0</v>
      </c>
      <c r="F242" s="25">
        <f t="shared" si="2"/>
        <v>594</v>
      </c>
      <c r="G242" s="26">
        <f t="shared" si="3"/>
        <v>0.5303030303</v>
      </c>
      <c r="H242" s="26">
        <f t="shared" si="4"/>
        <v>0.4696969697</v>
      </c>
      <c r="I242" s="24" t="s">
        <v>83</v>
      </c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24" t="s">
        <v>325</v>
      </c>
      <c r="B243" s="24" t="s">
        <v>200</v>
      </c>
      <c r="C243" s="24" t="s">
        <v>344</v>
      </c>
      <c r="D243" s="25">
        <v>315.0</v>
      </c>
      <c r="E243" s="25">
        <v>279.0</v>
      </c>
      <c r="F243" s="25">
        <f t="shared" si="2"/>
        <v>594</v>
      </c>
      <c r="G243" s="26">
        <f t="shared" si="3"/>
        <v>0.5303030303</v>
      </c>
      <c r="H243" s="26">
        <f t="shared" si="4"/>
        <v>0.4696969697</v>
      </c>
      <c r="I243" s="24" t="s">
        <v>83</v>
      </c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24" t="s">
        <v>325</v>
      </c>
      <c r="B244" s="24" t="s">
        <v>200</v>
      </c>
      <c r="C244" s="24" t="s">
        <v>345</v>
      </c>
      <c r="D244" s="25">
        <v>315.0</v>
      </c>
      <c r="E244" s="25">
        <v>279.0</v>
      </c>
      <c r="F244" s="25">
        <f t="shared" si="2"/>
        <v>594</v>
      </c>
      <c r="G244" s="26">
        <f t="shared" si="3"/>
        <v>0.5303030303</v>
      </c>
      <c r="H244" s="26">
        <f t="shared" si="4"/>
        <v>0.4696969697</v>
      </c>
      <c r="I244" s="24" t="s">
        <v>83</v>
      </c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24" t="s">
        <v>325</v>
      </c>
      <c r="B245" s="24" t="s">
        <v>200</v>
      </c>
      <c r="C245" s="24" t="s">
        <v>346</v>
      </c>
      <c r="D245" s="25">
        <v>315.0</v>
      </c>
      <c r="E245" s="25">
        <v>279.0</v>
      </c>
      <c r="F245" s="25">
        <f t="shared" si="2"/>
        <v>594</v>
      </c>
      <c r="G245" s="26">
        <f t="shared" si="3"/>
        <v>0.5303030303</v>
      </c>
      <c r="H245" s="26">
        <f t="shared" si="4"/>
        <v>0.4696969697</v>
      </c>
      <c r="I245" s="24" t="s">
        <v>83</v>
      </c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24" t="s">
        <v>325</v>
      </c>
      <c r="B246" s="24" t="s">
        <v>200</v>
      </c>
      <c r="C246" s="24" t="s">
        <v>347</v>
      </c>
      <c r="D246" s="25">
        <v>315.0</v>
      </c>
      <c r="E246" s="25">
        <v>279.0</v>
      </c>
      <c r="F246" s="25">
        <f t="shared" si="2"/>
        <v>594</v>
      </c>
      <c r="G246" s="26">
        <f t="shared" si="3"/>
        <v>0.5303030303</v>
      </c>
      <c r="H246" s="26">
        <f t="shared" si="4"/>
        <v>0.4696969697</v>
      </c>
      <c r="I246" s="24" t="s">
        <v>83</v>
      </c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24" t="s">
        <v>325</v>
      </c>
      <c r="B247" s="24" t="s">
        <v>200</v>
      </c>
      <c r="C247" s="24" t="s">
        <v>348</v>
      </c>
      <c r="D247" s="25">
        <v>315.0</v>
      </c>
      <c r="E247" s="25">
        <v>279.0</v>
      </c>
      <c r="F247" s="25">
        <f t="shared" si="2"/>
        <v>594</v>
      </c>
      <c r="G247" s="26">
        <f t="shared" si="3"/>
        <v>0.5303030303</v>
      </c>
      <c r="H247" s="26">
        <f t="shared" si="4"/>
        <v>0.4696969697</v>
      </c>
      <c r="I247" s="24" t="s">
        <v>83</v>
      </c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24" t="s">
        <v>325</v>
      </c>
      <c r="B248" s="24" t="s">
        <v>200</v>
      </c>
      <c r="C248" s="24" t="s">
        <v>349</v>
      </c>
      <c r="D248" s="25">
        <v>315.0</v>
      </c>
      <c r="E248" s="25">
        <v>279.0</v>
      </c>
      <c r="F248" s="25">
        <f t="shared" si="2"/>
        <v>594</v>
      </c>
      <c r="G248" s="26">
        <f t="shared" si="3"/>
        <v>0.5303030303</v>
      </c>
      <c r="H248" s="26">
        <f t="shared" si="4"/>
        <v>0.4696969697</v>
      </c>
      <c r="I248" s="24" t="s">
        <v>83</v>
      </c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24" t="s">
        <v>325</v>
      </c>
      <c r="B249" s="24" t="s">
        <v>200</v>
      </c>
      <c r="C249" s="24" t="s">
        <v>350</v>
      </c>
      <c r="D249" s="25">
        <v>315.0</v>
      </c>
      <c r="E249" s="25">
        <v>279.0</v>
      </c>
      <c r="F249" s="25">
        <f t="shared" si="2"/>
        <v>594</v>
      </c>
      <c r="G249" s="26">
        <f t="shared" si="3"/>
        <v>0.5303030303</v>
      </c>
      <c r="H249" s="26">
        <f t="shared" si="4"/>
        <v>0.4696969697</v>
      </c>
      <c r="I249" s="24" t="s">
        <v>83</v>
      </c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24" t="s">
        <v>325</v>
      </c>
      <c r="B250" s="24" t="s">
        <v>200</v>
      </c>
      <c r="C250" s="24" t="s">
        <v>351</v>
      </c>
      <c r="D250" s="25">
        <v>315.0</v>
      </c>
      <c r="E250" s="25">
        <v>279.0</v>
      </c>
      <c r="F250" s="25">
        <f t="shared" si="2"/>
        <v>594</v>
      </c>
      <c r="G250" s="26">
        <f t="shared" si="3"/>
        <v>0.5303030303</v>
      </c>
      <c r="H250" s="26">
        <f t="shared" si="4"/>
        <v>0.4696969697</v>
      </c>
      <c r="I250" s="24" t="s">
        <v>83</v>
      </c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24" t="s">
        <v>325</v>
      </c>
      <c r="B251" s="24" t="s">
        <v>200</v>
      </c>
      <c r="C251" s="24" t="s">
        <v>352</v>
      </c>
      <c r="D251" s="25">
        <v>315.0</v>
      </c>
      <c r="E251" s="25">
        <v>279.0</v>
      </c>
      <c r="F251" s="25">
        <f t="shared" si="2"/>
        <v>594</v>
      </c>
      <c r="G251" s="26">
        <f t="shared" si="3"/>
        <v>0.5303030303</v>
      </c>
      <c r="H251" s="26">
        <f t="shared" si="4"/>
        <v>0.4696969697</v>
      </c>
      <c r="I251" s="24" t="s">
        <v>83</v>
      </c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24" t="s">
        <v>325</v>
      </c>
      <c r="B252" s="24" t="s">
        <v>200</v>
      </c>
      <c r="C252" s="24" t="s">
        <v>353</v>
      </c>
      <c r="D252" s="25">
        <v>315.0</v>
      </c>
      <c r="E252" s="25">
        <v>279.0</v>
      </c>
      <c r="F252" s="25">
        <f t="shared" si="2"/>
        <v>594</v>
      </c>
      <c r="G252" s="26">
        <f t="shared" si="3"/>
        <v>0.5303030303</v>
      </c>
      <c r="H252" s="26">
        <f t="shared" si="4"/>
        <v>0.4696969697</v>
      </c>
      <c r="I252" s="24" t="s">
        <v>83</v>
      </c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24" t="s">
        <v>325</v>
      </c>
      <c r="B253" s="24" t="s">
        <v>200</v>
      </c>
      <c r="C253" s="24" t="s">
        <v>354</v>
      </c>
      <c r="D253" s="25">
        <v>315.0</v>
      </c>
      <c r="E253" s="25">
        <v>279.0</v>
      </c>
      <c r="F253" s="25">
        <f t="shared" si="2"/>
        <v>594</v>
      </c>
      <c r="G253" s="26">
        <f t="shared" si="3"/>
        <v>0.5303030303</v>
      </c>
      <c r="H253" s="26">
        <f t="shared" si="4"/>
        <v>0.4696969697</v>
      </c>
      <c r="I253" s="24" t="s">
        <v>83</v>
      </c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24" t="s">
        <v>325</v>
      </c>
      <c r="B254" s="24" t="s">
        <v>200</v>
      </c>
      <c r="C254" s="24" t="s">
        <v>355</v>
      </c>
      <c r="D254" s="25">
        <v>315.0</v>
      </c>
      <c r="E254" s="25">
        <v>279.0</v>
      </c>
      <c r="F254" s="25">
        <f t="shared" si="2"/>
        <v>594</v>
      </c>
      <c r="G254" s="26">
        <f t="shared" si="3"/>
        <v>0.5303030303</v>
      </c>
      <c r="H254" s="26">
        <f t="shared" si="4"/>
        <v>0.4696969697</v>
      </c>
      <c r="I254" s="24" t="s">
        <v>83</v>
      </c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24" t="s">
        <v>325</v>
      </c>
      <c r="B255" s="24" t="s">
        <v>200</v>
      </c>
      <c r="C255" s="24" t="s">
        <v>356</v>
      </c>
      <c r="D255" s="25">
        <v>315.0</v>
      </c>
      <c r="E255" s="25">
        <v>279.0</v>
      </c>
      <c r="F255" s="25">
        <f t="shared" si="2"/>
        <v>594</v>
      </c>
      <c r="G255" s="26">
        <f t="shared" si="3"/>
        <v>0.5303030303</v>
      </c>
      <c r="H255" s="26">
        <f t="shared" si="4"/>
        <v>0.4696969697</v>
      </c>
      <c r="I255" s="24" t="s">
        <v>83</v>
      </c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24" t="s">
        <v>325</v>
      </c>
      <c r="B256" s="24" t="s">
        <v>357</v>
      </c>
      <c r="C256" s="24" t="s">
        <v>358</v>
      </c>
      <c r="D256" s="25">
        <v>444.0</v>
      </c>
      <c r="E256" s="25">
        <v>393.0</v>
      </c>
      <c r="F256" s="25">
        <f t="shared" si="2"/>
        <v>837</v>
      </c>
      <c r="G256" s="26">
        <f t="shared" si="3"/>
        <v>0.5304659498</v>
      </c>
      <c r="H256" s="26">
        <f t="shared" si="4"/>
        <v>0.4695340502</v>
      </c>
      <c r="I256" s="24" t="s">
        <v>83</v>
      </c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24" t="s">
        <v>325</v>
      </c>
      <c r="B257" s="24" t="s">
        <v>357</v>
      </c>
      <c r="C257" s="24" t="s">
        <v>359</v>
      </c>
      <c r="D257" s="25">
        <v>444.0</v>
      </c>
      <c r="E257" s="25">
        <v>393.0</v>
      </c>
      <c r="F257" s="25">
        <f t="shared" si="2"/>
        <v>837</v>
      </c>
      <c r="G257" s="26">
        <f t="shared" si="3"/>
        <v>0.5304659498</v>
      </c>
      <c r="H257" s="26">
        <f t="shared" si="4"/>
        <v>0.4695340502</v>
      </c>
      <c r="I257" s="24" t="s">
        <v>83</v>
      </c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24" t="s">
        <v>325</v>
      </c>
      <c r="B258" s="24" t="s">
        <v>357</v>
      </c>
      <c r="C258" s="24" t="s">
        <v>360</v>
      </c>
      <c r="D258" s="25">
        <v>444.0</v>
      </c>
      <c r="E258" s="25">
        <v>393.0</v>
      </c>
      <c r="F258" s="25">
        <f t="shared" si="2"/>
        <v>837</v>
      </c>
      <c r="G258" s="26">
        <f t="shared" si="3"/>
        <v>0.5304659498</v>
      </c>
      <c r="H258" s="26">
        <f t="shared" si="4"/>
        <v>0.4695340502</v>
      </c>
      <c r="I258" s="24" t="s">
        <v>83</v>
      </c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24" t="s">
        <v>325</v>
      </c>
      <c r="B259" s="24" t="s">
        <v>357</v>
      </c>
      <c r="C259" s="24" t="s">
        <v>361</v>
      </c>
      <c r="D259" s="25">
        <v>444.0</v>
      </c>
      <c r="E259" s="25">
        <v>393.0</v>
      </c>
      <c r="F259" s="25">
        <f t="shared" si="2"/>
        <v>837</v>
      </c>
      <c r="G259" s="26">
        <f t="shared" si="3"/>
        <v>0.5304659498</v>
      </c>
      <c r="H259" s="26">
        <f t="shared" si="4"/>
        <v>0.4695340502</v>
      </c>
      <c r="I259" s="24" t="s">
        <v>83</v>
      </c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24" t="s">
        <v>325</v>
      </c>
      <c r="B260" s="24" t="s">
        <v>357</v>
      </c>
      <c r="C260" s="24" t="s">
        <v>362</v>
      </c>
      <c r="D260" s="25">
        <v>444.0</v>
      </c>
      <c r="E260" s="25">
        <v>393.0</v>
      </c>
      <c r="F260" s="25">
        <f t="shared" si="2"/>
        <v>837</v>
      </c>
      <c r="G260" s="26">
        <f t="shared" si="3"/>
        <v>0.5304659498</v>
      </c>
      <c r="H260" s="26">
        <f t="shared" si="4"/>
        <v>0.4695340502</v>
      </c>
      <c r="I260" s="24" t="s">
        <v>83</v>
      </c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24" t="s">
        <v>325</v>
      </c>
      <c r="B261" s="24" t="s">
        <v>357</v>
      </c>
      <c r="C261" s="24" t="s">
        <v>363</v>
      </c>
      <c r="D261" s="25">
        <v>444.0</v>
      </c>
      <c r="E261" s="25">
        <v>393.0</v>
      </c>
      <c r="F261" s="25">
        <f t="shared" si="2"/>
        <v>837</v>
      </c>
      <c r="G261" s="26">
        <f t="shared" si="3"/>
        <v>0.5304659498</v>
      </c>
      <c r="H261" s="26">
        <f t="shared" si="4"/>
        <v>0.4695340502</v>
      </c>
      <c r="I261" s="24" t="s">
        <v>83</v>
      </c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24" t="s">
        <v>325</v>
      </c>
      <c r="B262" s="24" t="s">
        <v>357</v>
      </c>
      <c r="C262" s="24" t="s">
        <v>364</v>
      </c>
      <c r="D262" s="25">
        <v>444.0</v>
      </c>
      <c r="E262" s="25">
        <v>393.0</v>
      </c>
      <c r="F262" s="25">
        <f t="shared" si="2"/>
        <v>837</v>
      </c>
      <c r="G262" s="26">
        <f t="shared" si="3"/>
        <v>0.5304659498</v>
      </c>
      <c r="H262" s="26">
        <f t="shared" si="4"/>
        <v>0.4695340502</v>
      </c>
      <c r="I262" s="24" t="s">
        <v>83</v>
      </c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24" t="s">
        <v>325</v>
      </c>
      <c r="B263" s="24" t="s">
        <v>357</v>
      </c>
      <c r="C263" s="24" t="s">
        <v>365</v>
      </c>
      <c r="D263" s="25">
        <v>444.0</v>
      </c>
      <c r="E263" s="25">
        <v>393.0</v>
      </c>
      <c r="F263" s="25">
        <f t="shared" si="2"/>
        <v>837</v>
      </c>
      <c r="G263" s="26">
        <f t="shared" si="3"/>
        <v>0.5304659498</v>
      </c>
      <c r="H263" s="26">
        <f t="shared" si="4"/>
        <v>0.4695340502</v>
      </c>
      <c r="I263" s="24" t="s">
        <v>83</v>
      </c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24" t="s">
        <v>325</v>
      </c>
      <c r="B264" s="24" t="s">
        <v>357</v>
      </c>
      <c r="C264" s="24" t="s">
        <v>366</v>
      </c>
      <c r="D264" s="25">
        <v>444.0</v>
      </c>
      <c r="E264" s="25">
        <v>393.0</v>
      </c>
      <c r="F264" s="25">
        <f t="shared" si="2"/>
        <v>837</v>
      </c>
      <c r="G264" s="26">
        <f t="shared" si="3"/>
        <v>0.5304659498</v>
      </c>
      <c r="H264" s="26">
        <f t="shared" si="4"/>
        <v>0.4695340502</v>
      </c>
      <c r="I264" s="24" t="s">
        <v>83</v>
      </c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24" t="s">
        <v>325</v>
      </c>
      <c r="B265" s="24" t="s">
        <v>357</v>
      </c>
      <c r="C265" s="24" t="s">
        <v>367</v>
      </c>
      <c r="D265" s="25">
        <v>444.0</v>
      </c>
      <c r="E265" s="25">
        <v>393.0</v>
      </c>
      <c r="F265" s="25">
        <f t="shared" si="2"/>
        <v>837</v>
      </c>
      <c r="G265" s="26">
        <f t="shared" si="3"/>
        <v>0.5304659498</v>
      </c>
      <c r="H265" s="26">
        <f t="shared" si="4"/>
        <v>0.4695340502</v>
      </c>
      <c r="I265" s="24" t="s">
        <v>83</v>
      </c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24" t="s">
        <v>325</v>
      </c>
      <c r="B266" s="24" t="s">
        <v>357</v>
      </c>
      <c r="C266" s="24" t="s">
        <v>368</v>
      </c>
      <c r="D266" s="25">
        <v>444.0</v>
      </c>
      <c r="E266" s="25">
        <v>393.0</v>
      </c>
      <c r="F266" s="25">
        <f t="shared" si="2"/>
        <v>837</v>
      </c>
      <c r="G266" s="26">
        <f t="shared" si="3"/>
        <v>0.5304659498</v>
      </c>
      <c r="H266" s="26">
        <f t="shared" si="4"/>
        <v>0.4695340502</v>
      </c>
      <c r="I266" s="24" t="s">
        <v>83</v>
      </c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24" t="s">
        <v>325</v>
      </c>
      <c r="B267" s="24" t="s">
        <v>357</v>
      </c>
      <c r="C267" s="24" t="s">
        <v>369</v>
      </c>
      <c r="D267" s="25">
        <v>444.0</v>
      </c>
      <c r="E267" s="25">
        <v>393.0</v>
      </c>
      <c r="F267" s="25">
        <f t="shared" si="2"/>
        <v>837</v>
      </c>
      <c r="G267" s="26">
        <f t="shared" si="3"/>
        <v>0.5304659498</v>
      </c>
      <c r="H267" s="26">
        <f t="shared" si="4"/>
        <v>0.4695340502</v>
      </c>
      <c r="I267" s="24" t="s">
        <v>83</v>
      </c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24" t="s">
        <v>325</v>
      </c>
      <c r="B268" s="24" t="s">
        <v>357</v>
      </c>
      <c r="C268" s="24" t="s">
        <v>370</v>
      </c>
      <c r="D268" s="25">
        <v>444.0</v>
      </c>
      <c r="E268" s="25">
        <v>393.0</v>
      </c>
      <c r="F268" s="25">
        <f t="shared" si="2"/>
        <v>837</v>
      </c>
      <c r="G268" s="26">
        <f t="shared" si="3"/>
        <v>0.5304659498</v>
      </c>
      <c r="H268" s="26">
        <f t="shared" si="4"/>
        <v>0.4695340502</v>
      </c>
      <c r="I268" s="24" t="s">
        <v>83</v>
      </c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24" t="s">
        <v>325</v>
      </c>
      <c r="B269" s="24" t="s">
        <v>357</v>
      </c>
      <c r="C269" s="24" t="s">
        <v>371</v>
      </c>
      <c r="D269" s="25">
        <v>444.0</v>
      </c>
      <c r="E269" s="25">
        <v>393.0</v>
      </c>
      <c r="F269" s="25">
        <f t="shared" si="2"/>
        <v>837</v>
      </c>
      <c r="G269" s="26">
        <f t="shared" si="3"/>
        <v>0.5304659498</v>
      </c>
      <c r="H269" s="26">
        <f t="shared" si="4"/>
        <v>0.4695340502</v>
      </c>
      <c r="I269" s="24" t="s">
        <v>83</v>
      </c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24" t="s">
        <v>325</v>
      </c>
      <c r="B270" s="24" t="s">
        <v>357</v>
      </c>
      <c r="C270" s="24" t="s">
        <v>372</v>
      </c>
      <c r="D270" s="25">
        <v>444.0</v>
      </c>
      <c r="E270" s="25">
        <v>393.0</v>
      </c>
      <c r="F270" s="25">
        <f t="shared" si="2"/>
        <v>837</v>
      </c>
      <c r="G270" s="26">
        <f t="shared" si="3"/>
        <v>0.5304659498</v>
      </c>
      <c r="H270" s="26">
        <f t="shared" si="4"/>
        <v>0.4695340502</v>
      </c>
      <c r="I270" s="24" t="s">
        <v>83</v>
      </c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24" t="s">
        <v>325</v>
      </c>
      <c r="B271" s="24" t="s">
        <v>357</v>
      </c>
      <c r="C271" s="24" t="s">
        <v>373</v>
      </c>
      <c r="D271" s="25">
        <v>444.0</v>
      </c>
      <c r="E271" s="25">
        <v>393.0</v>
      </c>
      <c r="F271" s="25">
        <f t="shared" si="2"/>
        <v>837</v>
      </c>
      <c r="G271" s="26">
        <f t="shared" si="3"/>
        <v>0.5304659498</v>
      </c>
      <c r="H271" s="26">
        <f t="shared" si="4"/>
        <v>0.4695340502</v>
      </c>
      <c r="I271" s="24" t="s">
        <v>83</v>
      </c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24" t="s">
        <v>325</v>
      </c>
      <c r="B272" s="24" t="s">
        <v>357</v>
      </c>
      <c r="C272" s="24" t="s">
        <v>374</v>
      </c>
      <c r="D272" s="25">
        <v>444.0</v>
      </c>
      <c r="E272" s="25">
        <v>393.0</v>
      </c>
      <c r="F272" s="25">
        <f t="shared" si="2"/>
        <v>837</v>
      </c>
      <c r="G272" s="26">
        <f t="shared" si="3"/>
        <v>0.5304659498</v>
      </c>
      <c r="H272" s="26">
        <f t="shared" si="4"/>
        <v>0.4695340502</v>
      </c>
      <c r="I272" s="24" t="s">
        <v>83</v>
      </c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24" t="s">
        <v>325</v>
      </c>
      <c r="B273" s="24" t="s">
        <v>375</v>
      </c>
      <c r="C273" s="24" t="s">
        <v>376</v>
      </c>
      <c r="D273" s="25">
        <v>669.0</v>
      </c>
      <c r="E273" s="25">
        <v>1093.0</v>
      </c>
      <c r="F273" s="25">
        <f t="shared" si="2"/>
        <v>1762</v>
      </c>
      <c r="G273" s="26">
        <f t="shared" si="3"/>
        <v>0.3796821793</v>
      </c>
      <c r="H273" s="26">
        <f t="shared" si="4"/>
        <v>0.6203178207</v>
      </c>
      <c r="I273" s="24" t="s">
        <v>83</v>
      </c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24" t="s">
        <v>325</v>
      </c>
      <c r="B274" s="24" t="s">
        <v>375</v>
      </c>
      <c r="C274" s="24" t="s">
        <v>377</v>
      </c>
      <c r="D274" s="25">
        <v>669.0</v>
      </c>
      <c r="E274" s="25">
        <v>1093.0</v>
      </c>
      <c r="F274" s="25">
        <f t="shared" si="2"/>
        <v>1762</v>
      </c>
      <c r="G274" s="26">
        <f t="shared" si="3"/>
        <v>0.3796821793</v>
      </c>
      <c r="H274" s="26">
        <f t="shared" si="4"/>
        <v>0.6203178207</v>
      </c>
      <c r="I274" s="24" t="s">
        <v>83</v>
      </c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24" t="s">
        <v>325</v>
      </c>
      <c r="B275" s="24" t="s">
        <v>375</v>
      </c>
      <c r="C275" s="24" t="s">
        <v>378</v>
      </c>
      <c r="D275" s="25">
        <v>669.0</v>
      </c>
      <c r="E275" s="25">
        <v>1093.0</v>
      </c>
      <c r="F275" s="25">
        <f t="shared" si="2"/>
        <v>1762</v>
      </c>
      <c r="G275" s="26">
        <f t="shared" si="3"/>
        <v>0.3796821793</v>
      </c>
      <c r="H275" s="26">
        <f t="shared" si="4"/>
        <v>0.6203178207</v>
      </c>
      <c r="I275" s="24" t="s">
        <v>83</v>
      </c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24" t="s">
        <v>325</v>
      </c>
      <c r="B276" s="24" t="s">
        <v>379</v>
      </c>
      <c r="C276" s="24" t="s">
        <v>379</v>
      </c>
      <c r="D276" s="25">
        <v>28.0</v>
      </c>
      <c r="E276" s="25">
        <v>78.0</v>
      </c>
      <c r="F276" s="25">
        <f t="shared" si="2"/>
        <v>106</v>
      </c>
      <c r="G276" s="26">
        <f t="shared" si="3"/>
        <v>0.2641509434</v>
      </c>
      <c r="H276" s="26">
        <f t="shared" si="4"/>
        <v>0.7358490566</v>
      </c>
      <c r="I276" s="24" t="s">
        <v>83</v>
      </c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24" t="s">
        <v>325</v>
      </c>
      <c r="B277" s="24" t="s">
        <v>380</v>
      </c>
      <c r="C277" s="24" t="s">
        <v>381</v>
      </c>
      <c r="D277" s="25">
        <v>653.0</v>
      </c>
      <c r="E277" s="25">
        <v>868.0</v>
      </c>
      <c r="F277" s="25">
        <f t="shared" si="2"/>
        <v>1521</v>
      </c>
      <c r="G277" s="26">
        <f t="shared" si="3"/>
        <v>0.4293228139</v>
      </c>
      <c r="H277" s="26">
        <f t="shared" si="4"/>
        <v>0.5706771861</v>
      </c>
      <c r="I277" s="24" t="s">
        <v>83</v>
      </c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24" t="s">
        <v>325</v>
      </c>
      <c r="B278" s="24" t="s">
        <v>380</v>
      </c>
      <c r="C278" s="24" t="s">
        <v>382</v>
      </c>
      <c r="D278" s="25">
        <v>653.0</v>
      </c>
      <c r="E278" s="25">
        <v>868.0</v>
      </c>
      <c r="F278" s="25">
        <f t="shared" si="2"/>
        <v>1521</v>
      </c>
      <c r="G278" s="26">
        <f t="shared" si="3"/>
        <v>0.4293228139</v>
      </c>
      <c r="H278" s="26">
        <f t="shared" si="4"/>
        <v>0.5706771861</v>
      </c>
      <c r="I278" s="24" t="s">
        <v>83</v>
      </c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24" t="s">
        <v>325</v>
      </c>
      <c r="B279" s="24" t="s">
        <v>383</v>
      </c>
      <c r="C279" s="24" t="s">
        <v>383</v>
      </c>
      <c r="D279" s="25">
        <v>150.0</v>
      </c>
      <c r="E279" s="25">
        <v>219.0</v>
      </c>
      <c r="F279" s="25">
        <f t="shared" si="2"/>
        <v>369</v>
      </c>
      <c r="G279" s="26">
        <f t="shared" si="3"/>
        <v>0.406504065</v>
      </c>
      <c r="H279" s="26">
        <f t="shared" si="4"/>
        <v>0.593495935</v>
      </c>
      <c r="I279" s="24" t="s">
        <v>83</v>
      </c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24" t="s">
        <v>325</v>
      </c>
      <c r="B280" s="24" t="s">
        <v>384</v>
      </c>
      <c r="C280" s="24" t="s">
        <v>385</v>
      </c>
      <c r="D280" s="25">
        <v>420.0</v>
      </c>
      <c r="E280" s="25">
        <v>208.0</v>
      </c>
      <c r="F280" s="25">
        <f t="shared" si="2"/>
        <v>628</v>
      </c>
      <c r="G280" s="26">
        <f t="shared" si="3"/>
        <v>0.6687898089</v>
      </c>
      <c r="H280" s="26">
        <f t="shared" si="4"/>
        <v>0.3312101911</v>
      </c>
      <c r="I280" s="24" t="s">
        <v>83</v>
      </c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24" t="s">
        <v>325</v>
      </c>
      <c r="B281" s="24" t="s">
        <v>384</v>
      </c>
      <c r="C281" s="24" t="s">
        <v>386</v>
      </c>
      <c r="D281" s="25">
        <v>420.0</v>
      </c>
      <c r="E281" s="25">
        <v>208.0</v>
      </c>
      <c r="F281" s="25">
        <f t="shared" si="2"/>
        <v>628</v>
      </c>
      <c r="G281" s="26">
        <f t="shared" si="3"/>
        <v>0.6687898089</v>
      </c>
      <c r="H281" s="26">
        <f t="shared" si="4"/>
        <v>0.3312101911</v>
      </c>
      <c r="I281" s="24" t="s">
        <v>83</v>
      </c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24" t="s">
        <v>325</v>
      </c>
      <c r="B282" s="24" t="s">
        <v>384</v>
      </c>
      <c r="C282" s="24" t="s">
        <v>387</v>
      </c>
      <c r="D282" s="25">
        <v>420.0</v>
      </c>
      <c r="E282" s="25">
        <v>208.0</v>
      </c>
      <c r="F282" s="25">
        <f t="shared" si="2"/>
        <v>628</v>
      </c>
      <c r="G282" s="26">
        <f t="shared" si="3"/>
        <v>0.6687898089</v>
      </c>
      <c r="H282" s="26">
        <f t="shared" si="4"/>
        <v>0.3312101911</v>
      </c>
      <c r="I282" s="24" t="s">
        <v>83</v>
      </c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24" t="s">
        <v>325</v>
      </c>
      <c r="B283" s="24" t="s">
        <v>384</v>
      </c>
      <c r="C283" s="24" t="s">
        <v>388</v>
      </c>
      <c r="D283" s="25">
        <v>420.0</v>
      </c>
      <c r="E283" s="25">
        <v>208.0</v>
      </c>
      <c r="F283" s="25">
        <f t="shared" si="2"/>
        <v>628</v>
      </c>
      <c r="G283" s="26">
        <f t="shared" si="3"/>
        <v>0.6687898089</v>
      </c>
      <c r="H283" s="26">
        <f t="shared" si="4"/>
        <v>0.3312101911</v>
      </c>
      <c r="I283" s="24" t="s">
        <v>83</v>
      </c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24" t="s">
        <v>325</v>
      </c>
      <c r="B284" s="24" t="s">
        <v>384</v>
      </c>
      <c r="C284" s="24" t="s">
        <v>389</v>
      </c>
      <c r="D284" s="25">
        <v>420.0</v>
      </c>
      <c r="E284" s="25">
        <v>208.0</v>
      </c>
      <c r="F284" s="25">
        <f t="shared" si="2"/>
        <v>628</v>
      </c>
      <c r="G284" s="26">
        <f t="shared" si="3"/>
        <v>0.6687898089</v>
      </c>
      <c r="H284" s="26">
        <f t="shared" si="4"/>
        <v>0.3312101911</v>
      </c>
      <c r="I284" s="24" t="s">
        <v>83</v>
      </c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24" t="s">
        <v>325</v>
      </c>
      <c r="B285" s="24" t="s">
        <v>384</v>
      </c>
      <c r="C285" s="24" t="s">
        <v>390</v>
      </c>
      <c r="D285" s="25">
        <v>420.0</v>
      </c>
      <c r="E285" s="25">
        <v>208.0</v>
      </c>
      <c r="F285" s="25">
        <f t="shared" si="2"/>
        <v>628</v>
      </c>
      <c r="G285" s="26">
        <f t="shared" si="3"/>
        <v>0.6687898089</v>
      </c>
      <c r="H285" s="26">
        <f t="shared" si="4"/>
        <v>0.3312101911</v>
      </c>
      <c r="I285" s="24" t="s">
        <v>83</v>
      </c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24" t="s">
        <v>325</v>
      </c>
      <c r="B286" s="24" t="s">
        <v>384</v>
      </c>
      <c r="C286" s="24" t="s">
        <v>391</v>
      </c>
      <c r="D286" s="25">
        <v>420.0</v>
      </c>
      <c r="E286" s="25">
        <v>208.0</v>
      </c>
      <c r="F286" s="25">
        <f t="shared" si="2"/>
        <v>628</v>
      </c>
      <c r="G286" s="26">
        <f t="shared" si="3"/>
        <v>0.6687898089</v>
      </c>
      <c r="H286" s="26">
        <f t="shared" si="4"/>
        <v>0.3312101911</v>
      </c>
      <c r="I286" s="24" t="s">
        <v>83</v>
      </c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24" t="s">
        <v>325</v>
      </c>
      <c r="B287" s="24" t="s">
        <v>384</v>
      </c>
      <c r="C287" s="24" t="s">
        <v>392</v>
      </c>
      <c r="D287" s="25">
        <v>420.0</v>
      </c>
      <c r="E287" s="25">
        <v>208.0</v>
      </c>
      <c r="F287" s="25">
        <f t="shared" si="2"/>
        <v>628</v>
      </c>
      <c r="G287" s="26">
        <f t="shared" si="3"/>
        <v>0.6687898089</v>
      </c>
      <c r="H287" s="26">
        <f t="shared" si="4"/>
        <v>0.3312101911</v>
      </c>
      <c r="I287" s="24" t="s">
        <v>83</v>
      </c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24" t="s">
        <v>325</v>
      </c>
      <c r="B288" s="24" t="s">
        <v>384</v>
      </c>
      <c r="C288" s="24" t="s">
        <v>393</v>
      </c>
      <c r="D288" s="25">
        <v>420.0</v>
      </c>
      <c r="E288" s="25">
        <v>208.0</v>
      </c>
      <c r="F288" s="25">
        <f t="shared" si="2"/>
        <v>628</v>
      </c>
      <c r="G288" s="26">
        <f t="shared" si="3"/>
        <v>0.6687898089</v>
      </c>
      <c r="H288" s="26">
        <f t="shared" si="4"/>
        <v>0.3312101911</v>
      </c>
      <c r="I288" s="24" t="s">
        <v>83</v>
      </c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24" t="s">
        <v>325</v>
      </c>
      <c r="B289" s="24" t="s">
        <v>384</v>
      </c>
      <c r="C289" s="24" t="s">
        <v>394</v>
      </c>
      <c r="D289" s="25">
        <v>420.0</v>
      </c>
      <c r="E289" s="25">
        <v>208.0</v>
      </c>
      <c r="F289" s="25">
        <f t="shared" si="2"/>
        <v>628</v>
      </c>
      <c r="G289" s="26">
        <f t="shared" si="3"/>
        <v>0.6687898089</v>
      </c>
      <c r="H289" s="26">
        <f t="shared" si="4"/>
        <v>0.3312101911</v>
      </c>
      <c r="I289" s="24" t="s">
        <v>83</v>
      </c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24" t="s">
        <v>325</v>
      </c>
      <c r="B290" s="24" t="s">
        <v>384</v>
      </c>
      <c r="C290" s="24" t="s">
        <v>395</v>
      </c>
      <c r="D290" s="25">
        <v>420.0</v>
      </c>
      <c r="E290" s="25">
        <v>208.0</v>
      </c>
      <c r="F290" s="25">
        <f t="shared" si="2"/>
        <v>628</v>
      </c>
      <c r="G290" s="26">
        <f t="shared" si="3"/>
        <v>0.6687898089</v>
      </c>
      <c r="H290" s="26">
        <f t="shared" si="4"/>
        <v>0.3312101911</v>
      </c>
      <c r="I290" s="24" t="s">
        <v>83</v>
      </c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24" t="s">
        <v>325</v>
      </c>
      <c r="B291" s="24" t="s">
        <v>384</v>
      </c>
      <c r="C291" s="24" t="s">
        <v>396</v>
      </c>
      <c r="D291" s="25">
        <v>420.0</v>
      </c>
      <c r="E291" s="25">
        <v>208.0</v>
      </c>
      <c r="F291" s="25">
        <f t="shared" si="2"/>
        <v>628</v>
      </c>
      <c r="G291" s="26">
        <f t="shared" si="3"/>
        <v>0.6687898089</v>
      </c>
      <c r="H291" s="26">
        <f t="shared" si="4"/>
        <v>0.3312101911</v>
      </c>
      <c r="I291" s="24" t="s">
        <v>83</v>
      </c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24" t="s">
        <v>325</v>
      </c>
      <c r="B292" s="24" t="s">
        <v>397</v>
      </c>
      <c r="C292" s="24" t="s">
        <v>398</v>
      </c>
      <c r="D292" s="25">
        <v>668.0</v>
      </c>
      <c r="E292" s="25">
        <v>660.0</v>
      </c>
      <c r="F292" s="25">
        <f t="shared" si="2"/>
        <v>1328</v>
      </c>
      <c r="G292" s="26">
        <f t="shared" si="3"/>
        <v>0.5030120482</v>
      </c>
      <c r="H292" s="26">
        <f t="shared" si="4"/>
        <v>0.4969879518</v>
      </c>
      <c r="I292" s="24" t="s">
        <v>83</v>
      </c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24" t="s">
        <v>325</v>
      </c>
      <c r="B293" s="24" t="s">
        <v>397</v>
      </c>
      <c r="C293" s="24" t="s">
        <v>399</v>
      </c>
      <c r="D293" s="25">
        <v>668.0</v>
      </c>
      <c r="E293" s="25">
        <v>660.0</v>
      </c>
      <c r="F293" s="25">
        <f t="shared" si="2"/>
        <v>1328</v>
      </c>
      <c r="G293" s="26">
        <f t="shared" si="3"/>
        <v>0.5030120482</v>
      </c>
      <c r="H293" s="26">
        <f t="shared" si="4"/>
        <v>0.4969879518</v>
      </c>
      <c r="I293" s="24" t="s">
        <v>83</v>
      </c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24" t="s">
        <v>325</v>
      </c>
      <c r="B294" s="24" t="s">
        <v>397</v>
      </c>
      <c r="C294" s="24" t="s">
        <v>400</v>
      </c>
      <c r="D294" s="25">
        <v>668.0</v>
      </c>
      <c r="E294" s="25">
        <v>660.0</v>
      </c>
      <c r="F294" s="25">
        <f t="shared" si="2"/>
        <v>1328</v>
      </c>
      <c r="G294" s="26">
        <f t="shared" si="3"/>
        <v>0.5030120482</v>
      </c>
      <c r="H294" s="26">
        <f t="shared" si="4"/>
        <v>0.4969879518</v>
      </c>
      <c r="I294" s="24" t="s">
        <v>83</v>
      </c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24" t="s">
        <v>325</v>
      </c>
      <c r="B295" s="24" t="s">
        <v>397</v>
      </c>
      <c r="C295" s="24" t="s">
        <v>401</v>
      </c>
      <c r="D295" s="25">
        <v>668.0</v>
      </c>
      <c r="E295" s="25">
        <v>660.0</v>
      </c>
      <c r="F295" s="25">
        <f t="shared" si="2"/>
        <v>1328</v>
      </c>
      <c r="G295" s="26">
        <f t="shared" si="3"/>
        <v>0.5030120482</v>
      </c>
      <c r="H295" s="26">
        <f t="shared" si="4"/>
        <v>0.4969879518</v>
      </c>
      <c r="I295" s="24" t="s">
        <v>83</v>
      </c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24" t="s">
        <v>325</v>
      </c>
      <c r="B296" s="24" t="s">
        <v>397</v>
      </c>
      <c r="C296" s="24" t="s">
        <v>402</v>
      </c>
      <c r="D296" s="25">
        <v>668.0</v>
      </c>
      <c r="E296" s="25">
        <v>660.0</v>
      </c>
      <c r="F296" s="25">
        <f t="shared" si="2"/>
        <v>1328</v>
      </c>
      <c r="G296" s="26">
        <f t="shared" si="3"/>
        <v>0.5030120482</v>
      </c>
      <c r="H296" s="26">
        <f t="shared" si="4"/>
        <v>0.4969879518</v>
      </c>
      <c r="I296" s="24" t="s">
        <v>83</v>
      </c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24" t="s">
        <v>325</v>
      </c>
      <c r="B297" s="24" t="s">
        <v>397</v>
      </c>
      <c r="C297" s="24" t="s">
        <v>403</v>
      </c>
      <c r="D297" s="25">
        <v>668.0</v>
      </c>
      <c r="E297" s="25">
        <v>660.0</v>
      </c>
      <c r="F297" s="25">
        <f t="shared" si="2"/>
        <v>1328</v>
      </c>
      <c r="G297" s="26">
        <f t="shared" si="3"/>
        <v>0.5030120482</v>
      </c>
      <c r="H297" s="26">
        <f t="shared" si="4"/>
        <v>0.4969879518</v>
      </c>
      <c r="I297" s="24" t="s">
        <v>83</v>
      </c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24" t="s">
        <v>325</v>
      </c>
      <c r="B298" s="24" t="s">
        <v>397</v>
      </c>
      <c r="C298" s="24" t="s">
        <v>404</v>
      </c>
      <c r="D298" s="25">
        <v>668.0</v>
      </c>
      <c r="E298" s="25">
        <v>660.0</v>
      </c>
      <c r="F298" s="25">
        <f t="shared" si="2"/>
        <v>1328</v>
      </c>
      <c r="G298" s="26">
        <f t="shared" si="3"/>
        <v>0.5030120482</v>
      </c>
      <c r="H298" s="26">
        <f t="shared" si="4"/>
        <v>0.4969879518</v>
      </c>
      <c r="I298" s="24" t="s">
        <v>83</v>
      </c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24" t="s">
        <v>325</v>
      </c>
      <c r="B299" s="24" t="s">
        <v>405</v>
      </c>
      <c r="C299" s="24" t="s">
        <v>405</v>
      </c>
      <c r="D299" s="25">
        <v>497.0</v>
      </c>
      <c r="E299" s="25">
        <v>373.0</v>
      </c>
      <c r="F299" s="25">
        <f t="shared" si="2"/>
        <v>870</v>
      </c>
      <c r="G299" s="26">
        <f t="shared" si="3"/>
        <v>0.5712643678</v>
      </c>
      <c r="H299" s="26">
        <f t="shared" si="4"/>
        <v>0.4287356322</v>
      </c>
      <c r="I299" s="24" t="s">
        <v>83</v>
      </c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24" t="s">
        <v>325</v>
      </c>
      <c r="B300" s="24" t="s">
        <v>406</v>
      </c>
      <c r="C300" s="24" t="s">
        <v>406</v>
      </c>
      <c r="D300" s="25">
        <v>80.0</v>
      </c>
      <c r="E300" s="25">
        <v>91.0</v>
      </c>
      <c r="F300" s="25">
        <f t="shared" si="2"/>
        <v>171</v>
      </c>
      <c r="G300" s="26">
        <f t="shared" si="3"/>
        <v>0.4678362573</v>
      </c>
      <c r="H300" s="26">
        <f t="shared" si="4"/>
        <v>0.5321637427</v>
      </c>
      <c r="I300" s="24" t="s">
        <v>83</v>
      </c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24" t="s">
        <v>325</v>
      </c>
      <c r="B301" s="24" t="s">
        <v>232</v>
      </c>
      <c r="C301" s="24" t="s">
        <v>407</v>
      </c>
      <c r="D301" s="25">
        <v>630.0</v>
      </c>
      <c r="E301" s="25">
        <v>573.0</v>
      </c>
      <c r="F301" s="25">
        <f t="shared" si="2"/>
        <v>1203</v>
      </c>
      <c r="G301" s="26">
        <f t="shared" si="3"/>
        <v>0.5236907731</v>
      </c>
      <c r="H301" s="26">
        <f t="shared" si="4"/>
        <v>0.4763092269</v>
      </c>
      <c r="I301" s="24" t="s">
        <v>83</v>
      </c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24" t="s">
        <v>325</v>
      </c>
      <c r="B302" s="24" t="s">
        <v>232</v>
      </c>
      <c r="C302" s="24" t="s">
        <v>408</v>
      </c>
      <c r="D302" s="25">
        <v>630.0</v>
      </c>
      <c r="E302" s="25">
        <v>573.0</v>
      </c>
      <c r="F302" s="25">
        <f t="shared" si="2"/>
        <v>1203</v>
      </c>
      <c r="G302" s="26">
        <f t="shared" si="3"/>
        <v>0.5236907731</v>
      </c>
      <c r="H302" s="26">
        <f t="shared" si="4"/>
        <v>0.4763092269</v>
      </c>
      <c r="I302" s="24" t="s">
        <v>83</v>
      </c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24" t="s">
        <v>325</v>
      </c>
      <c r="B303" s="24" t="s">
        <v>232</v>
      </c>
      <c r="C303" s="24" t="s">
        <v>409</v>
      </c>
      <c r="D303" s="25">
        <v>630.0</v>
      </c>
      <c r="E303" s="25">
        <v>573.0</v>
      </c>
      <c r="F303" s="25">
        <f t="shared" si="2"/>
        <v>1203</v>
      </c>
      <c r="G303" s="26">
        <f t="shared" si="3"/>
        <v>0.5236907731</v>
      </c>
      <c r="H303" s="26">
        <f t="shared" si="4"/>
        <v>0.4763092269</v>
      </c>
      <c r="I303" s="24" t="s">
        <v>83</v>
      </c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24" t="s">
        <v>325</v>
      </c>
      <c r="B304" s="24" t="s">
        <v>232</v>
      </c>
      <c r="C304" s="24" t="s">
        <v>410</v>
      </c>
      <c r="D304" s="25">
        <v>630.0</v>
      </c>
      <c r="E304" s="25">
        <v>573.0</v>
      </c>
      <c r="F304" s="25">
        <f t="shared" si="2"/>
        <v>1203</v>
      </c>
      <c r="G304" s="26">
        <f t="shared" si="3"/>
        <v>0.5236907731</v>
      </c>
      <c r="H304" s="26">
        <f t="shared" si="4"/>
        <v>0.4763092269</v>
      </c>
      <c r="I304" s="24" t="s">
        <v>83</v>
      </c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24" t="s">
        <v>325</v>
      </c>
      <c r="B305" s="24" t="s">
        <v>232</v>
      </c>
      <c r="C305" s="24" t="s">
        <v>411</v>
      </c>
      <c r="D305" s="25">
        <v>630.0</v>
      </c>
      <c r="E305" s="25">
        <v>573.0</v>
      </c>
      <c r="F305" s="25">
        <f t="shared" si="2"/>
        <v>1203</v>
      </c>
      <c r="G305" s="26">
        <f t="shared" si="3"/>
        <v>0.5236907731</v>
      </c>
      <c r="H305" s="26">
        <f t="shared" si="4"/>
        <v>0.4763092269</v>
      </c>
      <c r="I305" s="24" t="s">
        <v>83</v>
      </c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24" t="s">
        <v>325</v>
      </c>
      <c r="B306" s="24" t="s">
        <v>232</v>
      </c>
      <c r="C306" s="24" t="s">
        <v>412</v>
      </c>
      <c r="D306" s="25">
        <v>630.0</v>
      </c>
      <c r="E306" s="25">
        <v>573.0</v>
      </c>
      <c r="F306" s="25">
        <f t="shared" si="2"/>
        <v>1203</v>
      </c>
      <c r="G306" s="26">
        <f t="shared" si="3"/>
        <v>0.5236907731</v>
      </c>
      <c r="H306" s="26">
        <f t="shared" si="4"/>
        <v>0.4763092269</v>
      </c>
      <c r="I306" s="24" t="s">
        <v>83</v>
      </c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24" t="s">
        <v>325</v>
      </c>
      <c r="B307" s="24" t="s">
        <v>413</v>
      </c>
      <c r="C307" s="24" t="s">
        <v>414</v>
      </c>
      <c r="D307" s="25">
        <v>468.0</v>
      </c>
      <c r="E307" s="25">
        <v>510.0</v>
      </c>
      <c r="F307" s="25">
        <f t="shared" si="2"/>
        <v>978</v>
      </c>
      <c r="G307" s="26">
        <f t="shared" si="3"/>
        <v>0.4785276074</v>
      </c>
      <c r="H307" s="26">
        <f t="shared" si="4"/>
        <v>0.5214723926</v>
      </c>
      <c r="I307" s="24" t="s">
        <v>83</v>
      </c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24" t="s">
        <v>325</v>
      </c>
      <c r="B308" s="24" t="s">
        <v>413</v>
      </c>
      <c r="C308" s="24" t="s">
        <v>415</v>
      </c>
      <c r="D308" s="25">
        <v>468.0</v>
      </c>
      <c r="E308" s="25">
        <v>510.0</v>
      </c>
      <c r="F308" s="25">
        <f t="shared" si="2"/>
        <v>978</v>
      </c>
      <c r="G308" s="26">
        <f t="shared" si="3"/>
        <v>0.4785276074</v>
      </c>
      <c r="H308" s="26">
        <f t="shared" si="4"/>
        <v>0.5214723926</v>
      </c>
      <c r="I308" s="24" t="s">
        <v>83</v>
      </c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24" t="s">
        <v>325</v>
      </c>
      <c r="B309" s="24" t="s">
        <v>413</v>
      </c>
      <c r="C309" s="24" t="s">
        <v>416</v>
      </c>
      <c r="D309" s="25">
        <v>468.0</v>
      </c>
      <c r="E309" s="25">
        <v>510.0</v>
      </c>
      <c r="F309" s="25">
        <f t="shared" si="2"/>
        <v>978</v>
      </c>
      <c r="G309" s="26">
        <f t="shared" si="3"/>
        <v>0.4785276074</v>
      </c>
      <c r="H309" s="26">
        <f t="shared" si="4"/>
        <v>0.5214723926</v>
      </c>
      <c r="I309" s="24" t="s">
        <v>83</v>
      </c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24" t="s">
        <v>325</v>
      </c>
      <c r="B310" s="24" t="s">
        <v>417</v>
      </c>
      <c r="C310" s="24" t="s">
        <v>418</v>
      </c>
      <c r="D310" s="25">
        <v>384.0</v>
      </c>
      <c r="E310" s="25">
        <v>808.0</v>
      </c>
      <c r="F310" s="25">
        <f t="shared" si="2"/>
        <v>1192</v>
      </c>
      <c r="G310" s="26">
        <f t="shared" si="3"/>
        <v>0.322147651</v>
      </c>
      <c r="H310" s="26">
        <f t="shared" si="4"/>
        <v>0.677852349</v>
      </c>
      <c r="I310" s="24" t="s">
        <v>83</v>
      </c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24" t="s">
        <v>325</v>
      </c>
      <c r="B311" s="24" t="s">
        <v>417</v>
      </c>
      <c r="C311" s="24" t="s">
        <v>419</v>
      </c>
      <c r="D311" s="25">
        <v>384.0</v>
      </c>
      <c r="E311" s="25">
        <v>808.0</v>
      </c>
      <c r="F311" s="25">
        <f t="shared" si="2"/>
        <v>1192</v>
      </c>
      <c r="G311" s="26">
        <f t="shared" si="3"/>
        <v>0.322147651</v>
      </c>
      <c r="H311" s="26">
        <f t="shared" si="4"/>
        <v>0.677852349</v>
      </c>
      <c r="I311" s="24" t="s">
        <v>83</v>
      </c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24" t="s">
        <v>325</v>
      </c>
      <c r="B312" s="24" t="s">
        <v>417</v>
      </c>
      <c r="C312" s="24" t="s">
        <v>420</v>
      </c>
      <c r="D312" s="25">
        <v>384.0</v>
      </c>
      <c r="E312" s="25">
        <v>808.0</v>
      </c>
      <c r="F312" s="25">
        <f t="shared" si="2"/>
        <v>1192</v>
      </c>
      <c r="G312" s="26">
        <f t="shared" si="3"/>
        <v>0.322147651</v>
      </c>
      <c r="H312" s="26">
        <f t="shared" si="4"/>
        <v>0.677852349</v>
      </c>
      <c r="I312" s="24" t="s">
        <v>83</v>
      </c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24" t="s">
        <v>325</v>
      </c>
      <c r="B313" s="24" t="s">
        <v>417</v>
      </c>
      <c r="C313" s="24" t="s">
        <v>421</v>
      </c>
      <c r="D313" s="25">
        <v>384.0</v>
      </c>
      <c r="E313" s="25">
        <v>808.0</v>
      </c>
      <c r="F313" s="25">
        <f t="shared" si="2"/>
        <v>1192</v>
      </c>
      <c r="G313" s="26">
        <f t="shared" si="3"/>
        <v>0.322147651</v>
      </c>
      <c r="H313" s="26">
        <f t="shared" si="4"/>
        <v>0.677852349</v>
      </c>
      <c r="I313" s="24" t="s">
        <v>83</v>
      </c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24" t="s">
        <v>325</v>
      </c>
      <c r="B314" s="24" t="s">
        <v>417</v>
      </c>
      <c r="C314" s="24" t="s">
        <v>422</v>
      </c>
      <c r="D314" s="25">
        <v>384.0</v>
      </c>
      <c r="E314" s="25">
        <v>808.0</v>
      </c>
      <c r="F314" s="25">
        <f t="shared" si="2"/>
        <v>1192</v>
      </c>
      <c r="G314" s="26">
        <f t="shared" si="3"/>
        <v>0.322147651</v>
      </c>
      <c r="H314" s="26">
        <f t="shared" si="4"/>
        <v>0.677852349</v>
      </c>
      <c r="I314" s="24" t="s">
        <v>83</v>
      </c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24" t="s">
        <v>325</v>
      </c>
      <c r="B315" s="24" t="s">
        <v>423</v>
      </c>
      <c r="C315" s="24" t="s">
        <v>424</v>
      </c>
      <c r="D315" s="25">
        <v>251.0</v>
      </c>
      <c r="E315" s="25">
        <v>573.0</v>
      </c>
      <c r="F315" s="25">
        <f t="shared" si="2"/>
        <v>824</v>
      </c>
      <c r="G315" s="26">
        <f t="shared" si="3"/>
        <v>0.3046116505</v>
      </c>
      <c r="H315" s="26">
        <f t="shared" si="4"/>
        <v>0.6953883495</v>
      </c>
      <c r="I315" s="24" t="s">
        <v>83</v>
      </c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24" t="s">
        <v>325</v>
      </c>
      <c r="B316" s="24" t="s">
        <v>423</v>
      </c>
      <c r="C316" s="24" t="s">
        <v>425</v>
      </c>
      <c r="D316" s="25">
        <v>251.0</v>
      </c>
      <c r="E316" s="25">
        <v>573.0</v>
      </c>
      <c r="F316" s="25">
        <f t="shared" si="2"/>
        <v>824</v>
      </c>
      <c r="G316" s="26">
        <f t="shared" si="3"/>
        <v>0.3046116505</v>
      </c>
      <c r="H316" s="26">
        <f t="shared" si="4"/>
        <v>0.6953883495</v>
      </c>
      <c r="I316" s="24" t="s">
        <v>83</v>
      </c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24" t="s">
        <v>325</v>
      </c>
      <c r="B317" s="24" t="s">
        <v>426</v>
      </c>
      <c r="C317" s="24" t="s">
        <v>427</v>
      </c>
      <c r="D317" s="25">
        <v>495.0</v>
      </c>
      <c r="E317" s="25">
        <v>612.0</v>
      </c>
      <c r="F317" s="25">
        <f t="shared" si="2"/>
        <v>1107</v>
      </c>
      <c r="G317" s="26">
        <f t="shared" si="3"/>
        <v>0.4471544715</v>
      </c>
      <c r="H317" s="26">
        <f t="shared" si="4"/>
        <v>0.5528455285</v>
      </c>
      <c r="I317" s="24" t="s">
        <v>83</v>
      </c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24" t="s">
        <v>325</v>
      </c>
      <c r="B318" s="24" t="s">
        <v>426</v>
      </c>
      <c r="C318" s="24" t="s">
        <v>428</v>
      </c>
      <c r="D318" s="25">
        <v>495.0</v>
      </c>
      <c r="E318" s="25">
        <v>612.0</v>
      </c>
      <c r="F318" s="25">
        <f t="shared" si="2"/>
        <v>1107</v>
      </c>
      <c r="G318" s="26">
        <f t="shared" si="3"/>
        <v>0.4471544715</v>
      </c>
      <c r="H318" s="26">
        <f t="shared" si="4"/>
        <v>0.5528455285</v>
      </c>
      <c r="I318" s="24" t="s">
        <v>83</v>
      </c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24" t="s">
        <v>325</v>
      </c>
      <c r="B319" s="24" t="s">
        <v>426</v>
      </c>
      <c r="C319" s="24" t="s">
        <v>429</v>
      </c>
      <c r="D319" s="25">
        <v>495.0</v>
      </c>
      <c r="E319" s="25">
        <v>612.0</v>
      </c>
      <c r="F319" s="25">
        <f t="shared" si="2"/>
        <v>1107</v>
      </c>
      <c r="G319" s="26">
        <f t="shared" si="3"/>
        <v>0.4471544715</v>
      </c>
      <c r="H319" s="26">
        <f t="shared" si="4"/>
        <v>0.5528455285</v>
      </c>
      <c r="I319" s="24" t="s">
        <v>83</v>
      </c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24" t="s">
        <v>325</v>
      </c>
      <c r="B320" s="24" t="s">
        <v>426</v>
      </c>
      <c r="C320" s="24" t="s">
        <v>430</v>
      </c>
      <c r="D320" s="25">
        <v>495.0</v>
      </c>
      <c r="E320" s="25">
        <v>612.0</v>
      </c>
      <c r="F320" s="25">
        <f t="shared" si="2"/>
        <v>1107</v>
      </c>
      <c r="G320" s="26">
        <f t="shared" si="3"/>
        <v>0.4471544715</v>
      </c>
      <c r="H320" s="26">
        <f t="shared" si="4"/>
        <v>0.5528455285</v>
      </c>
      <c r="I320" s="24" t="s">
        <v>83</v>
      </c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24" t="s">
        <v>325</v>
      </c>
      <c r="B321" s="24" t="s">
        <v>431</v>
      </c>
      <c r="C321" s="24" t="s">
        <v>432</v>
      </c>
      <c r="D321" s="25">
        <v>520.0</v>
      </c>
      <c r="E321" s="25">
        <v>595.0</v>
      </c>
      <c r="F321" s="25">
        <f t="shared" si="2"/>
        <v>1115</v>
      </c>
      <c r="G321" s="26">
        <f t="shared" si="3"/>
        <v>0.466367713</v>
      </c>
      <c r="H321" s="26">
        <f t="shared" si="4"/>
        <v>0.533632287</v>
      </c>
      <c r="I321" s="24" t="s">
        <v>83</v>
      </c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24" t="s">
        <v>325</v>
      </c>
      <c r="B322" s="24" t="s">
        <v>431</v>
      </c>
      <c r="C322" s="24" t="s">
        <v>433</v>
      </c>
      <c r="D322" s="25">
        <v>520.0</v>
      </c>
      <c r="E322" s="25">
        <v>595.0</v>
      </c>
      <c r="F322" s="25">
        <f t="shared" si="2"/>
        <v>1115</v>
      </c>
      <c r="G322" s="26">
        <f t="shared" si="3"/>
        <v>0.466367713</v>
      </c>
      <c r="H322" s="26">
        <f t="shared" si="4"/>
        <v>0.533632287</v>
      </c>
      <c r="I322" s="24" t="s">
        <v>83</v>
      </c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24" t="s">
        <v>325</v>
      </c>
      <c r="B323" s="24" t="s">
        <v>431</v>
      </c>
      <c r="C323" s="24" t="s">
        <v>434</v>
      </c>
      <c r="D323" s="25">
        <v>520.0</v>
      </c>
      <c r="E323" s="25">
        <v>595.0</v>
      </c>
      <c r="F323" s="25">
        <f t="shared" si="2"/>
        <v>1115</v>
      </c>
      <c r="G323" s="26">
        <f t="shared" si="3"/>
        <v>0.466367713</v>
      </c>
      <c r="H323" s="26">
        <f t="shared" si="4"/>
        <v>0.533632287</v>
      </c>
      <c r="I323" s="24" t="s">
        <v>83</v>
      </c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24" t="s">
        <v>325</v>
      </c>
      <c r="B324" s="24" t="s">
        <v>431</v>
      </c>
      <c r="C324" s="24" t="s">
        <v>435</v>
      </c>
      <c r="D324" s="25">
        <v>520.0</v>
      </c>
      <c r="E324" s="25">
        <v>595.0</v>
      </c>
      <c r="F324" s="25">
        <f t="shared" si="2"/>
        <v>1115</v>
      </c>
      <c r="G324" s="26">
        <f t="shared" si="3"/>
        <v>0.466367713</v>
      </c>
      <c r="H324" s="26">
        <f t="shared" si="4"/>
        <v>0.533632287</v>
      </c>
      <c r="I324" s="24" t="s">
        <v>83</v>
      </c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24" t="s">
        <v>325</v>
      </c>
      <c r="B325" s="24" t="s">
        <v>431</v>
      </c>
      <c r="C325" s="24" t="s">
        <v>436</v>
      </c>
      <c r="D325" s="25">
        <v>520.0</v>
      </c>
      <c r="E325" s="25">
        <v>595.0</v>
      </c>
      <c r="F325" s="25">
        <f t="shared" si="2"/>
        <v>1115</v>
      </c>
      <c r="G325" s="26">
        <f t="shared" si="3"/>
        <v>0.466367713</v>
      </c>
      <c r="H325" s="26">
        <f t="shared" si="4"/>
        <v>0.533632287</v>
      </c>
      <c r="I325" s="24" t="s">
        <v>83</v>
      </c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24" t="s">
        <v>325</v>
      </c>
      <c r="B326" s="24" t="s">
        <v>431</v>
      </c>
      <c r="C326" s="24" t="s">
        <v>437</v>
      </c>
      <c r="D326" s="25">
        <v>520.0</v>
      </c>
      <c r="E326" s="25">
        <v>595.0</v>
      </c>
      <c r="F326" s="25">
        <f t="shared" si="2"/>
        <v>1115</v>
      </c>
      <c r="G326" s="26">
        <f t="shared" si="3"/>
        <v>0.466367713</v>
      </c>
      <c r="H326" s="26">
        <f t="shared" si="4"/>
        <v>0.533632287</v>
      </c>
      <c r="I326" s="24" t="s">
        <v>83</v>
      </c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24" t="s">
        <v>325</v>
      </c>
      <c r="B327" s="24" t="s">
        <v>438</v>
      </c>
      <c r="C327" s="24" t="s">
        <v>439</v>
      </c>
      <c r="D327" s="25">
        <v>444.0</v>
      </c>
      <c r="E327" s="25">
        <v>953.0</v>
      </c>
      <c r="F327" s="25">
        <f t="shared" si="2"/>
        <v>1397</v>
      </c>
      <c r="G327" s="26">
        <f t="shared" si="3"/>
        <v>0.3178239084</v>
      </c>
      <c r="H327" s="26">
        <f t="shared" si="4"/>
        <v>0.6821760916</v>
      </c>
      <c r="I327" s="24" t="s">
        <v>83</v>
      </c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24" t="s">
        <v>325</v>
      </c>
      <c r="B328" s="24" t="s">
        <v>438</v>
      </c>
      <c r="C328" s="24" t="s">
        <v>440</v>
      </c>
      <c r="D328" s="25">
        <v>444.0</v>
      </c>
      <c r="E328" s="25">
        <v>953.0</v>
      </c>
      <c r="F328" s="25">
        <f t="shared" si="2"/>
        <v>1397</v>
      </c>
      <c r="G328" s="26">
        <f t="shared" si="3"/>
        <v>0.3178239084</v>
      </c>
      <c r="H328" s="26">
        <f t="shared" si="4"/>
        <v>0.6821760916</v>
      </c>
      <c r="I328" s="24" t="s">
        <v>83</v>
      </c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24" t="s">
        <v>325</v>
      </c>
      <c r="B329" s="24" t="s">
        <v>438</v>
      </c>
      <c r="C329" s="24" t="s">
        <v>441</v>
      </c>
      <c r="D329" s="25">
        <v>444.0</v>
      </c>
      <c r="E329" s="25">
        <v>953.0</v>
      </c>
      <c r="F329" s="25">
        <f t="shared" si="2"/>
        <v>1397</v>
      </c>
      <c r="G329" s="26">
        <f t="shared" si="3"/>
        <v>0.3178239084</v>
      </c>
      <c r="H329" s="26">
        <f t="shared" si="4"/>
        <v>0.6821760916</v>
      </c>
      <c r="I329" s="24" t="s">
        <v>83</v>
      </c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24" t="s">
        <v>325</v>
      </c>
      <c r="B330" s="24" t="s">
        <v>438</v>
      </c>
      <c r="C330" s="24" t="s">
        <v>442</v>
      </c>
      <c r="D330" s="25">
        <v>444.0</v>
      </c>
      <c r="E330" s="25">
        <v>953.0</v>
      </c>
      <c r="F330" s="25">
        <f t="shared" si="2"/>
        <v>1397</v>
      </c>
      <c r="G330" s="26">
        <f t="shared" si="3"/>
        <v>0.3178239084</v>
      </c>
      <c r="H330" s="26">
        <f t="shared" si="4"/>
        <v>0.6821760916</v>
      </c>
      <c r="I330" s="24" t="s">
        <v>83</v>
      </c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24" t="s">
        <v>325</v>
      </c>
      <c r="B331" s="24" t="s">
        <v>443</v>
      </c>
      <c r="C331" s="24" t="s">
        <v>444</v>
      </c>
      <c r="D331" s="25">
        <v>435.0</v>
      </c>
      <c r="E331" s="25">
        <v>496.0</v>
      </c>
      <c r="F331" s="25">
        <f t="shared" si="2"/>
        <v>931</v>
      </c>
      <c r="G331" s="26">
        <f t="shared" si="3"/>
        <v>0.4672395274</v>
      </c>
      <c r="H331" s="26">
        <f t="shared" si="4"/>
        <v>0.5327604726</v>
      </c>
      <c r="I331" s="24" t="s">
        <v>83</v>
      </c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24" t="s">
        <v>325</v>
      </c>
      <c r="B332" s="24" t="s">
        <v>443</v>
      </c>
      <c r="C332" s="24" t="s">
        <v>445</v>
      </c>
      <c r="D332" s="25">
        <v>435.0</v>
      </c>
      <c r="E332" s="25">
        <v>496.0</v>
      </c>
      <c r="F332" s="25">
        <f t="shared" si="2"/>
        <v>931</v>
      </c>
      <c r="G332" s="26">
        <f t="shared" si="3"/>
        <v>0.4672395274</v>
      </c>
      <c r="H332" s="26">
        <f t="shared" si="4"/>
        <v>0.5327604726</v>
      </c>
      <c r="I332" s="24" t="s">
        <v>83</v>
      </c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24" t="s">
        <v>325</v>
      </c>
      <c r="B333" s="24" t="s">
        <v>443</v>
      </c>
      <c r="C333" s="24" t="s">
        <v>446</v>
      </c>
      <c r="D333" s="25">
        <v>435.0</v>
      </c>
      <c r="E333" s="25">
        <v>496.0</v>
      </c>
      <c r="F333" s="25">
        <f t="shared" si="2"/>
        <v>931</v>
      </c>
      <c r="G333" s="26">
        <f t="shared" si="3"/>
        <v>0.4672395274</v>
      </c>
      <c r="H333" s="26">
        <f t="shared" si="4"/>
        <v>0.5327604726</v>
      </c>
      <c r="I333" s="24" t="s">
        <v>83</v>
      </c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24" t="s">
        <v>325</v>
      </c>
      <c r="B334" s="24" t="s">
        <v>447</v>
      </c>
      <c r="C334" s="24" t="s">
        <v>448</v>
      </c>
      <c r="D334" s="25">
        <v>355.0</v>
      </c>
      <c r="E334" s="25">
        <v>394.0</v>
      </c>
      <c r="F334" s="25">
        <f t="shared" si="2"/>
        <v>749</v>
      </c>
      <c r="G334" s="26">
        <f t="shared" si="3"/>
        <v>0.473965287</v>
      </c>
      <c r="H334" s="26">
        <f t="shared" si="4"/>
        <v>0.526034713</v>
      </c>
      <c r="I334" s="24" t="s">
        <v>83</v>
      </c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24" t="s">
        <v>325</v>
      </c>
      <c r="B335" s="24" t="s">
        <v>447</v>
      </c>
      <c r="C335" s="24" t="s">
        <v>449</v>
      </c>
      <c r="D335" s="25">
        <v>355.0</v>
      </c>
      <c r="E335" s="25">
        <v>394.0</v>
      </c>
      <c r="F335" s="25">
        <f t="shared" si="2"/>
        <v>749</v>
      </c>
      <c r="G335" s="26">
        <f t="shared" si="3"/>
        <v>0.473965287</v>
      </c>
      <c r="H335" s="26">
        <f t="shared" si="4"/>
        <v>0.526034713</v>
      </c>
      <c r="I335" s="24" t="s">
        <v>83</v>
      </c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24" t="s">
        <v>325</v>
      </c>
      <c r="B336" s="24" t="s">
        <v>450</v>
      </c>
      <c r="C336" s="24" t="s">
        <v>451</v>
      </c>
      <c r="D336" s="25">
        <v>498.0</v>
      </c>
      <c r="E336" s="25">
        <v>644.0</v>
      </c>
      <c r="F336" s="25">
        <f t="shared" si="2"/>
        <v>1142</v>
      </c>
      <c r="G336" s="26">
        <f t="shared" si="3"/>
        <v>0.4360770578</v>
      </c>
      <c r="H336" s="26">
        <f t="shared" si="4"/>
        <v>0.5639229422</v>
      </c>
      <c r="I336" s="24" t="s">
        <v>83</v>
      </c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24" t="s">
        <v>325</v>
      </c>
      <c r="B337" s="24" t="s">
        <v>450</v>
      </c>
      <c r="C337" s="24" t="s">
        <v>452</v>
      </c>
      <c r="D337" s="25">
        <v>498.0</v>
      </c>
      <c r="E337" s="25">
        <v>644.0</v>
      </c>
      <c r="F337" s="25">
        <f t="shared" si="2"/>
        <v>1142</v>
      </c>
      <c r="G337" s="26">
        <f t="shared" si="3"/>
        <v>0.4360770578</v>
      </c>
      <c r="H337" s="26">
        <f t="shared" si="4"/>
        <v>0.5639229422</v>
      </c>
      <c r="I337" s="24" t="s">
        <v>83</v>
      </c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24" t="s">
        <v>325</v>
      </c>
      <c r="B338" s="24" t="s">
        <v>450</v>
      </c>
      <c r="C338" s="24" t="s">
        <v>453</v>
      </c>
      <c r="D338" s="25">
        <v>498.0</v>
      </c>
      <c r="E338" s="25">
        <v>644.0</v>
      </c>
      <c r="F338" s="25">
        <f t="shared" si="2"/>
        <v>1142</v>
      </c>
      <c r="G338" s="26">
        <f t="shared" si="3"/>
        <v>0.4360770578</v>
      </c>
      <c r="H338" s="26">
        <f t="shared" si="4"/>
        <v>0.5639229422</v>
      </c>
      <c r="I338" s="24" t="s">
        <v>83</v>
      </c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24" t="s">
        <v>325</v>
      </c>
      <c r="B339" s="24" t="s">
        <v>450</v>
      </c>
      <c r="C339" s="24" t="s">
        <v>454</v>
      </c>
      <c r="D339" s="25">
        <v>498.0</v>
      </c>
      <c r="E339" s="25">
        <v>644.0</v>
      </c>
      <c r="F339" s="25">
        <f t="shared" si="2"/>
        <v>1142</v>
      </c>
      <c r="G339" s="26">
        <f t="shared" si="3"/>
        <v>0.4360770578</v>
      </c>
      <c r="H339" s="26">
        <f t="shared" si="4"/>
        <v>0.5639229422</v>
      </c>
      <c r="I339" s="24" t="s">
        <v>83</v>
      </c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24" t="s">
        <v>325</v>
      </c>
      <c r="B340" s="24" t="s">
        <v>455</v>
      </c>
      <c r="C340" s="24" t="s">
        <v>456</v>
      </c>
      <c r="D340" s="25">
        <v>642.0</v>
      </c>
      <c r="E340" s="25">
        <v>661.0</v>
      </c>
      <c r="F340" s="25">
        <f t="shared" si="2"/>
        <v>1303</v>
      </c>
      <c r="G340" s="26">
        <f t="shared" si="3"/>
        <v>0.4927091328</v>
      </c>
      <c r="H340" s="26">
        <f t="shared" si="4"/>
        <v>0.5072908672</v>
      </c>
      <c r="I340" s="24" t="s">
        <v>83</v>
      </c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24" t="s">
        <v>325</v>
      </c>
      <c r="B341" s="24" t="s">
        <v>455</v>
      </c>
      <c r="C341" s="24" t="s">
        <v>457</v>
      </c>
      <c r="D341" s="25">
        <v>642.0</v>
      </c>
      <c r="E341" s="25">
        <v>661.0</v>
      </c>
      <c r="F341" s="25">
        <f t="shared" si="2"/>
        <v>1303</v>
      </c>
      <c r="G341" s="26">
        <f t="shared" si="3"/>
        <v>0.4927091328</v>
      </c>
      <c r="H341" s="26">
        <f t="shared" si="4"/>
        <v>0.5072908672</v>
      </c>
      <c r="I341" s="24" t="s">
        <v>83</v>
      </c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24" t="s">
        <v>325</v>
      </c>
      <c r="B342" s="24" t="s">
        <v>455</v>
      </c>
      <c r="C342" s="24" t="s">
        <v>458</v>
      </c>
      <c r="D342" s="25">
        <v>642.0</v>
      </c>
      <c r="E342" s="25">
        <v>661.0</v>
      </c>
      <c r="F342" s="25">
        <f t="shared" si="2"/>
        <v>1303</v>
      </c>
      <c r="G342" s="26">
        <f t="shared" si="3"/>
        <v>0.4927091328</v>
      </c>
      <c r="H342" s="26">
        <f t="shared" si="4"/>
        <v>0.5072908672</v>
      </c>
      <c r="I342" s="24" t="s">
        <v>83</v>
      </c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24" t="s">
        <v>325</v>
      </c>
      <c r="B343" s="24" t="s">
        <v>455</v>
      </c>
      <c r="C343" s="24" t="s">
        <v>459</v>
      </c>
      <c r="D343" s="25">
        <v>642.0</v>
      </c>
      <c r="E343" s="25">
        <v>661.0</v>
      </c>
      <c r="F343" s="25">
        <f t="shared" si="2"/>
        <v>1303</v>
      </c>
      <c r="G343" s="26">
        <f t="shared" si="3"/>
        <v>0.4927091328</v>
      </c>
      <c r="H343" s="26">
        <f t="shared" si="4"/>
        <v>0.5072908672</v>
      </c>
      <c r="I343" s="24" t="s">
        <v>83</v>
      </c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24" t="s">
        <v>325</v>
      </c>
      <c r="B344" s="24" t="s">
        <v>455</v>
      </c>
      <c r="C344" s="24" t="s">
        <v>460</v>
      </c>
      <c r="D344" s="25">
        <v>642.0</v>
      </c>
      <c r="E344" s="25">
        <v>661.0</v>
      </c>
      <c r="F344" s="25">
        <f t="shared" si="2"/>
        <v>1303</v>
      </c>
      <c r="G344" s="26">
        <f t="shared" si="3"/>
        <v>0.4927091328</v>
      </c>
      <c r="H344" s="26">
        <f t="shared" si="4"/>
        <v>0.5072908672</v>
      </c>
      <c r="I344" s="24" t="s">
        <v>83</v>
      </c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24" t="s">
        <v>325</v>
      </c>
      <c r="B345" s="24" t="s">
        <v>455</v>
      </c>
      <c r="C345" s="24" t="s">
        <v>461</v>
      </c>
      <c r="D345" s="25">
        <v>642.0</v>
      </c>
      <c r="E345" s="25">
        <v>661.0</v>
      </c>
      <c r="F345" s="25">
        <f t="shared" si="2"/>
        <v>1303</v>
      </c>
      <c r="G345" s="26">
        <f t="shared" si="3"/>
        <v>0.4927091328</v>
      </c>
      <c r="H345" s="26">
        <f t="shared" si="4"/>
        <v>0.5072908672</v>
      </c>
      <c r="I345" s="24" t="s">
        <v>83</v>
      </c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24" t="s">
        <v>325</v>
      </c>
      <c r="B346" s="24" t="s">
        <v>455</v>
      </c>
      <c r="C346" s="24" t="s">
        <v>462</v>
      </c>
      <c r="D346" s="25">
        <v>642.0</v>
      </c>
      <c r="E346" s="25">
        <v>661.0</v>
      </c>
      <c r="F346" s="25">
        <f t="shared" si="2"/>
        <v>1303</v>
      </c>
      <c r="G346" s="26">
        <f t="shared" si="3"/>
        <v>0.4927091328</v>
      </c>
      <c r="H346" s="26">
        <f t="shared" si="4"/>
        <v>0.5072908672</v>
      </c>
      <c r="I346" s="24" t="s">
        <v>83</v>
      </c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24" t="s">
        <v>325</v>
      </c>
      <c r="B347" s="24" t="s">
        <v>455</v>
      </c>
      <c r="C347" s="24" t="s">
        <v>463</v>
      </c>
      <c r="D347" s="25">
        <v>642.0</v>
      </c>
      <c r="E347" s="25">
        <v>661.0</v>
      </c>
      <c r="F347" s="25">
        <f t="shared" si="2"/>
        <v>1303</v>
      </c>
      <c r="G347" s="26">
        <f t="shared" si="3"/>
        <v>0.4927091328</v>
      </c>
      <c r="H347" s="26">
        <f t="shared" si="4"/>
        <v>0.5072908672</v>
      </c>
      <c r="I347" s="24" t="s">
        <v>83</v>
      </c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24" t="s">
        <v>325</v>
      </c>
      <c r="B348" s="24" t="s">
        <v>455</v>
      </c>
      <c r="C348" s="24" t="s">
        <v>464</v>
      </c>
      <c r="D348" s="25">
        <v>642.0</v>
      </c>
      <c r="E348" s="25">
        <v>661.0</v>
      </c>
      <c r="F348" s="25">
        <f t="shared" si="2"/>
        <v>1303</v>
      </c>
      <c r="G348" s="26">
        <f t="shared" si="3"/>
        <v>0.4927091328</v>
      </c>
      <c r="H348" s="26">
        <f t="shared" si="4"/>
        <v>0.5072908672</v>
      </c>
      <c r="I348" s="24" t="s">
        <v>83</v>
      </c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24" t="s">
        <v>325</v>
      </c>
      <c r="B349" s="24" t="s">
        <v>465</v>
      </c>
      <c r="C349" s="24" t="s">
        <v>466</v>
      </c>
      <c r="D349" s="25">
        <v>126.0</v>
      </c>
      <c r="E349" s="25">
        <v>227.0</v>
      </c>
      <c r="F349" s="25">
        <f t="shared" si="2"/>
        <v>353</v>
      </c>
      <c r="G349" s="26">
        <f t="shared" si="3"/>
        <v>0.3569405099</v>
      </c>
      <c r="H349" s="26">
        <f t="shared" si="4"/>
        <v>0.6430594901</v>
      </c>
      <c r="I349" s="24" t="s">
        <v>83</v>
      </c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24" t="s">
        <v>325</v>
      </c>
      <c r="B350" s="24" t="s">
        <v>465</v>
      </c>
      <c r="C350" s="24" t="s">
        <v>467</v>
      </c>
      <c r="D350" s="25">
        <v>126.0</v>
      </c>
      <c r="E350" s="25">
        <v>227.0</v>
      </c>
      <c r="F350" s="25">
        <f t="shared" si="2"/>
        <v>353</v>
      </c>
      <c r="G350" s="26">
        <f t="shared" si="3"/>
        <v>0.3569405099</v>
      </c>
      <c r="H350" s="26">
        <f t="shared" si="4"/>
        <v>0.6430594901</v>
      </c>
      <c r="I350" s="24" t="s">
        <v>83</v>
      </c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24" t="s">
        <v>325</v>
      </c>
      <c r="B351" s="24" t="s">
        <v>465</v>
      </c>
      <c r="C351" s="24" t="s">
        <v>468</v>
      </c>
      <c r="D351" s="25">
        <v>126.0</v>
      </c>
      <c r="E351" s="25">
        <v>227.0</v>
      </c>
      <c r="F351" s="25">
        <f t="shared" si="2"/>
        <v>353</v>
      </c>
      <c r="G351" s="26">
        <f t="shared" si="3"/>
        <v>0.3569405099</v>
      </c>
      <c r="H351" s="26">
        <f t="shared" si="4"/>
        <v>0.6430594901</v>
      </c>
      <c r="I351" s="24" t="s">
        <v>83</v>
      </c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24" t="s">
        <v>325</v>
      </c>
      <c r="B352" s="24" t="s">
        <v>465</v>
      </c>
      <c r="C352" s="24" t="s">
        <v>469</v>
      </c>
      <c r="D352" s="25">
        <v>126.0</v>
      </c>
      <c r="E352" s="25">
        <v>227.0</v>
      </c>
      <c r="F352" s="25">
        <f t="shared" si="2"/>
        <v>353</v>
      </c>
      <c r="G352" s="26">
        <f t="shared" si="3"/>
        <v>0.3569405099</v>
      </c>
      <c r="H352" s="26">
        <f t="shared" si="4"/>
        <v>0.6430594901</v>
      </c>
      <c r="I352" s="24" t="s">
        <v>83</v>
      </c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24" t="s">
        <v>325</v>
      </c>
      <c r="B353" s="24" t="s">
        <v>470</v>
      </c>
      <c r="C353" s="24" t="s">
        <v>471</v>
      </c>
      <c r="D353" s="25">
        <v>292.0</v>
      </c>
      <c r="E353" s="25">
        <v>608.0</v>
      </c>
      <c r="F353" s="25">
        <f t="shared" si="2"/>
        <v>900</v>
      </c>
      <c r="G353" s="26">
        <f t="shared" si="3"/>
        <v>0.3244444444</v>
      </c>
      <c r="H353" s="26">
        <f t="shared" si="4"/>
        <v>0.6755555556</v>
      </c>
      <c r="I353" s="24" t="s">
        <v>83</v>
      </c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24" t="s">
        <v>325</v>
      </c>
      <c r="B354" s="24" t="s">
        <v>470</v>
      </c>
      <c r="C354" s="24" t="s">
        <v>472</v>
      </c>
      <c r="D354" s="25">
        <v>292.0</v>
      </c>
      <c r="E354" s="25">
        <v>608.0</v>
      </c>
      <c r="F354" s="25">
        <f t="shared" si="2"/>
        <v>900</v>
      </c>
      <c r="G354" s="26">
        <f t="shared" si="3"/>
        <v>0.3244444444</v>
      </c>
      <c r="H354" s="26">
        <f t="shared" si="4"/>
        <v>0.6755555556</v>
      </c>
      <c r="I354" s="24" t="s">
        <v>83</v>
      </c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24" t="s">
        <v>325</v>
      </c>
      <c r="B355" s="24" t="s">
        <v>470</v>
      </c>
      <c r="C355" s="24" t="s">
        <v>473</v>
      </c>
      <c r="D355" s="25">
        <v>292.0</v>
      </c>
      <c r="E355" s="25">
        <v>608.0</v>
      </c>
      <c r="F355" s="25">
        <f t="shared" si="2"/>
        <v>900</v>
      </c>
      <c r="G355" s="26">
        <f t="shared" si="3"/>
        <v>0.3244444444</v>
      </c>
      <c r="H355" s="26">
        <f t="shared" si="4"/>
        <v>0.6755555556</v>
      </c>
      <c r="I355" s="24" t="s">
        <v>83</v>
      </c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24" t="s">
        <v>325</v>
      </c>
      <c r="B356" s="24" t="s">
        <v>470</v>
      </c>
      <c r="C356" s="24" t="s">
        <v>474</v>
      </c>
      <c r="D356" s="25">
        <v>292.0</v>
      </c>
      <c r="E356" s="25">
        <v>608.0</v>
      </c>
      <c r="F356" s="25">
        <f t="shared" si="2"/>
        <v>900</v>
      </c>
      <c r="G356" s="26">
        <f t="shared" si="3"/>
        <v>0.3244444444</v>
      </c>
      <c r="H356" s="26">
        <f t="shared" si="4"/>
        <v>0.6755555556</v>
      </c>
      <c r="I356" s="24" t="s">
        <v>83</v>
      </c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24" t="s">
        <v>325</v>
      </c>
      <c r="B357" s="24" t="s">
        <v>475</v>
      </c>
      <c r="C357" s="24" t="s">
        <v>475</v>
      </c>
      <c r="D357" s="25">
        <v>76.0</v>
      </c>
      <c r="E357" s="25">
        <v>146.0</v>
      </c>
      <c r="F357" s="25">
        <f t="shared" si="2"/>
        <v>222</v>
      </c>
      <c r="G357" s="26">
        <f t="shared" si="3"/>
        <v>0.3423423423</v>
      </c>
      <c r="H357" s="26">
        <f t="shared" si="4"/>
        <v>0.6576576577</v>
      </c>
      <c r="I357" s="24" t="s">
        <v>83</v>
      </c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24" t="s">
        <v>325</v>
      </c>
      <c r="B358" s="24" t="s">
        <v>476</v>
      </c>
      <c r="C358" s="24" t="s">
        <v>476</v>
      </c>
      <c r="D358" s="25">
        <v>263.0</v>
      </c>
      <c r="E358" s="25">
        <v>511.0</v>
      </c>
      <c r="F358" s="25">
        <f t="shared" si="2"/>
        <v>774</v>
      </c>
      <c r="G358" s="26">
        <f t="shared" si="3"/>
        <v>0.3397932817</v>
      </c>
      <c r="H358" s="26">
        <f t="shared" si="4"/>
        <v>0.6602067183</v>
      </c>
      <c r="I358" s="24" t="s">
        <v>83</v>
      </c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24" t="s">
        <v>325</v>
      </c>
      <c r="B359" s="24" t="s">
        <v>477</v>
      </c>
      <c r="C359" s="24" t="s">
        <v>477</v>
      </c>
      <c r="D359" s="25">
        <v>176.0</v>
      </c>
      <c r="E359" s="25">
        <v>284.0</v>
      </c>
      <c r="F359" s="25">
        <f t="shared" si="2"/>
        <v>460</v>
      </c>
      <c r="G359" s="26">
        <f t="shared" si="3"/>
        <v>0.3826086957</v>
      </c>
      <c r="H359" s="26">
        <f t="shared" si="4"/>
        <v>0.6173913043</v>
      </c>
      <c r="I359" s="24" t="s">
        <v>83</v>
      </c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24" t="s">
        <v>325</v>
      </c>
      <c r="B360" s="24" t="s">
        <v>478</v>
      </c>
      <c r="C360" s="24" t="s">
        <v>478</v>
      </c>
      <c r="D360" s="25">
        <v>278.0</v>
      </c>
      <c r="E360" s="25">
        <v>399.0</v>
      </c>
      <c r="F360" s="25">
        <f t="shared" si="2"/>
        <v>677</v>
      </c>
      <c r="G360" s="26">
        <f t="shared" si="3"/>
        <v>0.4106351551</v>
      </c>
      <c r="H360" s="26">
        <f t="shared" si="4"/>
        <v>0.5893648449</v>
      </c>
      <c r="I360" s="24" t="s">
        <v>83</v>
      </c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24" t="s">
        <v>325</v>
      </c>
      <c r="B361" s="24" t="s">
        <v>479</v>
      </c>
      <c r="C361" s="24" t="s">
        <v>480</v>
      </c>
      <c r="D361" s="25">
        <v>209.0</v>
      </c>
      <c r="E361" s="25">
        <v>506.0</v>
      </c>
      <c r="F361" s="25">
        <f t="shared" si="2"/>
        <v>715</v>
      </c>
      <c r="G361" s="26">
        <f t="shared" si="3"/>
        <v>0.2923076923</v>
      </c>
      <c r="H361" s="26">
        <f t="shared" si="4"/>
        <v>0.7076923077</v>
      </c>
      <c r="I361" s="24" t="s">
        <v>83</v>
      </c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24" t="s">
        <v>325</v>
      </c>
      <c r="B362" s="24" t="s">
        <v>479</v>
      </c>
      <c r="C362" s="24" t="s">
        <v>481</v>
      </c>
      <c r="D362" s="25">
        <v>209.0</v>
      </c>
      <c r="E362" s="25">
        <v>506.0</v>
      </c>
      <c r="F362" s="25">
        <f t="shared" si="2"/>
        <v>715</v>
      </c>
      <c r="G362" s="26">
        <f t="shared" si="3"/>
        <v>0.2923076923</v>
      </c>
      <c r="H362" s="26">
        <f t="shared" si="4"/>
        <v>0.7076923077</v>
      </c>
      <c r="I362" s="24" t="s">
        <v>83</v>
      </c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24" t="s">
        <v>325</v>
      </c>
      <c r="B363" s="24" t="s">
        <v>479</v>
      </c>
      <c r="C363" s="24" t="s">
        <v>482</v>
      </c>
      <c r="D363" s="25">
        <v>209.0</v>
      </c>
      <c r="E363" s="25">
        <v>506.0</v>
      </c>
      <c r="F363" s="25">
        <f t="shared" si="2"/>
        <v>715</v>
      </c>
      <c r="G363" s="26">
        <f t="shared" si="3"/>
        <v>0.2923076923</v>
      </c>
      <c r="H363" s="26">
        <f t="shared" si="4"/>
        <v>0.7076923077</v>
      </c>
      <c r="I363" s="24" t="s">
        <v>83</v>
      </c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24" t="s">
        <v>325</v>
      </c>
      <c r="B364" s="24" t="s">
        <v>479</v>
      </c>
      <c r="C364" s="24" t="s">
        <v>483</v>
      </c>
      <c r="D364" s="25">
        <v>209.0</v>
      </c>
      <c r="E364" s="25">
        <v>506.0</v>
      </c>
      <c r="F364" s="25">
        <f t="shared" si="2"/>
        <v>715</v>
      </c>
      <c r="G364" s="26">
        <f t="shared" si="3"/>
        <v>0.2923076923</v>
      </c>
      <c r="H364" s="26">
        <f t="shared" si="4"/>
        <v>0.7076923077</v>
      </c>
      <c r="I364" s="24" t="s">
        <v>83</v>
      </c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24" t="s">
        <v>325</v>
      </c>
      <c r="B365" s="24" t="s">
        <v>479</v>
      </c>
      <c r="C365" s="24" t="s">
        <v>484</v>
      </c>
      <c r="D365" s="25">
        <v>209.0</v>
      </c>
      <c r="E365" s="25">
        <v>506.0</v>
      </c>
      <c r="F365" s="25">
        <f t="shared" si="2"/>
        <v>715</v>
      </c>
      <c r="G365" s="26">
        <f t="shared" si="3"/>
        <v>0.2923076923</v>
      </c>
      <c r="H365" s="26">
        <f t="shared" si="4"/>
        <v>0.7076923077</v>
      </c>
      <c r="I365" s="24" t="s">
        <v>83</v>
      </c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24" t="s">
        <v>325</v>
      </c>
      <c r="B366" s="24" t="s">
        <v>485</v>
      </c>
      <c r="C366" s="24" t="s">
        <v>486</v>
      </c>
      <c r="D366" s="25">
        <v>442.0</v>
      </c>
      <c r="E366" s="25">
        <v>509.0</v>
      </c>
      <c r="F366" s="25">
        <f t="shared" si="2"/>
        <v>951</v>
      </c>
      <c r="G366" s="26">
        <f t="shared" si="3"/>
        <v>0.4647739222</v>
      </c>
      <c r="H366" s="26">
        <f t="shared" si="4"/>
        <v>0.5352260778</v>
      </c>
      <c r="I366" s="24" t="s">
        <v>83</v>
      </c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24" t="s">
        <v>325</v>
      </c>
      <c r="B367" s="24" t="s">
        <v>485</v>
      </c>
      <c r="C367" s="24" t="s">
        <v>487</v>
      </c>
      <c r="D367" s="25">
        <v>442.0</v>
      </c>
      <c r="E367" s="25">
        <v>509.0</v>
      </c>
      <c r="F367" s="25">
        <f t="shared" si="2"/>
        <v>951</v>
      </c>
      <c r="G367" s="26">
        <f t="shared" si="3"/>
        <v>0.4647739222</v>
      </c>
      <c r="H367" s="26">
        <f t="shared" si="4"/>
        <v>0.5352260778</v>
      </c>
      <c r="I367" s="24" t="s">
        <v>83</v>
      </c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24" t="s">
        <v>325</v>
      </c>
      <c r="B368" s="24" t="s">
        <v>485</v>
      </c>
      <c r="C368" s="24" t="s">
        <v>488</v>
      </c>
      <c r="D368" s="25">
        <v>442.0</v>
      </c>
      <c r="E368" s="25">
        <v>509.0</v>
      </c>
      <c r="F368" s="25">
        <f t="shared" si="2"/>
        <v>951</v>
      </c>
      <c r="G368" s="26">
        <f t="shared" si="3"/>
        <v>0.4647739222</v>
      </c>
      <c r="H368" s="26">
        <f t="shared" si="4"/>
        <v>0.5352260778</v>
      </c>
      <c r="I368" s="24" t="s">
        <v>83</v>
      </c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24" t="s">
        <v>325</v>
      </c>
      <c r="B369" s="24" t="s">
        <v>485</v>
      </c>
      <c r="C369" s="24" t="s">
        <v>489</v>
      </c>
      <c r="D369" s="25">
        <v>442.0</v>
      </c>
      <c r="E369" s="25">
        <v>509.0</v>
      </c>
      <c r="F369" s="25">
        <f t="shared" si="2"/>
        <v>951</v>
      </c>
      <c r="G369" s="26">
        <f t="shared" si="3"/>
        <v>0.4647739222</v>
      </c>
      <c r="H369" s="26">
        <f t="shared" si="4"/>
        <v>0.5352260778</v>
      </c>
      <c r="I369" s="24" t="s">
        <v>83</v>
      </c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24" t="s">
        <v>325</v>
      </c>
      <c r="B370" s="24" t="s">
        <v>490</v>
      </c>
      <c r="C370" s="24" t="s">
        <v>490</v>
      </c>
      <c r="D370" s="25">
        <v>316.0</v>
      </c>
      <c r="E370" s="25">
        <v>538.0</v>
      </c>
      <c r="F370" s="25">
        <f t="shared" si="2"/>
        <v>854</v>
      </c>
      <c r="G370" s="26">
        <f t="shared" si="3"/>
        <v>0.3700234192</v>
      </c>
      <c r="H370" s="26">
        <f t="shared" si="4"/>
        <v>0.6299765808</v>
      </c>
      <c r="I370" s="24" t="s">
        <v>83</v>
      </c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24" t="s">
        <v>325</v>
      </c>
      <c r="B371" s="24" t="s">
        <v>491</v>
      </c>
      <c r="C371" s="24" t="s">
        <v>492</v>
      </c>
      <c r="D371" s="25">
        <v>458.0</v>
      </c>
      <c r="E371" s="25">
        <v>984.0</v>
      </c>
      <c r="F371" s="25">
        <f t="shared" si="2"/>
        <v>1442</v>
      </c>
      <c r="G371" s="26">
        <f t="shared" si="3"/>
        <v>0.3176144244</v>
      </c>
      <c r="H371" s="26">
        <f t="shared" si="4"/>
        <v>0.6823855756</v>
      </c>
      <c r="I371" s="24" t="s">
        <v>83</v>
      </c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24" t="s">
        <v>325</v>
      </c>
      <c r="B372" s="24" t="s">
        <v>491</v>
      </c>
      <c r="C372" s="24" t="s">
        <v>493</v>
      </c>
      <c r="D372" s="25">
        <v>458.0</v>
      </c>
      <c r="E372" s="25">
        <v>984.0</v>
      </c>
      <c r="F372" s="25">
        <f t="shared" si="2"/>
        <v>1442</v>
      </c>
      <c r="G372" s="26">
        <f t="shared" si="3"/>
        <v>0.3176144244</v>
      </c>
      <c r="H372" s="26">
        <f t="shared" si="4"/>
        <v>0.6823855756</v>
      </c>
      <c r="I372" s="24" t="s">
        <v>83</v>
      </c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24" t="s">
        <v>325</v>
      </c>
      <c r="B373" s="24" t="s">
        <v>494</v>
      </c>
      <c r="C373" s="24" t="s">
        <v>494</v>
      </c>
      <c r="D373" s="25">
        <v>207.0</v>
      </c>
      <c r="E373" s="25">
        <v>266.0</v>
      </c>
      <c r="F373" s="25">
        <f t="shared" si="2"/>
        <v>473</v>
      </c>
      <c r="G373" s="26">
        <f t="shared" si="3"/>
        <v>0.4376321353</v>
      </c>
      <c r="H373" s="26">
        <f t="shared" si="4"/>
        <v>0.5623678647</v>
      </c>
      <c r="I373" s="24" t="s">
        <v>83</v>
      </c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24" t="s">
        <v>325</v>
      </c>
      <c r="B374" s="24" t="s">
        <v>495</v>
      </c>
      <c r="C374" s="24" t="s">
        <v>496</v>
      </c>
      <c r="D374" s="25">
        <v>401.0</v>
      </c>
      <c r="E374" s="25">
        <v>549.0</v>
      </c>
      <c r="F374" s="25">
        <f t="shared" si="2"/>
        <v>950</v>
      </c>
      <c r="G374" s="26">
        <f t="shared" si="3"/>
        <v>0.4221052632</v>
      </c>
      <c r="H374" s="26">
        <f t="shared" si="4"/>
        <v>0.5778947368</v>
      </c>
      <c r="I374" s="24" t="s">
        <v>83</v>
      </c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24" t="s">
        <v>325</v>
      </c>
      <c r="B375" s="24" t="s">
        <v>495</v>
      </c>
      <c r="C375" s="24" t="s">
        <v>497</v>
      </c>
      <c r="D375" s="25">
        <v>401.0</v>
      </c>
      <c r="E375" s="25">
        <v>549.0</v>
      </c>
      <c r="F375" s="25">
        <f t="shared" si="2"/>
        <v>950</v>
      </c>
      <c r="G375" s="26">
        <f t="shared" si="3"/>
        <v>0.4221052632</v>
      </c>
      <c r="H375" s="26">
        <f t="shared" si="4"/>
        <v>0.5778947368</v>
      </c>
      <c r="I375" s="24" t="s">
        <v>83</v>
      </c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24" t="s">
        <v>325</v>
      </c>
      <c r="B376" s="24" t="s">
        <v>495</v>
      </c>
      <c r="C376" s="24" t="s">
        <v>498</v>
      </c>
      <c r="D376" s="25">
        <v>401.0</v>
      </c>
      <c r="E376" s="25">
        <v>549.0</v>
      </c>
      <c r="F376" s="25">
        <f t="shared" si="2"/>
        <v>950</v>
      </c>
      <c r="G376" s="26">
        <f t="shared" si="3"/>
        <v>0.4221052632</v>
      </c>
      <c r="H376" s="26">
        <f t="shared" si="4"/>
        <v>0.5778947368</v>
      </c>
      <c r="I376" s="24" t="s">
        <v>83</v>
      </c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24" t="s">
        <v>325</v>
      </c>
      <c r="B377" s="24" t="s">
        <v>495</v>
      </c>
      <c r="C377" s="24" t="s">
        <v>499</v>
      </c>
      <c r="D377" s="25">
        <v>401.0</v>
      </c>
      <c r="E377" s="25">
        <v>549.0</v>
      </c>
      <c r="F377" s="25">
        <f t="shared" si="2"/>
        <v>950</v>
      </c>
      <c r="G377" s="26">
        <f t="shared" si="3"/>
        <v>0.4221052632</v>
      </c>
      <c r="H377" s="26">
        <f t="shared" si="4"/>
        <v>0.5778947368</v>
      </c>
      <c r="I377" s="24" t="s">
        <v>83</v>
      </c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24" t="s">
        <v>325</v>
      </c>
      <c r="B378" s="24" t="s">
        <v>500</v>
      </c>
      <c r="C378" s="24" t="s">
        <v>501</v>
      </c>
      <c r="D378" s="25">
        <v>445.0</v>
      </c>
      <c r="E378" s="25">
        <v>398.0</v>
      </c>
      <c r="F378" s="25">
        <f t="shared" si="2"/>
        <v>843</v>
      </c>
      <c r="G378" s="26">
        <f t="shared" si="3"/>
        <v>0.5278766311</v>
      </c>
      <c r="H378" s="26">
        <f t="shared" si="4"/>
        <v>0.4721233689</v>
      </c>
      <c r="I378" s="24" t="s">
        <v>83</v>
      </c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24" t="s">
        <v>325</v>
      </c>
      <c r="B379" s="24" t="s">
        <v>500</v>
      </c>
      <c r="C379" s="24" t="s">
        <v>502</v>
      </c>
      <c r="D379" s="25">
        <v>445.0</v>
      </c>
      <c r="E379" s="25">
        <v>398.0</v>
      </c>
      <c r="F379" s="25">
        <f t="shared" si="2"/>
        <v>843</v>
      </c>
      <c r="G379" s="26">
        <f t="shared" si="3"/>
        <v>0.5278766311</v>
      </c>
      <c r="H379" s="26">
        <f t="shared" si="4"/>
        <v>0.4721233689</v>
      </c>
      <c r="I379" s="24" t="s">
        <v>83</v>
      </c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24" t="s">
        <v>325</v>
      </c>
      <c r="B380" s="24" t="s">
        <v>500</v>
      </c>
      <c r="C380" s="24" t="s">
        <v>503</v>
      </c>
      <c r="D380" s="25">
        <v>445.0</v>
      </c>
      <c r="E380" s="25">
        <v>398.0</v>
      </c>
      <c r="F380" s="25">
        <f t="shared" si="2"/>
        <v>843</v>
      </c>
      <c r="G380" s="26">
        <f t="shared" si="3"/>
        <v>0.5278766311</v>
      </c>
      <c r="H380" s="26">
        <f t="shared" si="4"/>
        <v>0.4721233689</v>
      </c>
      <c r="I380" s="24" t="s">
        <v>83</v>
      </c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24" t="s">
        <v>325</v>
      </c>
      <c r="B381" s="24" t="s">
        <v>504</v>
      </c>
      <c r="C381" s="24" t="s">
        <v>505</v>
      </c>
      <c r="D381" s="25">
        <v>562.0</v>
      </c>
      <c r="E381" s="25">
        <v>829.0</v>
      </c>
      <c r="F381" s="25">
        <f t="shared" si="2"/>
        <v>1391</v>
      </c>
      <c r="G381" s="26">
        <f t="shared" si="3"/>
        <v>0.4040258807</v>
      </c>
      <c r="H381" s="26">
        <f t="shared" si="4"/>
        <v>0.5959741193</v>
      </c>
      <c r="I381" s="24" t="s">
        <v>83</v>
      </c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5">
    <mergeCell ref="A1:I1"/>
    <mergeCell ref="A3:I3"/>
    <mergeCell ref="A6:I6"/>
    <mergeCell ref="A9:I9"/>
    <mergeCell ref="A10:I10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6.0"/>
    <col customWidth="1" min="3" max="3" width="40.29"/>
    <col customWidth="1" min="4" max="4" width="14.0"/>
    <col customWidth="1" min="5" max="5" width="16.0"/>
    <col customWidth="1" min="6" max="6" width="12.0"/>
    <col customWidth="1" min="7" max="7" width="13.0"/>
    <col customWidth="1" min="8" max="8" width="15.0"/>
    <col customWidth="1" min="9" max="9" width="37.14"/>
  </cols>
  <sheetData>
    <row r="1" ht="14.25" customHeight="1">
      <c r="A1" s="2" t="s">
        <v>2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4" t="s">
        <v>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13" t="s">
        <v>506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4" t="s">
        <v>39</v>
      </c>
      <c r="B4" s="4" t="s">
        <v>507</v>
      </c>
      <c r="C4" s="4" t="s">
        <v>41</v>
      </c>
      <c r="D4" s="4" t="s">
        <v>42</v>
      </c>
      <c r="E4" s="4" t="s">
        <v>43</v>
      </c>
      <c r="F4" s="4" t="s">
        <v>44</v>
      </c>
      <c r="G4" s="4" t="s">
        <v>45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14" t="s">
        <v>47</v>
      </c>
      <c r="B6" s="15"/>
      <c r="C6" s="15"/>
      <c r="D6" s="15"/>
      <c r="E6" s="15"/>
      <c r="F6" s="15"/>
      <c r="G6" s="15"/>
      <c r="H6" s="15"/>
      <c r="I6" s="16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17" t="s">
        <v>50</v>
      </c>
      <c r="B7" s="17" t="s">
        <v>51</v>
      </c>
      <c r="C7" s="17" t="s">
        <v>52</v>
      </c>
      <c r="D7" s="17" t="s">
        <v>53</v>
      </c>
      <c r="E7" s="17" t="s">
        <v>54</v>
      </c>
      <c r="F7" s="17" t="s">
        <v>55</v>
      </c>
      <c r="G7" s="17" t="s">
        <v>56</v>
      </c>
      <c r="H7" s="17" t="s">
        <v>57</v>
      </c>
      <c r="I7" s="17" t="s">
        <v>58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18" t="s">
        <v>59</v>
      </c>
      <c r="B8" s="18" t="s">
        <v>60</v>
      </c>
      <c r="C8" s="18"/>
      <c r="D8" s="19">
        <f t="shared" ref="D8:E8" si="1">SUM(D12:D381)</f>
        <v>176075</v>
      </c>
      <c r="E8" s="19">
        <f t="shared" si="1"/>
        <v>172675</v>
      </c>
      <c r="F8" s="19">
        <f>D8+E8</f>
        <v>348750</v>
      </c>
      <c r="G8" s="20">
        <f>IF(F8=0,"",D8/F8)</f>
        <v>0.504874552</v>
      </c>
      <c r="H8" s="20">
        <f>IF(F8=0,"",E8/F8)</f>
        <v>0.495125448</v>
      </c>
      <c r="I8" s="18" t="s">
        <v>508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13" t="s">
        <v>62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14" t="s">
        <v>63</v>
      </c>
      <c r="B10" s="15"/>
      <c r="C10" s="15"/>
      <c r="D10" s="15"/>
      <c r="E10" s="15"/>
      <c r="F10" s="15"/>
      <c r="G10" s="15"/>
      <c r="H10" s="15"/>
      <c r="I10" s="16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1.5" customHeight="1">
      <c r="A11" s="17" t="s">
        <v>64</v>
      </c>
      <c r="B11" s="17" t="s">
        <v>65</v>
      </c>
      <c r="C11" s="17" t="s">
        <v>66</v>
      </c>
      <c r="D11" s="17" t="s">
        <v>53</v>
      </c>
      <c r="E11" s="17" t="s">
        <v>54</v>
      </c>
      <c r="F11" s="17" t="s">
        <v>55</v>
      </c>
      <c r="G11" s="17" t="s">
        <v>56</v>
      </c>
      <c r="H11" s="17" t="s">
        <v>57</v>
      </c>
      <c r="I11" s="17" t="s">
        <v>67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21" t="s">
        <v>71</v>
      </c>
      <c r="B12" s="21" t="s">
        <v>72</v>
      </c>
      <c r="C12" s="21" t="s">
        <v>72</v>
      </c>
      <c r="D12" s="22">
        <v>162.0</v>
      </c>
      <c r="E12" s="22">
        <v>229.0</v>
      </c>
      <c r="F12" s="22">
        <f t="shared" ref="F12:F381" si="2">D12+E12</f>
        <v>391</v>
      </c>
      <c r="G12" s="23">
        <f t="shared" ref="G12:G381" si="3">IF(F12=0,"",D12/F12)</f>
        <v>0.4143222506</v>
      </c>
      <c r="H12" s="23">
        <f t="shared" ref="H12:H381" si="4">IF(F12=0,"",E12/F12)</f>
        <v>0.5856777494</v>
      </c>
      <c r="I12" s="21" t="s">
        <v>73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21" t="s">
        <v>71</v>
      </c>
      <c r="B13" s="21" t="s">
        <v>74</v>
      </c>
      <c r="C13" s="21" t="s">
        <v>74</v>
      </c>
      <c r="D13" s="22">
        <v>106.0</v>
      </c>
      <c r="E13" s="22">
        <v>235.0</v>
      </c>
      <c r="F13" s="22">
        <f t="shared" si="2"/>
        <v>341</v>
      </c>
      <c r="G13" s="23">
        <f t="shared" si="3"/>
        <v>0.3108504399</v>
      </c>
      <c r="H13" s="23">
        <f t="shared" si="4"/>
        <v>0.6891495601</v>
      </c>
      <c r="I13" s="21" t="s">
        <v>73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21" t="s">
        <v>71</v>
      </c>
      <c r="B14" s="21" t="s">
        <v>75</v>
      </c>
      <c r="C14" s="21" t="s">
        <v>75</v>
      </c>
      <c r="D14" s="22">
        <v>141.0</v>
      </c>
      <c r="E14" s="22">
        <v>270.0</v>
      </c>
      <c r="F14" s="22">
        <f t="shared" si="2"/>
        <v>411</v>
      </c>
      <c r="G14" s="23">
        <f t="shared" si="3"/>
        <v>0.3430656934</v>
      </c>
      <c r="H14" s="23">
        <f t="shared" si="4"/>
        <v>0.6569343066</v>
      </c>
      <c r="I14" s="21" t="s">
        <v>73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21" t="s">
        <v>71</v>
      </c>
      <c r="B15" s="21" t="s">
        <v>76</v>
      </c>
      <c r="C15" s="21" t="s">
        <v>77</v>
      </c>
      <c r="D15" s="22">
        <v>212.0</v>
      </c>
      <c r="E15" s="22">
        <v>574.0</v>
      </c>
      <c r="F15" s="22">
        <f t="shared" si="2"/>
        <v>786</v>
      </c>
      <c r="G15" s="23">
        <f t="shared" si="3"/>
        <v>0.2697201018</v>
      </c>
      <c r="H15" s="23">
        <f t="shared" si="4"/>
        <v>0.7302798982</v>
      </c>
      <c r="I15" s="21" t="s">
        <v>73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21" t="s">
        <v>71</v>
      </c>
      <c r="B16" s="21" t="s">
        <v>76</v>
      </c>
      <c r="C16" s="21" t="s">
        <v>78</v>
      </c>
      <c r="D16" s="22">
        <v>212.0</v>
      </c>
      <c r="E16" s="22">
        <v>485.0</v>
      </c>
      <c r="F16" s="22">
        <f t="shared" si="2"/>
        <v>697</v>
      </c>
      <c r="G16" s="23">
        <f t="shared" si="3"/>
        <v>0.3041606887</v>
      </c>
      <c r="H16" s="23">
        <f t="shared" si="4"/>
        <v>0.6958393113</v>
      </c>
      <c r="I16" s="21" t="s">
        <v>73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21" t="s">
        <v>71</v>
      </c>
      <c r="B17" s="21" t="s">
        <v>79</v>
      </c>
      <c r="C17" s="21" t="s">
        <v>79</v>
      </c>
      <c r="D17" s="22">
        <v>39.0</v>
      </c>
      <c r="E17" s="22">
        <v>72.0</v>
      </c>
      <c r="F17" s="22">
        <f t="shared" si="2"/>
        <v>111</v>
      </c>
      <c r="G17" s="23">
        <f t="shared" si="3"/>
        <v>0.3513513514</v>
      </c>
      <c r="H17" s="23">
        <f t="shared" si="4"/>
        <v>0.6486486486</v>
      </c>
      <c r="I17" s="21" t="s">
        <v>73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21" t="s">
        <v>71</v>
      </c>
      <c r="B18" s="21" t="s">
        <v>80</v>
      </c>
      <c r="C18" s="21" t="s">
        <v>81</v>
      </c>
      <c r="D18" s="22">
        <v>301.0</v>
      </c>
      <c r="E18" s="22">
        <v>659.0</v>
      </c>
      <c r="F18" s="22">
        <f t="shared" si="2"/>
        <v>960</v>
      </c>
      <c r="G18" s="23">
        <f t="shared" si="3"/>
        <v>0.3135416667</v>
      </c>
      <c r="H18" s="23">
        <f t="shared" si="4"/>
        <v>0.6864583333</v>
      </c>
      <c r="I18" s="21" t="s">
        <v>73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24" t="s">
        <v>71</v>
      </c>
      <c r="B19" s="24" t="s">
        <v>80</v>
      </c>
      <c r="C19" s="24" t="s">
        <v>82</v>
      </c>
      <c r="D19" s="25">
        <v>681.0</v>
      </c>
      <c r="E19" s="25">
        <v>1577.0</v>
      </c>
      <c r="F19" s="25">
        <f t="shared" si="2"/>
        <v>2258</v>
      </c>
      <c r="G19" s="26">
        <f t="shared" si="3"/>
        <v>0.3015943313</v>
      </c>
      <c r="H19" s="26">
        <f t="shared" si="4"/>
        <v>0.6984056687</v>
      </c>
      <c r="I19" s="24" t="s">
        <v>83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21" t="s">
        <v>71</v>
      </c>
      <c r="B20" s="21" t="s">
        <v>80</v>
      </c>
      <c r="C20" s="21" t="s">
        <v>84</v>
      </c>
      <c r="D20" s="22">
        <v>232.0</v>
      </c>
      <c r="E20" s="22">
        <v>544.0</v>
      </c>
      <c r="F20" s="22">
        <f t="shared" si="2"/>
        <v>776</v>
      </c>
      <c r="G20" s="23">
        <f t="shared" si="3"/>
        <v>0.2989690722</v>
      </c>
      <c r="H20" s="23">
        <f t="shared" si="4"/>
        <v>0.7010309278</v>
      </c>
      <c r="I20" s="21" t="s">
        <v>73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21" t="s">
        <v>71</v>
      </c>
      <c r="B21" s="21" t="s">
        <v>85</v>
      </c>
      <c r="C21" s="21" t="s">
        <v>86</v>
      </c>
      <c r="D21" s="22">
        <v>222.0</v>
      </c>
      <c r="E21" s="22">
        <v>258.0</v>
      </c>
      <c r="F21" s="22">
        <f t="shared" si="2"/>
        <v>480</v>
      </c>
      <c r="G21" s="23">
        <f t="shared" si="3"/>
        <v>0.4625</v>
      </c>
      <c r="H21" s="23">
        <f t="shared" si="4"/>
        <v>0.5375</v>
      </c>
      <c r="I21" s="21" t="s">
        <v>73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21" t="s">
        <v>71</v>
      </c>
      <c r="B22" s="21" t="s">
        <v>85</v>
      </c>
      <c r="C22" s="21" t="s">
        <v>87</v>
      </c>
      <c r="D22" s="22">
        <v>150.0</v>
      </c>
      <c r="E22" s="22">
        <v>188.0</v>
      </c>
      <c r="F22" s="22">
        <f t="shared" si="2"/>
        <v>338</v>
      </c>
      <c r="G22" s="23">
        <f t="shared" si="3"/>
        <v>0.4437869822</v>
      </c>
      <c r="H22" s="23">
        <f t="shared" si="4"/>
        <v>0.5562130178</v>
      </c>
      <c r="I22" s="21" t="s">
        <v>73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21" t="s">
        <v>71</v>
      </c>
      <c r="B23" s="21" t="s">
        <v>85</v>
      </c>
      <c r="C23" s="21" t="s">
        <v>88</v>
      </c>
      <c r="D23" s="22">
        <v>280.0</v>
      </c>
      <c r="E23" s="22">
        <v>410.0</v>
      </c>
      <c r="F23" s="22">
        <f t="shared" si="2"/>
        <v>690</v>
      </c>
      <c r="G23" s="23">
        <f t="shared" si="3"/>
        <v>0.4057971014</v>
      </c>
      <c r="H23" s="23">
        <f t="shared" si="4"/>
        <v>0.5942028986</v>
      </c>
      <c r="I23" s="21" t="s">
        <v>73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21" t="s">
        <v>71</v>
      </c>
      <c r="B24" s="21" t="s">
        <v>85</v>
      </c>
      <c r="C24" s="21" t="s">
        <v>89</v>
      </c>
      <c r="D24" s="22">
        <v>143.0</v>
      </c>
      <c r="E24" s="22">
        <v>128.0</v>
      </c>
      <c r="F24" s="22">
        <f t="shared" si="2"/>
        <v>271</v>
      </c>
      <c r="G24" s="23">
        <f t="shared" si="3"/>
        <v>0.5276752768</v>
      </c>
      <c r="H24" s="23">
        <f t="shared" si="4"/>
        <v>0.4723247232</v>
      </c>
      <c r="I24" s="21" t="s">
        <v>73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21" t="s">
        <v>71</v>
      </c>
      <c r="B25" s="21" t="s">
        <v>85</v>
      </c>
      <c r="C25" s="21" t="s">
        <v>90</v>
      </c>
      <c r="D25" s="22">
        <v>291.0</v>
      </c>
      <c r="E25" s="22">
        <v>341.0</v>
      </c>
      <c r="F25" s="22">
        <f t="shared" si="2"/>
        <v>632</v>
      </c>
      <c r="G25" s="23">
        <f t="shared" si="3"/>
        <v>0.460443038</v>
      </c>
      <c r="H25" s="23">
        <f t="shared" si="4"/>
        <v>0.539556962</v>
      </c>
      <c r="I25" s="21" t="s">
        <v>73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21" t="s">
        <v>71</v>
      </c>
      <c r="B26" s="21" t="s">
        <v>91</v>
      </c>
      <c r="C26" s="21" t="s">
        <v>92</v>
      </c>
      <c r="D26" s="22">
        <v>113.0</v>
      </c>
      <c r="E26" s="22">
        <v>174.0</v>
      </c>
      <c r="F26" s="22">
        <f t="shared" si="2"/>
        <v>287</v>
      </c>
      <c r="G26" s="23">
        <f t="shared" si="3"/>
        <v>0.393728223</v>
      </c>
      <c r="H26" s="23">
        <f t="shared" si="4"/>
        <v>0.606271777</v>
      </c>
      <c r="I26" s="21" t="s">
        <v>73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21" t="s">
        <v>71</v>
      </c>
      <c r="B27" s="21" t="s">
        <v>91</v>
      </c>
      <c r="C27" s="21" t="s">
        <v>93</v>
      </c>
      <c r="D27" s="22">
        <v>215.0</v>
      </c>
      <c r="E27" s="22">
        <v>410.0</v>
      </c>
      <c r="F27" s="22">
        <f t="shared" si="2"/>
        <v>625</v>
      </c>
      <c r="G27" s="23">
        <f t="shared" si="3"/>
        <v>0.344</v>
      </c>
      <c r="H27" s="23">
        <f t="shared" si="4"/>
        <v>0.656</v>
      </c>
      <c r="I27" s="21" t="s">
        <v>73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21" t="s">
        <v>71</v>
      </c>
      <c r="B28" s="21" t="s">
        <v>94</v>
      </c>
      <c r="C28" s="21" t="s">
        <v>95</v>
      </c>
      <c r="D28" s="22">
        <v>226.0</v>
      </c>
      <c r="E28" s="22">
        <v>320.0</v>
      </c>
      <c r="F28" s="22">
        <f t="shared" si="2"/>
        <v>546</v>
      </c>
      <c r="G28" s="23">
        <f t="shared" si="3"/>
        <v>0.4139194139</v>
      </c>
      <c r="H28" s="23">
        <f t="shared" si="4"/>
        <v>0.5860805861</v>
      </c>
      <c r="I28" s="21" t="s">
        <v>73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21" t="s">
        <v>71</v>
      </c>
      <c r="B29" s="21" t="s">
        <v>94</v>
      </c>
      <c r="C29" s="21" t="s">
        <v>96</v>
      </c>
      <c r="D29" s="22">
        <v>123.0</v>
      </c>
      <c r="E29" s="22">
        <v>172.0</v>
      </c>
      <c r="F29" s="22">
        <f t="shared" si="2"/>
        <v>295</v>
      </c>
      <c r="G29" s="23">
        <f t="shared" si="3"/>
        <v>0.4169491525</v>
      </c>
      <c r="H29" s="23">
        <f t="shared" si="4"/>
        <v>0.5830508475</v>
      </c>
      <c r="I29" s="21" t="s">
        <v>73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21" t="s">
        <v>71</v>
      </c>
      <c r="B30" s="21" t="s">
        <v>94</v>
      </c>
      <c r="C30" s="21" t="s">
        <v>97</v>
      </c>
      <c r="D30" s="22">
        <v>103.0</v>
      </c>
      <c r="E30" s="22">
        <v>134.0</v>
      </c>
      <c r="F30" s="22">
        <f t="shared" si="2"/>
        <v>237</v>
      </c>
      <c r="G30" s="23">
        <f t="shared" si="3"/>
        <v>0.4345991561</v>
      </c>
      <c r="H30" s="23">
        <f t="shared" si="4"/>
        <v>0.5654008439</v>
      </c>
      <c r="I30" s="21" t="s">
        <v>73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21" t="s">
        <v>71</v>
      </c>
      <c r="B31" s="21" t="s">
        <v>98</v>
      </c>
      <c r="C31" s="21" t="s">
        <v>98</v>
      </c>
      <c r="D31" s="22">
        <v>41.0</v>
      </c>
      <c r="E31" s="22">
        <v>101.0</v>
      </c>
      <c r="F31" s="22">
        <f t="shared" si="2"/>
        <v>142</v>
      </c>
      <c r="G31" s="23">
        <f t="shared" si="3"/>
        <v>0.2887323944</v>
      </c>
      <c r="H31" s="23">
        <f t="shared" si="4"/>
        <v>0.7112676056</v>
      </c>
      <c r="I31" s="21" t="s">
        <v>73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21" t="s">
        <v>71</v>
      </c>
      <c r="B32" s="21" t="s">
        <v>99</v>
      </c>
      <c r="C32" s="21" t="s">
        <v>99</v>
      </c>
      <c r="D32" s="22">
        <v>66.0</v>
      </c>
      <c r="E32" s="22">
        <v>212.0</v>
      </c>
      <c r="F32" s="22">
        <f t="shared" si="2"/>
        <v>278</v>
      </c>
      <c r="G32" s="23">
        <f t="shared" si="3"/>
        <v>0.2374100719</v>
      </c>
      <c r="H32" s="23">
        <f t="shared" si="4"/>
        <v>0.7625899281</v>
      </c>
      <c r="I32" s="21" t="s">
        <v>73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21" t="s">
        <v>71</v>
      </c>
      <c r="B33" s="21" t="s">
        <v>100</v>
      </c>
      <c r="C33" s="21" t="s">
        <v>101</v>
      </c>
      <c r="D33" s="22">
        <v>265.0</v>
      </c>
      <c r="E33" s="22">
        <v>369.0</v>
      </c>
      <c r="F33" s="22">
        <f t="shared" si="2"/>
        <v>634</v>
      </c>
      <c r="G33" s="23">
        <f t="shared" si="3"/>
        <v>0.4179810726</v>
      </c>
      <c r="H33" s="23">
        <f t="shared" si="4"/>
        <v>0.5820189274</v>
      </c>
      <c r="I33" s="21" t="s">
        <v>73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21" t="s">
        <v>71</v>
      </c>
      <c r="B34" s="21" t="s">
        <v>100</v>
      </c>
      <c r="C34" s="21" t="s">
        <v>102</v>
      </c>
      <c r="D34" s="22">
        <v>248.0</v>
      </c>
      <c r="E34" s="22">
        <v>349.0</v>
      </c>
      <c r="F34" s="22">
        <f t="shared" si="2"/>
        <v>597</v>
      </c>
      <c r="G34" s="23">
        <f t="shared" si="3"/>
        <v>0.4154103853</v>
      </c>
      <c r="H34" s="23">
        <f t="shared" si="4"/>
        <v>0.5845896147</v>
      </c>
      <c r="I34" s="21" t="s">
        <v>73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21" t="s">
        <v>71</v>
      </c>
      <c r="B35" s="21" t="s">
        <v>100</v>
      </c>
      <c r="C35" s="21" t="s">
        <v>103</v>
      </c>
      <c r="D35" s="22">
        <v>268.0</v>
      </c>
      <c r="E35" s="22">
        <v>401.0</v>
      </c>
      <c r="F35" s="22">
        <f t="shared" si="2"/>
        <v>669</v>
      </c>
      <c r="G35" s="23">
        <f t="shared" si="3"/>
        <v>0.4005979073</v>
      </c>
      <c r="H35" s="23">
        <f t="shared" si="4"/>
        <v>0.5994020927</v>
      </c>
      <c r="I35" s="21" t="s">
        <v>73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21" t="s">
        <v>71</v>
      </c>
      <c r="B36" s="21" t="s">
        <v>104</v>
      </c>
      <c r="C36" s="21" t="s">
        <v>105</v>
      </c>
      <c r="D36" s="22">
        <v>287.0</v>
      </c>
      <c r="E36" s="22">
        <v>670.0</v>
      </c>
      <c r="F36" s="22">
        <f t="shared" si="2"/>
        <v>957</v>
      </c>
      <c r="G36" s="23">
        <f t="shared" si="3"/>
        <v>0.2998955068</v>
      </c>
      <c r="H36" s="23">
        <f t="shared" si="4"/>
        <v>0.7001044932</v>
      </c>
      <c r="I36" s="21" t="s">
        <v>73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21" t="s">
        <v>71</v>
      </c>
      <c r="B37" s="21" t="s">
        <v>104</v>
      </c>
      <c r="C37" s="21" t="s">
        <v>106</v>
      </c>
      <c r="D37" s="22">
        <v>212.0</v>
      </c>
      <c r="E37" s="22">
        <v>435.0</v>
      </c>
      <c r="F37" s="22">
        <f t="shared" si="2"/>
        <v>647</v>
      </c>
      <c r="G37" s="23">
        <f t="shared" si="3"/>
        <v>0.3276661515</v>
      </c>
      <c r="H37" s="23">
        <f t="shared" si="4"/>
        <v>0.6723338485</v>
      </c>
      <c r="I37" s="21" t="s">
        <v>73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21" t="s">
        <v>71</v>
      </c>
      <c r="B38" s="21" t="s">
        <v>107</v>
      </c>
      <c r="C38" s="21" t="s">
        <v>108</v>
      </c>
      <c r="D38" s="22">
        <v>130.0</v>
      </c>
      <c r="E38" s="22">
        <v>328.0</v>
      </c>
      <c r="F38" s="22">
        <f t="shared" si="2"/>
        <v>458</v>
      </c>
      <c r="G38" s="23">
        <f t="shared" si="3"/>
        <v>0.2838427948</v>
      </c>
      <c r="H38" s="23">
        <f t="shared" si="4"/>
        <v>0.7161572052</v>
      </c>
      <c r="I38" s="21" t="s">
        <v>73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21" t="s">
        <v>71</v>
      </c>
      <c r="B39" s="21" t="s">
        <v>107</v>
      </c>
      <c r="C39" s="21" t="s">
        <v>109</v>
      </c>
      <c r="D39" s="22">
        <v>120.0</v>
      </c>
      <c r="E39" s="22">
        <v>256.0</v>
      </c>
      <c r="F39" s="22">
        <f t="shared" si="2"/>
        <v>376</v>
      </c>
      <c r="G39" s="23">
        <f t="shared" si="3"/>
        <v>0.3191489362</v>
      </c>
      <c r="H39" s="23">
        <f t="shared" si="4"/>
        <v>0.6808510638</v>
      </c>
      <c r="I39" s="21" t="s">
        <v>73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21" t="s">
        <v>71</v>
      </c>
      <c r="B40" s="21" t="s">
        <v>107</v>
      </c>
      <c r="C40" s="21" t="s">
        <v>110</v>
      </c>
      <c r="D40" s="22">
        <v>407.0</v>
      </c>
      <c r="E40" s="22">
        <v>835.0</v>
      </c>
      <c r="F40" s="22">
        <f t="shared" si="2"/>
        <v>1242</v>
      </c>
      <c r="G40" s="23">
        <f t="shared" si="3"/>
        <v>0.3276972625</v>
      </c>
      <c r="H40" s="23">
        <f t="shared" si="4"/>
        <v>0.6723027375</v>
      </c>
      <c r="I40" s="21" t="s">
        <v>73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21" t="s">
        <v>71</v>
      </c>
      <c r="B41" s="21" t="s">
        <v>111</v>
      </c>
      <c r="C41" s="21" t="s">
        <v>112</v>
      </c>
      <c r="D41" s="22">
        <v>256.0</v>
      </c>
      <c r="E41" s="22">
        <v>369.0</v>
      </c>
      <c r="F41" s="22">
        <f t="shared" si="2"/>
        <v>625</v>
      </c>
      <c r="G41" s="23">
        <f t="shared" si="3"/>
        <v>0.4096</v>
      </c>
      <c r="H41" s="23">
        <f t="shared" si="4"/>
        <v>0.5904</v>
      </c>
      <c r="I41" s="21" t="s">
        <v>73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21" t="s">
        <v>71</v>
      </c>
      <c r="B42" s="21" t="s">
        <v>111</v>
      </c>
      <c r="C42" s="21" t="s">
        <v>113</v>
      </c>
      <c r="D42" s="22">
        <v>295.0</v>
      </c>
      <c r="E42" s="22">
        <v>422.0</v>
      </c>
      <c r="F42" s="22">
        <f t="shared" si="2"/>
        <v>717</v>
      </c>
      <c r="G42" s="23">
        <f t="shared" si="3"/>
        <v>0.4114365411</v>
      </c>
      <c r="H42" s="23">
        <f t="shared" si="4"/>
        <v>0.5885634589</v>
      </c>
      <c r="I42" s="21" t="s">
        <v>73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21" t="s">
        <v>71</v>
      </c>
      <c r="B43" s="21" t="s">
        <v>114</v>
      </c>
      <c r="C43" s="21" t="s">
        <v>114</v>
      </c>
      <c r="D43" s="22">
        <v>141.0</v>
      </c>
      <c r="E43" s="22">
        <v>456.0</v>
      </c>
      <c r="F43" s="22">
        <f t="shared" si="2"/>
        <v>597</v>
      </c>
      <c r="G43" s="23">
        <f t="shared" si="3"/>
        <v>0.2361809045</v>
      </c>
      <c r="H43" s="23">
        <f t="shared" si="4"/>
        <v>0.7638190955</v>
      </c>
      <c r="I43" s="21" t="s">
        <v>73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21" t="s">
        <v>71</v>
      </c>
      <c r="B44" s="21" t="s">
        <v>115</v>
      </c>
      <c r="C44" s="21" t="s">
        <v>116</v>
      </c>
      <c r="D44" s="22">
        <v>270.0</v>
      </c>
      <c r="E44" s="22">
        <v>488.0</v>
      </c>
      <c r="F44" s="22">
        <f t="shared" si="2"/>
        <v>758</v>
      </c>
      <c r="G44" s="23">
        <f t="shared" si="3"/>
        <v>0.3562005277</v>
      </c>
      <c r="H44" s="23">
        <f t="shared" si="4"/>
        <v>0.6437994723</v>
      </c>
      <c r="I44" s="21" t="s">
        <v>73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21" t="s">
        <v>71</v>
      </c>
      <c r="B45" s="21" t="s">
        <v>115</v>
      </c>
      <c r="C45" s="21" t="s">
        <v>117</v>
      </c>
      <c r="D45" s="22">
        <v>426.0</v>
      </c>
      <c r="E45" s="22">
        <v>666.0</v>
      </c>
      <c r="F45" s="22">
        <f t="shared" si="2"/>
        <v>1092</v>
      </c>
      <c r="G45" s="23">
        <f t="shared" si="3"/>
        <v>0.3901098901</v>
      </c>
      <c r="H45" s="23">
        <f t="shared" si="4"/>
        <v>0.6098901099</v>
      </c>
      <c r="I45" s="21" t="s">
        <v>73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21" t="s">
        <v>71</v>
      </c>
      <c r="B46" s="21" t="s">
        <v>115</v>
      </c>
      <c r="C46" s="21" t="s">
        <v>118</v>
      </c>
      <c r="D46" s="22">
        <v>126.0</v>
      </c>
      <c r="E46" s="22">
        <v>216.0</v>
      </c>
      <c r="F46" s="22">
        <f t="shared" si="2"/>
        <v>342</v>
      </c>
      <c r="G46" s="23">
        <f t="shared" si="3"/>
        <v>0.3684210526</v>
      </c>
      <c r="H46" s="23">
        <f t="shared" si="4"/>
        <v>0.6315789474</v>
      </c>
      <c r="I46" s="21" t="s">
        <v>73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21" t="s">
        <v>71</v>
      </c>
      <c r="B47" s="21" t="s">
        <v>119</v>
      </c>
      <c r="C47" s="21" t="s">
        <v>119</v>
      </c>
      <c r="D47" s="22">
        <v>71.0</v>
      </c>
      <c r="E47" s="22">
        <v>138.0</v>
      </c>
      <c r="F47" s="22">
        <f t="shared" si="2"/>
        <v>209</v>
      </c>
      <c r="G47" s="23">
        <f t="shared" si="3"/>
        <v>0.3397129187</v>
      </c>
      <c r="H47" s="23">
        <f t="shared" si="4"/>
        <v>0.6602870813</v>
      </c>
      <c r="I47" s="21" t="s">
        <v>73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21" t="s">
        <v>71</v>
      </c>
      <c r="B48" s="21" t="s">
        <v>120</v>
      </c>
      <c r="C48" s="21" t="s">
        <v>121</v>
      </c>
      <c r="D48" s="22">
        <v>395.0</v>
      </c>
      <c r="E48" s="22">
        <v>582.0</v>
      </c>
      <c r="F48" s="22">
        <f t="shared" si="2"/>
        <v>977</v>
      </c>
      <c r="G48" s="23">
        <f t="shared" si="3"/>
        <v>0.4042988741</v>
      </c>
      <c r="H48" s="23">
        <f t="shared" si="4"/>
        <v>0.5957011259</v>
      </c>
      <c r="I48" s="21" t="s">
        <v>73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21" t="s">
        <v>71</v>
      </c>
      <c r="B49" s="21" t="s">
        <v>120</v>
      </c>
      <c r="C49" s="21" t="s">
        <v>122</v>
      </c>
      <c r="D49" s="22">
        <v>280.0</v>
      </c>
      <c r="E49" s="22">
        <v>449.0</v>
      </c>
      <c r="F49" s="22">
        <f t="shared" si="2"/>
        <v>729</v>
      </c>
      <c r="G49" s="23">
        <f t="shared" si="3"/>
        <v>0.3840877915</v>
      </c>
      <c r="H49" s="23">
        <f t="shared" si="4"/>
        <v>0.6159122085</v>
      </c>
      <c r="I49" s="21" t="s">
        <v>73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24" t="s">
        <v>71</v>
      </c>
      <c r="B50" s="24" t="s">
        <v>120</v>
      </c>
      <c r="C50" s="24" t="s">
        <v>123</v>
      </c>
      <c r="D50" s="25">
        <v>645.0</v>
      </c>
      <c r="E50" s="25">
        <v>1060.0</v>
      </c>
      <c r="F50" s="25">
        <f t="shared" si="2"/>
        <v>1705</v>
      </c>
      <c r="G50" s="26">
        <f t="shared" si="3"/>
        <v>0.3782991202</v>
      </c>
      <c r="H50" s="26">
        <f t="shared" si="4"/>
        <v>0.6217008798</v>
      </c>
      <c r="I50" s="24" t="s">
        <v>83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24" t="s">
        <v>71</v>
      </c>
      <c r="B51" s="24" t="s">
        <v>120</v>
      </c>
      <c r="C51" s="24" t="s">
        <v>124</v>
      </c>
      <c r="D51" s="25">
        <v>645.0</v>
      </c>
      <c r="E51" s="25">
        <v>1060.0</v>
      </c>
      <c r="F51" s="25">
        <f t="shared" si="2"/>
        <v>1705</v>
      </c>
      <c r="G51" s="26">
        <f t="shared" si="3"/>
        <v>0.3782991202</v>
      </c>
      <c r="H51" s="26">
        <f t="shared" si="4"/>
        <v>0.6217008798</v>
      </c>
      <c r="I51" s="24" t="s">
        <v>83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24" t="s">
        <v>71</v>
      </c>
      <c r="B52" s="24" t="s">
        <v>120</v>
      </c>
      <c r="C52" s="24" t="s">
        <v>125</v>
      </c>
      <c r="D52" s="25">
        <v>645.0</v>
      </c>
      <c r="E52" s="25">
        <v>1060.0</v>
      </c>
      <c r="F52" s="25">
        <f t="shared" si="2"/>
        <v>1705</v>
      </c>
      <c r="G52" s="26">
        <f t="shared" si="3"/>
        <v>0.3782991202</v>
      </c>
      <c r="H52" s="26">
        <f t="shared" si="4"/>
        <v>0.6217008798</v>
      </c>
      <c r="I52" s="24" t="s">
        <v>83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21" t="s">
        <v>71</v>
      </c>
      <c r="B53" s="21" t="s">
        <v>126</v>
      </c>
      <c r="C53" s="21" t="s">
        <v>127</v>
      </c>
      <c r="D53" s="22">
        <v>140.0</v>
      </c>
      <c r="E53" s="22">
        <v>155.0</v>
      </c>
      <c r="F53" s="22">
        <f t="shared" si="2"/>
        <v>295</v>
      </c>
      <c r="G53" s="23">
        <f t="shared" si="3"/>
        <v>0.4745762712</v>
      </c>
      <c r="H53" s="23">
        <f t="shared" si="4"/>
        <v>0.5254237288</v>
      </c>
      <c r="I53" s="21" t="s">
        <v>73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21" t="s">
        <v>71</v>
      </c>
      <c r="B54" s="21" t="s">
        <v>126</v>
      </c>
      <c r="C54" s="21" t="s">
        <v>128</v>
      </c>
      <c r="D54" s="22">
        <v>159.0</v>
      </c>
      <c r="E54" s="22">
        <v>164.0</v>
      </c>
      <c r="F54" s="22">
        <f t="shared" si="2"/>
        <v>323</v>
      </c>
      <c r="G54" s="23">
        <f t="shared" si="3"/>
        <v>0.4922600619</v>
      </c>
      <c r="H54" s="23">
        <f t="shared" si="4"/>
        <v>0.5077399381</v>
      </c>
      <c r="I54" s="21" t="s">
        <v>73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21" t="s">
        <v>71</v>
      </c>
      <c r="B55" s="21" t="s">
        <v>126</v>
      </c>
      <c r="C55" s="21" t="s">
        <v>129</v>
      </c>
      <c r="D55" s="22">
        <v>101.0</v>
      </c>
      <c r="E55" s="22">
        <v>169.0</v>
      </c>
      <c r="F55" s="22">
        <f t="shared" si="2"/>
        <v>270</v>
      </c>
      <c r="G55" s="23">
        <f t="shared" si="3"/>
        <v>0.3740740741</v>
      </c>
      <c r="H55" s="23">
        <f t="shared" si="4"/>
        <v>0.6259259259</v>
      </c>
      <c r="I55" s="21" t="s">
        <v>73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21" t="s">
        <v>71</v>
      </c>
      <c r="B56" s="21" t="s">
        <v>126</v>
      </c>
      <c r="C56" s="21" t="s">
        <v>130</v>
      </c>
      <c r="D56" s="22">
        <v>187.0</v>
      </c>
      <c r="E56" s="22">
        <v>259.0</v>
      </c>
      <c r="F56" s="22">
        <f t="shared" si="2"/>
        <v>446</v>
      </c>
      <c r="G56" s="23">
        <f t="shared" si="3"/>
        <v>0.4192825112</v>
      </c>
      <c r="H56" s="23">
        <f t="shared" si="4"/>
        <v>0.5807174888</v>
      </c>
      <c r="I56" s="21" t="s">
        <v>73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21" t="s">
        <v>71</v>
      </c>
      <c r="B57" s="21" t="s">
        <v>131</v>
      </c>
      <c r="C57" s="21" t="s">
        <v>132</v>
      </c>
      <c r="D57" s="22">
        <v>289.0</v>
      </c>
      <c r="E57" s="22">
        <v>553.0</v>
      </c>
      <c r="F57" s="22">
        <f t="shared" si="2"/>
        <v>842</v>
      </c>
      <c r="G57" s="23">
        <f t="shared" si="3"/>
        <v>0.3432304038</v>
      </c>
      <c r="H57" s="23">
        <f t="shared" si="4"/>
        <v>0.6567695962</v>
      </c>
      <c r="I57" s="21" t="s">
        <v>73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21" t="s">
        <v>71</v>
      </c>
      <c r="B58" s="21" t="s">
        <v>131</v>
      </c>
      <c r="C58" s="21" t="s">
        <v>133</v>
      </c>
      <c r="D58" s="22">
        <v>250.0</v>
      </c>
      <c r="E58" s="22">
        <v>539.0</v>
      </c>
      <c r="F58" s="22">
        <f t="shared" si="2"/>
        <v>789</v>
      </c>
      <c r="G58" s="23">
        <f t="shared" si="3"/>
        <v>0.3168567807</v>
      </c>
      <c r="H58" s="23">
        <f t="shared" si="4"/>
        <v>0.6831432193</v>
      </c>
      <c r="I58" s="21" t="s">
        <v>73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21" t="s">
        <v>71</v>
      </c>
      <c r="B59" s="21" t="s">
        <v>131</v>
      </c>
      <c r="C59" s="21" t="s">
        <v>134</v>
      </c>
      <c r="D59" s="22">
        <v>250.0</v>
      </c>
      <c r="E59" s="22">
        <v>539.0</v>
      </c>
      <c r="F59" s="22">
        <f t="shared" si="2"/>
        <v>789</v>
      </c>
      <c r="G59" s="23">
        <f t="shared" si="3"/>
        <v>0.3168567807</v>
      </c>
      <c r="H59" s="23">
        <f t="shared" si="4"/>
        <v>0.6831432193</v>
      </c>
      <c r="I59" s="21" t="s">
        <v>73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21" t="s">
        <v>71</v>
      </c>
      <c r="B60" s="21" t="s">
        <v>135</v>
      </c>
      <c r="C60" s="21" t="s">
        <v>136</v>
      </c>
      <c r="D60" s="22">
        <v>214.0</v>
      </c>
      <c r="E60" s="22">
        <v>430.0</v>
      </c>
      <c r="F60" s="22">
        <f t="shared" si="2"/>
        <v>644</v>
      </c>
      <c r="G60" s="23">
        <f t="shared" si="3"/>
        <v>0.3322981366</v>
      </c>
      <c r="H60" s="23">
        <f t="shared" si="4"/>
        <v>0.6677018634</v>
      </c>
      <c r="I60" s="21" t="s">
        <v>73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21" t="s">
        <v>71</v>
      </c>
      <c r="B61" s="21" t="s">
        <v>135</v>
      </c>
      <c r="C61" s="21" t="s">
        <v>137</v>
      </c>
      <c r="D61" s="22">
        <v>91.0</v>
      </c>
      <c r="E61" s="22">
        <v>220.0</v>
      </c>
      <c r="F61" s="22">
        <f t="shared" si="2"/>
        <v>311</v>
      </c>
      <c r="G61" s="23">
        <f t="shared" si="3"/>
        <v>0.2926045016</v>
      </c>
      <c r="H61" s="23">
        <f t="shared" si="4"/>
        <v>0.7073954984</v>
      </c>
      <c r="I61" s="21" t="s">
        <v>73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21" t="s">
        <v>71</v>
      </c>
      <c r="B62" s="21" t="s">
        <v>138</v>
      </c>
      <c r="C62" s="21" t="s">
        <v>138</v>
      </c>
      <c r="D62" s="22">
        <v>39.0</v>
      </c>
      <c r="E62" s="22">
        <v>63.0</v>
      </c>
      <c r="F62" s="22">
        <f t="shared" si="2"/>
        <v>102</v>
      </c>
      <c r="G62" s="23">
        <f t="shared" si="3"/>
        <v>0.3823529412</v>
      </c>
      <c r="H62" s="23">
        <f t="shared" si="4"/>
        <v>0.6176470588</v>
      </c>
      <c r="I62" s="21" t="s">
        <v>73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21" t="s">
        <v>139</v>
      </c>
      <c r="B63" s="21" t="s">
        <v>140</v>
      </c>
      <c r="C63" s="21" t="s">
        <v>140</v>
      </c>
      <c r="D63" s="22">
        <v>537.0</v>
      </c>
      <c r="E63" s="22">
        <v>629.0</v>
      </c>
      <c r="F63" s="22">
        <f t="shared" si="2"/>
        <v>1166</v>
      </c>
      <c r="G63" s="23">
        <f t="shared" si="3"/>
        <v>0.4605488851</v>
      </c>
      <c r="H63" s="23">
        <f t="shared" si="4"/>
        <v>0.5394511149</v>
      </c>
      <c r="I63" s="21" t="s">
        <v>73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21" t="s">
        <v>139</v>
      </c>
      <c r="B64" s="21" t="s">
        <v>141</v>
      </c>
      <c r="C64" s="21" t="s">
        <v>142</v>
      </c>
      <c r="D64" s="22">
        <v>203.0</v>
      </c>
      <c r="E64" s="22">
        <v>76.0</v>
      </c>
      <c r="F64" s="22">
        <f t="shared" si="2"/>
        <v>279</v>
      </c>
      <c r="G64" s="23">
        <f t="shared" si="3"/>
        <v>0.7275985663</v>
      </c>
      <c r="H64" s="23">
        <f t="shared" si="4"/>
        <v>0.2724014337</v>
      </c>
      <c r="I64" s="21" t="s">
        <v>73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21" t="s">
        <v>139</v>
      </c>
      <c r="B65" s="21" t="s">
        <v>141</v>
      </c>
      <c r="C65" s="21" t="s">
        <v>143</v>
      </c>
      <c r="D65" s="22">
        <v>66.0</v>
      </c>
      <c r="E65" s="22">
        <v>33.0</v>
      </c>
      <c r="F65" s="22">
        <f t="shared" si="2"/>
        <v>99</v>
      </c>
      <c r="G65" s="23">
        <f t="shared" si="3"/>
        <v>0.6666666667</v>
      </c>
      <c r="H65" s="23">
        <f t="shared" si="4"/>
        <v>0.3333333333</v>
      </c>
      <c r="I65" s="21" t="s">
        <v>73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21" t="s">
        <v>139</v>
      </c>
      <c r="B66" s="21" t="s">
        <v>141</v>
      </c>
      <c r="C66" s="21" t="s">
        <v>144</v>
      </c>
      <c r="D66" s="22">
        <v>116.0</v>
      </c>
      <c r="E66" s="22">
        <v>47.0</v>
      </c>
      <c r="F66" s="22">
        <f t="shared" si="2"/>
        <v>163</v>
      </c>
      <c r="G66" s="23">
        <f t="shared" si="3"/>
        <v>0.7116564417</v>
      </c>
      <c r="H66" s="23">
        <f t="shared" si="4"/>
        <v>0.2883435583</v>
      </c>
      <c r="I66" s="21" t="s">
        <v>73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21" t="s">
        <v>139</v>
      </c>
      <c r="B67" s="21" t="s">
        <v>141</v>
      </c>
      <c r="C67" s="21" t="s">
        <v>145</v>
      </c>
      <c r="D67" s="22">
        <v>120.0</v>
      </c>
      <c r="E67" s="22">
        <v>53.0</v>
      </c>
      <c r="F67" s="22">
        <f t="shared" si="2"/>
        <v>173</v>
      </c>
      <c r="G67" s="23">
        <f t="shared" si="3"/>
        <v>0.6936416185</v>
      </c>
      <c r="H67" s="23">
        <f t="shared" si="4"/>
        <v>0.3063583815</v>
      </c>
      <c r="I67" s="21" t="s">
        <v>73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21" t="s">
        <v>139</v>
      </c>
      <c r="B68" s="21" t="s">
        <v>141</v>
      </c>
      <c r="C68" s="21" t="s">
        <v>146</v>
      </c>
      <c r="D68" s="22">
        <v>80.0</v>
      </c>
      <c r="E68" s="22">
        <v>29.0</v>
      </c>
      <c r="F68" s="22">
        <f t="shared" si="2"/>
        <v>109</v>
      </c>
      <c r="G68" s="23">
        <f t="shared" si="3"/>
        <v>0.7339449541</v>
      </c>
      <c r="H68" s="23">
        <f t="shared" si="4"/>
        <v>0.2660550459</v>
      </c>
      <c r="I68" s="21" t="s">
        <v>73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21" t="s">
        <v>139</v>
      </c>
      <c r="B69" s="21" t="s">
        <v>141</v>
      </c>
      <c r="C69" s="21" t="s">
        <v>147</v>
      </c>
      <c r="D69" s="22">
        <v>183.0</v>
      </c>
      <c r="E69" s="22">
        <v>75.0</v>
      </c>
      <c r="F69" s="22">
        <f t="shared" si="2"/>
        <v>258</v>
      </c>
      <c r="G69" s="23">
        <f t="shared" si="3"/>
        <v>0.7093023256</v>
      </c>
      <c r="H69" s="23">
        <f t="shared" si="4"/>
        <v>0.2906976744</v>
      </c>
      <c r="I69" s="21" t="s">
        <v>73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21" t="s">
        <v>139</v>
      </c>
      <c r="B70" s="21" t="s">
        <v>141</v>
      </c>
      <c r="C70" s="21" t="s">
        <v>148</v>
      </c>
      <c r="D70" s="22">
        <v>479.0</v>
      </c>
      <c r="E70" s="22">
        <v>127.0</v>
      </c>
      <c r="F70" s="22">
        <f t="shared" si="2"/>
        <v>606</v>
      </c>
      <c r="G70" s="23">
        <f t="shared" si="3"/>
        <v>0.7904290429</v>
      </c>
      <c r="H70" s="23">
        <f t="shared" si="4"/>
        <v>0.2095709571</v>
      </c>
      <c r="I70" s="21" t="s">
        <v>73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21" t="s">
        <v>139</v>
      </c>
      <c r="B71" s="21" t="s">
        <v>141</v>
      </c>
      <c r="C71" s="21" t="s">
        <v>149</v>
      </c>
      <c r="D71" s="22">
        <v>250.0</v>
      </c>
      <c r="E71" s="22">
        <v>119.0</v>
      </c>
      <c r="F71" s="22">
        <f t="shared" si="2"/>
        <v>369</v>
      </c>
      <c r="G71" s="23">
        <f t="shared" si="3"/>
        <v>0.6775067751</v>
      </c>
      <c r="H71" s="23">
        <f t="shared" si="4"/>
        <v>0.3224932249</v>
      </c>
      <c r="I71" s="21" t="s">
        <v>73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21" t="s">
        <v>139</v>
      </c>
      <c r="B72" s="21" t="s">
        <v>141</v>
      </c>
      <c r="C72" s="21" t="s">
        <v>150</v>
      </c>
      <c r="D72" s="22">
        <v>400.0</v>
      </c>
      <c r="E72" s="22">
        <v>243.0</v>
      </c>
      <c r="F72" s="22">
        <f t="shared" si="2"/>
        <v>643</v>
      </c>
      <c r="G72" s="23">
        <f t="shared" si="3"/>
        <v>0.6220839813</v>
      </c>
      <c r="H72" s="23">
        <f t="shared" si="4"/>
        <v>0.3779160187</v>
      </c>
      <c r="I72" s="21" t="s">
        <v>73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21" t="s">
        <v>139</v>
      </c>
      <c r="B73" s="21" t="s">
        <v>141</v>
      </c>
      <c r="C73" s="21" t="s">
        <v>151</v>
      </c>
      <c r="D73" s="22">
        <v>349.0</v>
      </c>
      <c r="E73" s="22">
        <v>194.0</v>
      </c>
      <c r="F73" s="22">
        <f t="shared" si="2"/>
        <v>543</v>
      </c>
      <c r="G73" s="23">
        <f t="shared" si="3"/>
        <v>0.6427255985</v>
      </c>
      <c r="H73" s="23">
        <f t="shared" si="4"/>
        <v>0.3572744015</v>
      </c>
      <c r="I73" s="21" t="s">
        <v>73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21" t="s">
        <v>139</v>
      </c>
      <c r="B74" s="21" t="s">
        <v>141</v>
      </c>
      <c r="C74" s="21" t="s">
        <v>152</v>
      </c>
      <c r="D74" s="22">
        <v>207.0</v>
      </c>
      <c r="E74" s="22">
        <v>90.0</v>
      </c>
      <c r="F74" s="22">
        <f t="shared" si="2"/>
        <v>297</v>
      </c>
      <c r="G74" s="23">
        <f t="shared" si="3"/>
        <v>0.696969697</v>
      </c>
      <c r="H74" s="23">
        <f t="shared" si="4"/>
        <v>0.303030303</v>
      </c>
      <c r="I74" s="21" t="s">
        <v>73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21" t="s">
        <v>139</v>
      </c>
      <c r="B75" s="21" t="s">
        <v>141</v>
      </c>
      <c r="C75" s="21" t="s">
        <v>153</v>
      </c>
      <c r="D75" s="22">
        <v>244.0</v>
      </c>
      <c r="E75" s="22">
        <v>131.0</v>
      </c>
      <c r="F75" s="22">
        <f t="shared" si="2"/>
        <v>375</v>
      </c>
      <c r="G75" s="23">
        <f t="shared" si="3"/>
        <v>0.6506666667</v>
      </c>
      <c r="H75" s="23">
        <f t="shared" si="4"/>
        <v>0.3493333333</v>
      </c>
      <c r="I75" s="21" t="s">
        <v>73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21" t="s">
        <v>139</v>
      </c>
      <c r="B76" s="21" t="s">
        <v>141</v>
      </c>
      <c r="C76" s="21" t="s">
        <v>154</v>
      </c>
      <c r="D76" s="22">
        <v>318.0</v>
      </c>
      <c r="E76" s="22">
        <v>173.0</v>
      </c>
      <c r="F76" s="22">
        <f t="shared" si="2"/>
        <v>491</v>
      </c>
      <c r="G76" s="23">
        <f t="shared" si="3"/>
        <v>0.6476578411</v>
      </c>
      <c r="H76" s="23">
        <f t="shared" si="4"/>
        <v>0.3523421589</v>
      </c>
      <c r="I76" s="21" t="s">
        <v>73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21" t="s">
        <v>139</v>
      </c>
      <c r="B77" s="21" t="s">
        <v>141</v>
      </c>
      <c r="C77" s="21" t="s">
        <v>155</v>
      </c>
      <c r="D77" s="22">
        <v>366.0</v>
      </c>
      <c r="E77" s="22">
        <v>266.0</v>
      </c>
      <c r="F77" s="22">
        <f t="shared" si="2"/>
        <v>632</v>
      </c>
      <c r="G77" s="23">
        <f t="shared" si="3"/>
        <v>0.5791139241</v>
      </c>
      <c r="H77" s="23">
        <f t="shared" si="4"/>
        <v>0.4208860759</v>
      </c>
      <c r="I77" s="21" t="s">
        <v>73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21" t="s">
        <v>139</v>
      </c>
      <c r="B78" s="21" t="s">
        <v>141</v>
      </c>
      <c r="C78" s="21" t="s">
        <v>156</v>
      </c>
      <c r="D78" s="22">
        <v>219.0</v>
      </c>
      <c r="E78" s="22">
        <v>135.0</v>
      </c>
      <c r="F78" s="22">
        <f t="shared" si="2"/>
        <v>354</v>
      </c>
      <c r="G78" s="23">
        <f t="shared" si="3"/>
        <v>0.6186440678</v>
      </c>
      <c r="H78" s="23">
        <f t="shared" si="4"/>
        <v>0.3813559322</v>
      </c>
      <c r="I78" s="21" t="s">
        <v>73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21" t="s">
        <v>139</v>
      </c>
      <c r="B79" s="21" t="s">
        <v>141</v>
      </c>
      <c r="C79" s="21" t="s">
        <v>157</v>
      </c>
      <c r="D79" s="22">
        <v>185.0</v>
      </c>
      <c r="E79" s="22">
        <v>78.0</v>
      </c>
      <c r="F79" s="22">
        <f t="shared" si="2"/>
        <v>263</v>
      </c>
      <c r="G79" s="23">
        <f t="shared" si="3"/>
        <v>0.7034220532</v>
      </c>
      <c r="H79" s="23">
        <f t="shared" si="4"/>
        <v>0.2965779468</v>
      </c>
      <c r="I79" s="21" t="s">
        <v>73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21" t="s">
        <v>139</v>
      </c>
      <c r="B80" s="21" t="s">
        <v>141</v>
      </c>
      <c r="C80" s="21" t="s">
        <v>158</v>
      </c>
      <c r="D80" s="22">
        <v>132.0</v>
      </c>
      <c r="E80" s="22">
        <v>72.0</v>
      </c>
      <c r="F80" s="22">
        <f t="shared" si="2"/>
        <v>204</v>
      </c>
      <c r="G80" s="23">
        <f t="shared" si="3"/>
        <v>0.6470588235</v>
      </c>
      <c r="H80" s="23">
        <f t="shared" si="4"/>
        <v>0.3529411765</v>
      </c>
      <c r="I80" s="21" t="s">
        <v>73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21" t="s">
        <v>139</v>
      </c>
      <c r="B81" s="21" t="s">
        <v>141</v>
      </c>
      <c r="C81" s="21" t="s">
        <v>159</v>
      </c>
      <c r="D81" s="22">
        <v>199.0</v>
      </c>
      <c r="E81" s="22">
        <v>98.0</v>
      </c>
      <c r="F81" s="22">
        <f t="shared" si="2"/>
        <v>297</v>
      </c>
      <c r="G81" s="23">
        <f t="shared" si="3"/>
        <v>0.67003367</v>
      </c>
      <c r="H81" s="23">
        <f t="shared" si="4"/>
        <v>0.32996633</v>
      </c>
      <c r="I81" s="21" t="s">
        <v>73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21" t="s">
        <v>139</v>
      </c>
      <c r="B82" s="21" t="s">
        <v>141</v>
      </c>
      <c r="C82" s="21" t="s">
        <v>160</v>
      </c>
      <c r="D82" s="22">
        <v>167.0</v>
      </c>
      <c r="E82" s="22">
        <v>78.0</v>
      </c>
      <c r="F82" s="22">
        <f t="shared" si="2"/>
        <v>245</v>
      </c>
      <c r="G82" s="23">
        <f t="shared" si="3"/>
        <v>0.6816326531</v>
      </c>
      <c r="H82" s="23">
        <f t="shared" si="4"/>
        <v>0.3183673469</v>
      </c>
      <c r="I82" s="21" t="s">
        <v>73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21" t="s">
        <v>139</v>
      </c>
      <c r="B83" s="21" t="s">
        <v>141</v>
      </c>
      <c r="C83" s="21" t="s">
        <v>161</v>
      </c>
      <c r="D83" s="22">
        <v>321.0</v>
      </c>
      <c r="E83" s="22">
        <v>172.0</v>
      </c>
      <c r="F83" s="22">
        <f t="shared" si="2"/>
        <v>493</v>
      </c>
      <c r="G83" s="23">
        <f t="shared" si="3"/>
        <v>0.6511156187</v>
      </c>
      <c r="H83" s="23">
        <f t="shared" si="4"/>
        <v>0.3488843813</v>
      </c>
      <c r="I83" s="21" t="s">
        <v>73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21" t="s">
        <v>139</v>
      </c>
      <c r="B84" s="21" t="s">
        <v>141</v>
      </c>
      <c r="C84" s="21" t="s">
        <v>162</v>
      </c>
      <c r="D84" s="22">
        <v>318.0</v>
      </c>
      <c r="E84" s="22">
        <v>167.0</v>
      </c>
      <c r="F84" s="22">
        <f t="shared" si="2"/>
        <v>485</v>
      </c>
      <c r="G84" s="23">
        <f t="shared" si="3"/>
        <v>0.6556701031</v>
      </c>
      <c r="H84" s="23">
        <f t="shared" si="4"/>
        <v>0.3443298969</v>
      </c>
      <c r="I84" s="21" t="s">
        <v>73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21" t="s">
        <v>139</v>
      </c>
      <c r="B85" s="21" t="s">
        <v>141</v>
      </c>
      <c r="C85" s="21" t="s">
        <v>163</v>
      </c>
      <c r="D85" s="22">
        <v>296.0</v>
      </c>
      <c r="E85" s="22">
        <v>233.0</v>
      </c>
      <c r="F85" s="22">
        <f t="shared" si="2"/>
        <v>529</v>
      </c>
      <c r="G85" s="23">
        <f t="shared" si="3"/>
        <v>0.5595463138</v>
      </c>
      <c r="H85" s="23">
        <f t="shared" si="4"/>
        <v>0.4404536862</v>
      </c>
      <c r="I85" s="21" t="s">
        <v>73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21" t="s">
        <v>139</v>
      </c>
      <c r="B86" s="21" t="s">
        <v>141</v>
      </c>
      <c r="C86" s="21" t="s">
        <v>164</v>
      </c>
      <c r="D86" s="22">
        <v>386.0</v>
      </c>
      <c r="E86" s="22">
        <v>225.0</v>
      </c>
      <c r="F86" s="22">
        <f t="shared" si="2"/>
        <v>611</v>
      </c>
      <c r="G86" s="23">
        <f t="shared" si="3"/>
        <v>0.6317512275</v>
      </c>
      <c r="H86" s="23">
        <f t="shared" si="4"/>
        <v>0.3682487725</v>
      </c>
      <c r="I86" s="21" t="s">
        <v>73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21" t="s">
        <v>139</v>
      </c>
      <c r="B87" s="21" t="s">
        <v>141</v>
      </c>
      <c r="C87" s="21" t="s">
        <v>165</v>
      </c>
      <c r="D87" s="22">
        <v>381.0</v>
      </c>
      <c r="E87" s="22">
        <v>231.0</v>
      </c>
      <c r="F87" s="22">
        <f t="shared" si="2"/>
        <v>612</v>
      </c>
      <c r="G87" s="23">
        <f t="shared" si="3"/>
        <v>0.6225490196</v>
      </c>
      <c r="H87" s="23">
        <f t="shared" si="4"/>
        <v>0.3774509804</v>
      </c>
      <c r="I87" s="21" t="s">
        <v>73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21" t="s">
        <v>139</v>
      </c>
      <c r="B88" s="21" t="s">
        <v>141</v>
      </c>
      <c r="C88" s="21" t="s">
        <v>166</v>
      </c>
      <c r="D88" s="22">
        <v>265.0</v>
      </c>
      <c r="E88" s="22">
        <v>186.0</v>
      </c>
      <c r="F88" s="22">
        <f t="shared" si="2"/>
        <v>451</v>
      </c>
      <c r="G88" s="23">
        <f t="shared" si="3"/>
        <v>0.5875831486</v>
      </c>
      <c r="H88" s="23">
        <f t="shared" si="4"/>
        <v>0.4124168514</v>
      </c>
      <c r="I88" s="21" t="s">
        <v>73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21" t="s">
        <v>139</v>
      </c>
      <c r="B89" s="21" t="s">
        <v>141</v>
      </c>
      <c r="C89" s="21" t="s">
        <v>167</v>
      </c>
      <c r="D89" s="22">
        <v>218.0</v>
      </c>
      <c r="E89" s="22">
        <v>123.0</v>
      </c>
      <c r="F89" s="22">
        <f t="shared" si="2"/>
        <v>341</v>
      </c>
      <c r="G89" s="23">
        <f t="shared" si="3"/>
        <v>0.6392961877</v>
      </c>
      <c r="H89" s="23">
        <f t="shared" si="4"/>
        <v>0.3607038123</v>
      </c>
      <c r="I89" s="21" t="s">
        <v>73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21" t="s">
        <v>139</v>
      </c>
      <c r="B90" s="21" t="s">
        <v>141</v>
      </c>
      <c r="C90" s="21" t="s">
        <v>168</v>
      </c>
      <c r="D90" s="22">
        <v>441.0</v>
      </c>
      <c r="E90" s="22">
        <v>293.0</v>
      </c>
      <c r="F90" s="22">
        <f t="shared" si="2"/>
        <v>734</v>
      </c>
      <c r="G90" s="23">
        <f t="shared" si="3"/>
        <v>0.6008174387</v>
      </c>
      <c r="H90" s="23">
        <f t="shared" si="4"/>
        <v>0.3991825613</v>
      </c>
      <c r="I90" s="21" t="s">
        <v>73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21" t="s">
        <v>139</v>
      </c>
      <c r="B91" s="21" t="s">
        <v>141</v>
      </c>
      <c r="C91" s="21" t="s">
        <v>169</v>
      </c>
      <c r="D91" s="22">
        <v>334.0</v>
      </c>
      <c r="E91" s="22">
        <v>152.0</v>
      </c>
      <c r="F91" s="22">
        <f t="shared" si="2"/>
        <v>486</v>
      </c>
      <c r="G91" s="23">
        <f t="shared" si="3"/>
        <v>0.6872427984</v>
      </c>
      <c r="H91" s="23">
        <f t="shared" si="4"/>
        <v>0.3127572016</v>
      </c>
      <c r="I91" s="21" t="s">
        <v>73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21" t="s">
        <v>139</v>
      </c>
      <c r="B92" s="21" t="s">
        <v>141</v>
      </c>
      <c r="C92" s="21" t="s">
        <v>170</v>
      </c>
      <c r="D92" s="22">
        <v>433.0</v>
      </c>
      <c r="E92" s="22">
        <v>224.0</v>
      </c>
      <c r="F92" s="22">
        <f t="shared" si="2"/>
        <v>657</v>
      </c>
      <c r="G92" s="23">
        <f t="shared" si="3"/>
        <v>0.6590563166</v>
      </c>
      <c r="H92" s="23">
        <f t="shared" si="4"/>
        <v>0.3409436834</v>
      </c>
      <c r="I92" s="21" t="s">
        <v>73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21" t="s">
        <v>139</v>
      </c>
      <c r="B93" s="21" t="s">
        <v>141</v>
      </c>
      <c r="C93" s="21" t="s">
        <v>171</v>
      </c>
      <c r="D93" s="22">
        <v>468.0</v>
      </c>
      <c r="E93" s="22">
        <v>252.0</v>
      </c>
      <c r="F93" s="22">
        <f t="shared" si="2"/>
        <v>720</v>
      </c>
      <c r="G93" s="23">
        <f t="shared" si="3"/>
        <v>0.65</v>
      </c>
      <c r="H93" s="23">
        <f t="shared" si="4"/>
        <v>0.35</v>
      </c>
      <c r="I93" s="21" t="s">
        <v>73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24" t="s">
        <v>139</v>
      </c>
      <c r="B94" s="24" t="s">
        <v>141</v>
      </c>
      <c r="C94" s="24" t="s">
        <v>172</v>
      </c>
      <c r="D94" s="25">
        <v>2911.0</v>
      </c>
      <c r="E94" s="25">
        <v>1598.0</v>
      </c>
      <c r="F94" s="25">
        <f t="shared" si="2"/>
        <v>4509</v>
      </c>
      <c r="G94" s="26">
        <f t="shared" si="3"/>
        <v>0.6455976935</v>
      </c>
      <c r="H94" s="26">
        <f t="shared" si="4"/>
        <v>0.3544023065</v>
      </c>
      <c r="I94" s="24" t="s">
        <v>83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24" t="s">
        <v>139</v>
      </c>
      <c r="B95" s="24" t="s">
        <v>141</v>
      </c>
      <c r="C95" s="24" t="s">
        <v>173</v>
      </c>
      <c r="D95" s="25">
        <v>2911.0</v>
      </c>
      <c r="E95" s="25">
        <v>1598.0</v>
      </c>
      <c r="F95" s="25">
        <f t="shared" si="2"/>
        <v>4509</v>
      </c>
      <c r="G95" s="26">
        <f t="shared" si="3"/>
        <v>0.6455976935</v>
      </c>
      <c r="H95" s="26">
        <f t="shared" si="4"/>
        <v>0.3544023065</v>
      </c>
      <c r="I95" s="24" t="s">
        <v>83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21" t="s">
        <v>139</v>
      </c>
      <c r="B96" s="21" t="s">
        <v>141</v>
      </c>
      <c r="C96" s="21" t="s">
        <v>174</v>
      </c>
      <c r="D96" s="22">
        <v>393.0</v>
      </c>
      <c r="E96" s="22">
        <v>192.0</v>
      </c>
      <c r="F96" s="22">
        <f t="shared" si="2"/>
        <v>585</v>
      </c>
      <c r="G96" s="23">
        <f t="shared" si="3"/>
        <v>0.6717948718</v>
      </c>
      <c r="H96" s="23">
        <f t="shared" si="4"/>
        <v>0.3282051282</v>
      </c>
      <c r="I96" s="21" t="s">
        <v>73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24" t="s">
        <v>139</v>
      </c>
      <c r="B97" s="24" t="s">
        <v>141</v>
      </c>
      <c r="C97" s="24" t="s">
        <v>175</v>
      </c>
      <c r="D97" s="25">
        <v>2911.0</v>
      </c>
      <c r="E97" s="25">
        <v>1598.0</v>
      </c>
      <c r="F97" s="25">
        <f t="shared" si="2"/>
        <v>4509</v>
      </c>
      <c r="G97" s="26">
        <f t="shared" si="3"/>
        <v>0.6455976935</v>
      </c>
      <c r="H97" s="26">
        <f t="shared" si="4"/>
        <v>0.3544023065</v>
      </c>
      <c r="I97" s="24" t="s">
        <v>83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24" t="s">
        <v>139</v>
      </c>
      <c r="B98" s="24" t="s">
        <v>141</v>
      </c>
      <c r="C98" s="24" t="s">
        <v>176</v>
      </c>
      <c r="D98" s="25">
        <v>2911.0</v>
      </c>
      <c r="E98" s="25">
        <v>1598.0</v>
      </c>
      <c r="F98" s="25">
        <f t="shared" si="2"/>
        <v>4509</v>
      </c>
      <c r="G98" s="26">
        <f t="shared" si="3"/>
        <v>0.6455976935</v>
      </c>
      <c r="H98" s="26">
        <f t="shared" si="4"/>
        <v>0.3544023065</v>
      </c>
      <c r="I98" s="24" t="s">
        <v>83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21" t="s">
        <v>139</v>
      </c>
      <c r="B99" s="21" t="s">
        <v>141</v>
      </c>
      <c r="C99" s="21" t="s">
        <v>177</v>
      </c>
      <c r="D99" s="22">
        <v>201.0</v>
      </c>
      <c r="E99" s="22">
        <v>152.0</v>
      </c>
      <c r="F99" s="22">
        <f t="shared" si="2"/>
        <v>353</v>
      </c>
      <c r="G99" s="23">
        <f t="shared" si="3"/>
        <v>0.5694050992</v>
      </c>
      <c r="H99" s="23">
        <f t="shared" si="4"/>
        <v>0.4305949008</v>
      </c>
      <c r="I99" s="21" t="s">
        <v>73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21" t="s">
        <v>139</v>
      </c>
      <c r="B100" s="21" t="s">
        <v>141</v>
      </c>
      <c r="C100" s="21" t="s">
        <v>178</v>
      </c>
      <c r="D100" s="22">
        <v>290.0</v>
      </c>
      <c r="E100" s="22">
        <v>153.0</v>
      </c>
      <c r="F100" s="22">
        <f t="shared" si="2"/>
        <v>443</v>
      </c>
      <c r="G100" s="23">
        <f t="shared" si="3"/>
        <v>0.6546275395</v>
      </c>
      <c r="H100" s="23">
        <f t="shared" si="4"/>
        <v>0.3453724605</v>
      </c>
      <c r="I100" s="21" t="s">
        <v>73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21" t="s">
        <v>139</v>
      </c>
      <c r="B101" s="21" t="s">
        <v>141</v>
      </c>
      <c r="C101" s="21" t="s">
        <v>179</v>
      </c>
      <c r="D101" s="22">
        <v>252.0</v>
      </c>
      <c r="E101" s="22">
        <v>166.0</v>
      </c>
      <c r="F101" s="22">
        <f t="shared" si="2"/>
        <v>418</v>
      </c>
      <c r="G101" s="23">
        <f t="shared" si="3"/>
        <v>0.6028708134</v>
      </c>
      <c r="H101" s="23">
        <f t="shared" si="4"/>
        <v>0.3971291866</v>
      </c>
      <c r="I101" s="21" t="s">
        <v>73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21" t="s">
        <v>139</v>
      </c>
      <c r="B102" s="21" t="s">
        <v>141</v>
      </c>
      <c r="C102" s="21" t="s">
        <v>180</v>
      </c>
      <c r="D102" s="22">
        <v>233.0</v>
      </c>
      <c r="E102" s="22">
        <v>128.0</v>
      </c>
      <c r="F102" s="22">
        <f t="shared" si="2"/>
        <v>361</v>
      </c>
      <c r="G102" s="23">
        <f t="shared" si="3"/>
        <v>0.6454293629</v>
      </c>
      <c r="H102" s="23">
        <f t="shared" si="4"/>
        <v>0.3545706371</v>
      </c>
      <c r="I102" s="21" t="s">
        <v>73</v>
      </c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21" t="s">
        <v>139</v>
      </c>
      <c r="B103" s="21" t="s">
        <v>141</v>
      </c>
      <c r="C103" s="21" t="s">
        <v>181</v>
      </c>
      <c r="D103" s="22">
        <v>367.0</v>
      </c>
      <c r="E103" s="22">
        <v>228.0</v>
      </c>
      <c r="F103" s="22">
        <f t="shared" si="2"/>
        <v>595</v>
      </c>
      <c r="G103" s="23">
        <f t="shared" si="3"/>
        <v>0.6168067227</v>
      </c>
      <c r="H103" s="23">
        <f t="shared" si="4"/>
        <v>0.3831932773</v>
      </c>
      <c r="I103" s="21" t="s">
        <v>73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24" t="s">
        <v>139</v>
      </c>
      <c r="B104" s="24" t="s">
        <v>141</v>
      </c>
      <c r="C104" s="24" t="s">
        <v>182</v>
      </c>
      <c r="D104" s="25">
        <v>2911.0</v>
      </c>
      <c r="E104" s="25">
        <v>1598.0</v>
      </c>
      <c r="F104" s="25">
        <f t="shared" si="2"/>
        <v>4509</v>
      </c>
      <c r="G104" s="26">
        <f t="shared" si="3"/>
        <v>0.6455976935</v>
      </c>
      <c r="H104" s="26">
        <f t="shared" si="4"/>
        <v>0.3544023065</v>
      </c>
      <c r="I104" s="24" t="s">
        <v>83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21" t="s">
        <v>139</v>
      </c>
      <c r="B105" s="21" t="s">
        <v>141</v>
      </c>
      <c r="C105" s="21" t="s">
        <v>183</v>
      </c>
      <c r="D105" s="22">
        <v>443.0</v>
      </c>
      <c r="E105" s="22">
        <v>255.0</v>
      </c>
      <c r="F105" s="22">
        <f t="shared" si="2"/>
        <v>698</v>
      </c>
      <c r="G105" s="23">
        <f t="shared" si="3"/>
        <v>0.6346704871</v>
      </c>
      <c r="H105" s="23">
        <f t="shared" si="4"/>
        <v>0.3653295129</v>
      </c>
      <c r="I105" s="21" t="s">
        <v>73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21" t="s">
        <v>139</v>
      </c>
      <c r="B106" s="21" t="s">
        <v>141</v>
      </c>
      <c r="C106" s="21" t="s">
        <v>184</v>
      </c>
      <c r="D106" s="22">
        <v>158.0</v>
      </c>
      <c r="E106" s="22">
        <v>58.0</v>
      </c>
      <c r="F106" s="22">
        <f t="shared" si="2"/>
        <v>216</v>
      </c>
      <c r="G106" s="23">
        <f t="shared" si="3"/>
        <v>0.7314814815</v>
      </c>
      <c r="H106" s="23">
        <f t="shared" si="4"/>
        <v>0.2685185185</v>
      </c>
      <c r="I106" s="21" t="s">
        <v>73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21" t="s">
        <v>139</v>
      </c>
      <c r="B107" s="21" t="s">
        <v>141</v>
      </c>
      <c r="C107" s="21" t="s">
        <v>185</v>
      </c>
      <c r="D107" s="22">
        <v>225.0</v>
      </c>
      <c r="E107" s="22">
        <v>92.0</v>
      </c>
      <c r="F107" s="22">
        <f t="shared" si="2"/>
        <v>317</v>
      </c>
      <c r="G107" s="23">
        <f t="shared" si="3"/>
        <v>0.7097791798</v>
      </c>
      <c r="H107" s="23">
        <f t="shared" si="4"/>
        <v>0.2902208202</v>
      </c>
      <c r="I107" s="21" t="s">
        <v>73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21" t="s">
        <v>139</v>
      </c>
      <c r="B108" s="21" t="s">
        <v>141</v>
      </c>
      <c r="C108" s="21" t="s">
        <v>186</v>
      </c>
      <c r="D108" s="22">
        <v>359.0</v>
      </c>
      <c r="E108" s="22">
        <v>133.0</v>
      </c>
      <c r="F108" s="22">
        <f t="shared" si="2"/>
        <v>492</v>
      </c>
      <c r="G108" s="23">
        <f t="shared" si="3"/>
        <v>0.7296747967</v>
      </c>
      <c r="H108" s="23">
        <f t="shared" si="4"/>
        <v>0.2703252033</v>
      </c>
      <c r="I108" s="21" t="s">
        <v>73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21" t="s">
        <v>139</v>
      </c>
      <c r="B109" s="21" t="s">
        <v>141</v>
      </c>
      <c r="C109" s="21" t="s">
        <v>187</v>
      </c>
      <c r="D109" s="22">
        <v>134.0</v>
      </c>
      <c r="E109" s="22">
        <v>61.0</v>
      </c>
      <c r="F109" s="22">
        <f t="shared" si="2"/>
        <v>195</v>
      </c>
      <c r="G109" s="23">
        <f t="shared" si="3"/>
        <v>0.6871794872</v>
      </c>
      <c r="H109" s="23">
        <f t="shared" si="4"/>
        <v>0.3128205128</v>
      </c>
      <c r="I109" s="21" t="s">
        <v>73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21" t="s">
        <v>139</v>
      </c>
      <c r="B110" s="21" t="s">
        <v>141</v>
      </c>
      <c r="C110" s="21" t="s">
        <v>188</v>
      </c>
      <c r="D110" s="22">
        <v>174.0</v>
      </c>
      <c r="E110" s="22">
        <v>57.0</v>
      </c>
      <c r="F110" s="22">
        <f t="shared" si="2"/>
        <v>231</v>
      </c>
      <c r="G110" s="23">
        <f t="shared" si="3"/>
        <v>0.7532467532</v>
      </c>
      <c r="H110" s="23">
        <f t="shared" si="4"/>
        <v>0.2467532468</v>
      </c>
      <c r="I110" s="21" t="s">
        <v>73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21" t="s">
        <v>139</v>
      </c>
      <c r="B111" s="21" t="s">
        <v>141</v>
      </c>
      <c r="C111" s="21" t="s">
        <v>189</v>
      </c>
      <c r="D111" s="22">
        <v>28.0</v>
      </c>
      <c r="E111" s="22">
        <v>16.0</v>
      </c>
      <c r="F111" s="22">
        <f t="shared" si="2"/>
        <v>44</v>
      </c>
      <c r="G111" s="23">
        <f t="shared" si="3"/>
        <v>0.6363636364</v>
      </c>
      <c r="H111" s="23">
        <f t="shared" si="4"/>
        <v>0.3636363636</v>
      </c>
      <c r="I111" s="21" t="s">
        <v>73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21" t="s">
        <v>139</v>
      </c>
      <c r="B112" s="21" t="s">
        <v>141</v>
      </c>
      <c r="C112" s="21" t="s">
        <v>190</v>
      </c>
      <c r="D112" s="22">
        <v>169.0</v>
      </c>
      <c r="E112" s="22">
        <v>100.0</v>
      </c>
      <c r="F112" s="22">
        <f t="shared" si="2"/>
        <v>269</v>
      </c>
      <c r="G112" s="23">
        <f t="shared" si="3"/>
        <v>0.6282527881</v>
      </c>
      <c r="H112" s="23">
        <f t="shared" si="4"/>
        <v>0.3717472119</v>
      </c>
      <c r="I112" s="21" t="s">
        <v>73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21" t="s">
        <v>139</v>
      </c>
      <c r="B113" s="21" t="s">
        <v>141</v>
      </c>
      <c r="C113" s="21" t="s">
        <v>191</v>
      </c>
      <c r="D113" s="22">
        <v>245.0</v>
      </c>
      <c r="E113" s="22">
        <v>86.0</v>
      </c>
      <c r="F113" s="22">
        <f t="shared" si="2"/>
        <v>331</v>
      </c>
      <c r="G113" s="23">
        <f t="shared" si="3"/>
        <v>0.7401812689</v>
      </c>
      <c r="H113" s="23">
        <f t="shared" si="4"/>
        <v>0.2598187311</v>
      </c>
      <c r="I113" s="21" t="s">
        <v>73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21" t="s">
        <v>139</v>
      </c>
      <c r="B114" s="21" t="s">
        <v>141</v>
      </c>
      <c r="C114" s="21" t="s">
        <v>192</v>
      </c>
      <c r="D114" s="22">
        <v>68.0</v>
      </c>
      <c r="E114" s="22">
        <v>25.0</v>
      </c>
      <c r="F114" s="22">
        <f t="shared" si="2"/>
        <v>93</v>
      </c>
      <c r="G114" s="23">
        <f t="shared" si="3"/>
        <v>0.7311827957</v>
      </c>
      <c r="H114" s="23">
        <f t="shared" si="4"/>
        <v>0.2688172043</v>
      </c>
      <c r="I114" s="21" t="s">
        <v>73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21" t="s">
        <v>139</v>
      </c>
      <c r="B115" s="21" t="s">
        <v>141</v>
      </c>
      <c r="C115" s="21" t="s">
        <v>193</v>
      </c>
      <c r="D115" s="22">
        <v>65.0</v>
      </c>
      <c r="E115" s="22">
        <v>25.0</v>
      </c>
      <c r="F115" s="22">
        <f t="shared" si="2"/>
        <v>90</v>
      </c>
      <c r="G115" s="23">
        <f t="shared" si="3"/>
        <v>0.7222222222</v>
      </c>
      <c r="H115" s="23">
        <f t="shared" si="4"/>
        <v>0.2777777778</v>
      </c>
      <c r="I115" s="21" t="s">
        <v>73</v>
      </c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21" t="s">
        <v>139</v>
      </c>
      <c r="B116" s="21" t="s">
        <v>141</v>
      </c>
      <c r="C116" s="21" t="s">
        <v>194</v>
      </c>
      <c r="D116" s="22">
        <v>163.0</v>
      </c>
      <c r="E116" s="22">
        <v>55.0</v>
      </c>
      <c r="F116" s="22">
        <f t="shared" si="2"/>
        <v>218</v>
      </c>
      <c r="G116" s="23">
        <f t="shared" si="3"/>
        <v>0.747706422</v>
      </c>
      <c r="H116" s="23">
        <f t="shared" si="4"/>
        <v>0.252293578</v>
      </c>
      <c r="I116" s="21" t="s">
        <v>73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21" t="s">
        <v>139</v>
      </c>
      <c r="B117" s="21" t="s">
        <v>141</v>
      </c>
      <c r="C117" s="21" t="s">
        <v>195</v>
      </c>
      <c r="D117" s="22">
        <v>302.0</v>
      </c>
      <c r="E117" s="22">
        <v>139.0</v>
      </c>
      <c r="F117" s="22">
        <f t="shared" si="2"/>
        <v>441</v>
      </c>
      <c r="G117" s="23">
        <f t="shared" si="3"/>
        <v>0.6848072562</v>
      </c>
      <c r="H117" s="23">
        <f t="shared" si="4"/>
        <v>0.3151927438</v>
      </c>
      <c r="I117" s="21" t="s">
        <v>73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21" t="s">
        <v>139</v>
      </c>
      <c r="B118" s="21" t="s">
        <v>141</v>
      </c>
      <c r="C118" s="21" t="s">
        <v>196</v>
      </c>
      <c r="D118" s="22">
        <v>119.0</v>
      </c>
      <c r="E118" s="22">
        <v>52.0</v>
      </c>
      <c r="F118" s="22">
        <f t="shared" si="2"/>
        <v>171</v>
      </c>
      <c r="G118" s="23">
        <f t="shared" si="3"/>
        <v>0.6959064327</v>
      </c>
      <c r="H118" s="23">
        <f t="shared" si="4"/>
        <v>0.3040935673</v>
      </c>
      <c r="I118" s="21" t="s">
        <v>73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21" t="s">
        <v>139</v>
      </c>
      <c r="B119" s="21" t="s">
        <v>141</v>
      </c>
      <c r="C119" s="21" t="s">
        <v>197</v>
      </c>
      <c r="D119" s="22">
        <v>93.0</v>
      </c>
      <c r="E119" s="22">
        <v>42.0</v>
      </c>
      <c r="F119" s="22">
        <f t="shared" si="2"/>
        <v>135</v>
      </c>
      <c r="G119" s="23">
        <f t="shared" si="3"/>
        <v>0.6888888889</v>
      </c>
      <c r="H119" s="23">
        <f t="shared" si="4"/>
        <v>0.3111111111</v>
      </c>
      <c r="I119" s="21" t="s">
        <v>73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21" t="s">
        <v>139</v>
      </c>
      <c r="B120" s="21" t="s">
        <v>141</v>
      </c>
      <c r="C120" s="21" t="s">
        <v>198</v>
      </c>
      <c r="D120" s="22">
        <v>209.0</v>
      </c>
      <c r="E120" s="22">
        <v>122.0</v>
      </c>
      <c r="F120" s="22">
        <f t="shared" si="2"/>
        <v>331</v>
      </c>
      <c r="G120" s="23">
        <f t="shared" si="3"/>
        <v>0.6314199396</v>
      </c>
      <c r="H120" s="23">
        <f t="shared" si="4"/>
        <v>0.3685800604</v>
      </c>
      <c r="I120" s="21" t="s">
        <v>73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21" t="s">
        <v>139</v>
      </c>
      <c r="B121" s="21" t="s">
        <v>141</v>
      </c>
      <c r="C121" s="21" t="s">
        <v>199</v>
      </c>
      <c r="D121" s="22">
        <v>173.0</v>
      </c>
      <c r="E121" s="22">
        <v>74.0</v>
      </c>
      <c r="F121" s="22">
        <f t="shared" si="2"/>
        <v>247</v>
      </c>
      <c r="G121" s="23">
        <f t="shared" si="3"/>
        <v>0.7004048583</v>
      </c>
      <c r="H121" s="23">
        <f t="shared" si="4"/>
        <v>0.2995951417</v>
      </c>
      <c r="I121" s="21" t="s">
        <v>73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21" t="s">
        <v>139</v>
      </c>
      <c r="B122" s="21" t="s">
        <v>200</v>
      </c>
      <c r="C122" s="21" t="s">
        <v>201</v>
      </c>
      <c r="D122" s="22">
        <v>499.0</v>
      </c>
      <c r="E122" s="22">
        <v>201.0</v>
      </c>
      <c r="F122" s="22">
        <f t="shared" si="2"/>
        <v>700</v>
      </c>
      <c r="G122" s="23">
        <f t="shared" si="3"/>
        <v>0.7128571429</v>
      </c>
      <c r="H122" s="23">
        <f t="shared" si="4"/>
        <v>0.2871428571</v>
      </c>
      <c r="I122" s="21" t="s">
        <v>73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21" t="s">
        <v>139</v>
      </c>
      <c r="B123" s="21" t="s">
        <v>200</v>
      </c>
      <c r="C123" s="21" t="s">
        <v>202</v>
      </c>
      <c r="D123" s="22">
        <v>332.0</v>
      </c>
      <c r="E123" s="22">
        <v>161.0</v>
      </c>
      <c r="F123" s="22">
        <f t="shared" si="2"/>
        <v>493</v>
      </c>
      <c r="G123" s="23">
        <f t="shared" si="3"/>
        <v>0.6734279919</v>
      </c>
      <c r="H123" s="23">
        <f t="shared" si="4"/>
        <v>0.3265720081</v>
      </c>
      <c r="I123" s="21" t="s">
        <v>73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21" t="s">
        <v>139</v>
      </c>
      <c r="B124" s="21" t="s">
        <v>200</v>
      </c>
      <c r="C124" s="21" t="s">
        <v>203</v>
      </c>
      <c r="D124" s="22">
        <v>393.0</v>
      </c>
      <c r="E124" s="22">
        <v>150.0</v>
      </c>
      <c r="F124" s="22">
        <f t="shared" si="2"/>
        <v>543</v>
      </c>
      <c r="G124" s="23">
        <f t="shared" si="3"/>
        <v>0.7237569061</v>
      </c>
      <c r="H124" s="23">
        <f t="shared" si="4"/>
        <v>0.2762430939</v>
      </c>
      <c r="I124" s="21" t="s">
        <v>73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21" t="s">
        <v>139</v>
      </c>
      <c r="B125" s="21" t="s">
        <v>200</v>
      </c>
      <c r="C125" s="21" t="s">
        <v>204</v>
      </c>
      <c r="D125" s="22">
        <v>465.0</v>
      </c>
      <c r="E125" s="22">
        <v>209.0</v>
      </c>
      <c r="F125" s="22">
        <f t="shared" si="2"/>
        <v>674</v>
      </c>
      <c r="G125" s="23">
        <f t="shared" si="3"/>
        <v>0.6899109792</v>
      </c>
      <c r="H125" s="23">
        <f t="shared" si="4"/>
        <v>0.3100890208</v>
      </c>
      <c r="I125" s="21" t="s">
        <v>73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21" t="s">
        <v>139</v>
      </c>
      <c r="B126" s="21" t="s">
        <v>200</v>
      </c>
      <c r="C126" s="21" t="s">
        <v>205</v>
      </c>
      <c r="D126" s="22">
        <v>626.0</v>
      </c>
      <c r="E126" s="22">
        <v>306.0</v>
      </c>
      <c r="F126" s="22">
        <f t="shared" si="2"/>
        <v>932</v>
      </c>
      <c r="G126" s="23">
        <f t="shared" si="3"/>
        <v>0.6716738197</v>
      </c>
      <c r="H126" s="23">
        <f t="shared" si="4"/>
        <v>0.3283261803</v>
      </c>
      <c r="I126" s="21" t="s">
        <v>73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21" t="s">
        <v>139</v>
      </c>
      <c r="B127" s="21" t="s">
        <v>200</v>
      </c>
      <c r="C127" s="21" t="s">
        <v>206</v>
      </c>
      <c r="D127" s="22">
        <v>427.0</v>
      </c>
      <c r="E127" s="22">
        <v>254.0</v>
      </c>
      <c r="F127" s="22">
        <f t="shared" si="2"/>
        <v>681</v>
      </c>
      <c r="G127" s="23">
        <f t="shared" si="3"/>
        <v>0.6270190896</v>
      </c>
      <c r="H127" s="23">
        <f t="shared" si="4"/>
        <v>0.3729809104</v>
      </c>
      <c r="I127" s="21" t="s">
        <v>73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21" t="s">
        <v>139</v>
      </c>
      <c r="B128" s="21" t="s">
        <v>200</v>
      </c>
      <c r="C128" s="21" t="s">
        <v>207</v>
      </c>
      <c r="D128" s="22">
        <v>498.0</v>
      </c>
      <c r="E128" s="22">
        <v>312.0</v>
      </c>
      <c r="F128" s="22">
        <f t="shared" si="2"/>
        <v>810</v>
      </c>
      <c r="G128" s="23">
        <f t="shared" si="3"/>
        <v>0.6148148148</v>
      </c>
      <c r="H128" s="23">
        <f t="shared" si="4"/>
        <v>0.3851851852</v>
      </c>
      <c r="I128" s="21" t="s">
        <v>73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21" t="s">
        <v>139</v>
      </c>
      <c r="B129" s="21" t="s">
        <v>200</v>
      </c>
      <c r="C129" s="21" t="s">
        <v>208</v>
      </c>
      <c r="D129" s="22">
        <v>636.0</v>
      </c>
      <c r="E129" s="22">
        <v>398.0</v>
      </c>
      <c r="F129" s="22">
        <f t="shared" si="2"/>
        <v>1034</v>
      </c>
      <c r="G129" s="23">
        <f t="shared" si="3"/>
        <v>0.6150870406</v>
      </c>
      <c r="H129" s="23">
        <f t="shared" si="4"/>
        <v>0.3849129594</v>
      </c>
      <c r="I129" s="21" t="s">
        <v>73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21" t="s">
        <v>139</v>
      </c>
      <c r="B130" s="21" t="s">
        <v>200</v>
      </c>
      <c r="C130" s="21" t="s">
        <v>209</v>
      </c>
      <c r="D130" s="22">
        <v>438.0</v>
      </c>
      <c r="E130" s="22">
        <v>258.0</v>
      </c>
      <c r="F130" s="22">
        <f t="shared" si="2"/>
        <v>696</v>
      </c>
      <c r="G130" s="23">
        <f t="shared" si="3"/>
        <v>0.6293103448</v>
      </c>
      <c r="H130" s="23">
        <f t="shared" si="4"/>
        <v>0.3706896552</v>
      </c>
      <c r="I130" s="21" t="s">
        <v>73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21" t="s">
        <v>139</v>
      </c>
      <c r="B131" s="21" t="s">
        <v>200</v>
      </c>
      <c r="C131" s="21" t="s">
        <v>210</v>
      </c>
      <c r="D131" s="22">
        <v>394.0</v>
      </c>
      <c r="E131" s="22">
        <v>290.0</v>
      </c>
      <c r="F131" s="22">
        <f t="shared" si="2"/>
        <v>684</v>
      </c>
      <c r="G131" s="23">
        <f t="shared" si="3"/>
        <v>0.5760233918</v>
      </c>
      <c r="H131" s="23">
        <f t="shared" si="4"/>
        <v>0.4239766082</v>
      </c>
      <c r="I131" s="21" t="s">
        <v>73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21" t="s">
        <v>139</v>
      </c>
      <c r="B132" s="21" t="s">
        <v>200</v>
      </c>
      <c r="C132" s="21" t="s">
        <v>211</v>
      </c>
      <c r="D132" s="22">
        <v>459.0</v>
      </c>
      <c r="E132" s="22">
        <v>256.0</v>
      </c>
      <c r="F132" s="22">
        <f t="shared" si="2"/>
        <v>715</v>
      </c>
      <c r="G132" s="23">
        <f t="shared" si="3"/>
        <v>0.641958042</v>
      </c>
      <c r="H132" s="23">
        <f t="shared" si="4"/>
        <v>0.358041958</v>
      </c>
      <c r="I132" s="21" t="s">
        <v>73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21" t="s">
        <v>139</v>
      </c>
      <c r="B133" s="21" t="s">
        <v>200</v>
      </c>
      <c r="C133" s="21" t="s">
        <v>212</v>
      </c>
      <c r="D133" s="22">
        <v>506.0</v>
      </c>
      <c r="E133" s="22">
        <v>314.0</v>
      </c>
      <c r="F133" s="22">
        <f t="shared" si="2"/>
        <v>820</v>
      </c>
      <c r="G133" s="23">
        <f t="shared" si="3"/>
        <v>0.6170731707</v>
      </c>
      <c r="H133" s="23">
        <f t="shared" si="4"/>
        <v>0.3829268293</v>
      </c>
      <c r="I133" s="21" t="s">
        <v>73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21" t="s">
        <v>139</v>
      </c>
      <c r="B134" s="21" t="s">
        <v>213</v>
      </c>
      <c r="C134" s="21" t="s">
        <v>214</v>
      </c>
      <c r="D134" s="22">
        <v>424.0</v>
      </c>
      <c r="E134" s="22">
        <v>321.0</v>
      </c>
      <c r="F134" s="22">
        <f t="shared" si="2"/>
        <v>745</v>
      </c>
      <c r="G134" s="23">
        <f t="shared" si="3"/>
        <v>0.5691275168</v>
      </c>
      <c r="H134" s="23">
        <f t="shared" si="4"/>
        <v>0.4308724832</v>
      </c>
      <c r="I134" s="21" t="s">
        <v>73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21" t="s">
        <v>139</v>
      </c>
      <c r="B135" s="21" t="s">
        <v>213</v>
      </c>
      <c r="C135" s="21" t="s">
        <v>215</v>
      </c>
      <c r="D135" s="22">
        <v>344.0</v>
      </c>
      <c r="E135" s="22">
        <v>347.0</v>
      </c>
      <c r="F135" s="22">
        <f t="shared" si="2"/>
        <v>691</v>
      </c>
      <c r="G135" s="23">
        <f t="shared" si="3"/>
        <v>0.497829233</v>
      </c>
      <c r="H135" s="23">
        <f t="shared" si="4"/>
        <v>0.502170767</v>
      </c>
      <c r="I135" s="21" t="s">
        <v>73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21" t="s">
        <v>139</v>
      </c>
      <c r="B136" s="21" t="s">
        <v>213</v>
      </c>
      <c r="C136" s="21" t="s">
        <v>216</v>
      </c>
      <c r="D136" s="22">
        <v>433.0</v>
      </c>
      <c r="E136" s="22">
        <v>393.0</v>
      </c>
      <c r="F136" s="22">
        <f t="shared" si="2"/>
        <v>826</v>
      </c>
      <c r="G136" s="23">
        <f t="shared" si="3"/>
        <v>0.5242130751</v>
      </c>
      <c r="H136" s="23">
        <f t="shared" si="4"/>
        <v>0.4757869249</v>
      </c>
      <c r="I136" s="21" t="s">
        <v>73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21" t="s">
        <v>139</v>
      </c>
      <c r="B137" s="21" t="s">
        <v>217</v>
      </c>
      <c r="C137" s="21" t="s">
        <v>217</v>
      </c>
      <c r="D137" s="22">
        <v>731.0</v>
      </c>
      <c r="E137" s="22">
        <v>748.0</v>
      </c>
      <c r="F137" s="22">
        <f t="shared" si="2"/>
        <v>1479</v>
      </c>
      <c r="G137" s="23">
        <f t="shared" si="3"/>
        <v>0.4942528736</v>
      </c>
      <c r="H137" s="23">
        <f t="shared" si="4"/>
        <v>0.5057471264</v>
      </c>
      <c r="I137" s="21" t="s">
        <v>73</v>
      </c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21" t="s">
        <v>139</v>
      </c>
      <c r="B138" s="21" t="s">
        <v>218</v>
      </c>
      <c r="C138" s="21" t="s">
        <v>219</v>
      </c>
      <c r="D138" s="22">
        <v>299.0</v>
      </c>
      <c r="E138" s="22">
        <v>285.0</v>
      </c>
      <c r="F138" s="22">
        <f t="shared" si="2"/>
        <v>584</v>
      </c>
      <c r="G138" s="23">
        <f t="shared" si="3"/>
        <v>0.5119863014</v>
      </c>
      <c r="H138" s="23">
        <f t="shared" si="4"/>
        <v>0.4880136986</v>
      </c>
      <c r="I138" s="21" t="s">
        <v>73</v>
      </c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21" t="s">
        <v>139</v>
      </c>
      <c r="B139" s="21" t="s">
        <v>218</v>
      </c>
      <c r="C139" s="21" t="s">
        <v>220</v>
      </c>
      <c r="D139" s="22">
        <v>439.0</v>
      </c>
      <c r="E139" s="22">
        <v>396.0</v>
      </c>
      <c r="F139" s="22">
        <f t="shared" si="2"/>
        <v>835</v>
      </c>
      <c r="G139" s="23">
        <f t="shared" si="3"/>
        <v>0.525748503</v>
      </c>
      <c r="H139" s="23">
        <f t="shared" si="4"/>
        <v>0.474251497</v>
      </c>
      <c r="I139" s="21" t="s">
        <v>73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21" t="s">
        <v>139</v>
      </c>
      <c r="B140" s="21" t="s">
        <v>221</v>
      </c>
      <c r="C140" s="21" t="s">
        <v>222</v>
      </c>
      <c r="D140" s="22">
        <v>522.0</v>
      </c>
      <c r="E140" s="22">
        <v>432.0</v>
      </c>
      <c r="F140" s="22">
        <f t="shared" si="2"/>
        <v>954</v>
      </c>
      <c r="G140" s="23">
        <f t="shared" si="3"/>
        <v>0.5471698113</v>
      </c>
      <c r="H140" s="23">
        <f t="shared" si="4"/>
        <v>0.4528301887</v>
      </c>
      <c r="I140" s="21" t="s">
        <v>73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21" t="s">
        <v>139</v>
      </c>
      <c r="B141" s="21" t="s">
        <v>221</v>
      </c>
      <c r="C141" s="21" t="s">
        <v>223</v>
      </c>
      <c r="D141" s="22">
        <v>484.0</v>
      </c>
      <c r="E141" s="22">
        <v>406.0</v>
      </c>
      <c r="F141" s="22">
        <f t="shared" si="2"/>
        <v>890</v>
      </c>
      <c r="G141" s="23">
        <f t="shared" si="3"/>
        <v>0.5438202247</v>
      </c>
      <c r="H141" s="23">
        <f t="shared" si="4"/>
        <v>0.4561797753</v>
      </c>
      <c r="I141" s="21" t="s">
        <v>73</v>
      </c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21" t="s">
        <v>139</v>
      </c>
      <c r="B142" s="21" t="s">
        <v>221</v>
      </c>
      <c r="C142" s="21" t="s">
        <v>224</v>
      </c>
      <c r="D142" s="22">
        <v>618.0</v>
      </c>
      <c r="E142" s="22">
        <v>558.0</v>
      </c>
      <c r="F142" s="22">
        <f t="shared" si="2"/>
        <v>1176</v>
      </c>
      <c r="G142" s="23">
        <f t="shared" si="3"/>
        <v>0.5255102041</v>
      </c>
      <c r="H142" s="23">
        <f t="shared" si="4"/>
        <v>0.4744897959</v>
      </c>
      <c r="I142" s="21" t="s">
        <v>73</v>
      </c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21" t="s">
        <v>139</v>
      </c>
      <c r="B143" s="21" t="s">
        <v>221</v>
      </c>
      <c r="C143" s="21" t="s">
        <v>225</v>
      </c>
      <c r="D143" s="22">
        <v>577.0</v>
      </c>
      <c r="E143" s="22">
        <v>457.0</v>
      </c>
      <c r="F143" s="22">
        <f t="shared" si="2"/>
        <v>1034</v>
      </c>
      <c r="G143" s="23">
        <f t="shared" si="3"/>
        <v>0.5580270793</v>
      </c>
      <c r="H143" s="23">
        <f t="shared" si="4"/>
        <v>0.4419729207</v>
      </c>
      <c r="I143" s="21" t="s">
        <v>73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21" t="s">
        <v>139</v>
      </c>
      <c r="B144" s="21" t="s">
        <v>221</v>
      </c>
      <c r="C144" s="21" t="s">
        <v>226</v>
      </c>
      <c r="D144" s="22">
        <v>316.0</v>
      </c>
      <c r="E144" s="22">
        <v>302.0</v>
      </c>
      <c r="F144" s="22">
        <f t="shared" si="2"/>
        <v>618</v>
      </c>
      <c r="G144" s="23">
        <f t="shared" si="3"/>
        <v>0.5113268608</v>
      </c>
      <c r="H144" s="23">
        <f t="shared" si="4"/>
        <v>0.4886731392</v>
      </c>
      <c r="I144" s="21" t="s">
        <v>73</v>
      </c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21" t="s">
        <v>139</v>
      </c>
      <c r="B145" s="21" t="s">
        <v>221</v>
      </c>
      <c r="C145" s="21" t="s">
        <v>227</v>
      </c>
      <c r="D145" s="22">
        <v>653.0</v>
      </c>
      <c r="E145" s="22">
        <v>454.0</v>
      </c>
      <c r="F145" s="22">
        <f t="shared" si="2"/>
        <v>1107</v>
      </c>
      <c r="G145" s="23">
        <f t="shared" si="3"/>
        <v>0.5898825655</v>
      </c>
      <c r="H145" s="23">
        <f t="shared" si="4"/>
        <v>0.4101174345</v>
      </c>
      <c r="I145" s="21" t="s">
        <v>73</v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21" t="s">
        <v>139</v>
      </c>
      <c r="B146" s="21" t="s">
        <v>228</v>
      </c>
      <c r="C146" s="21" t="s">
        <v>229</v>
      </c>
      <c r="D146" s="22">
        <v>389.0</v>
      </c>
      <c r="E146" s="22">
        <v>186.0</v>
      </c>
      <c r="F146" s="22">
        <f t="shared" si="2"/>
        <v>575</v>
      </c>
      <c r="G146" s="23">
        <f t="shared" si="3"/>
        <v>0.6765217391</v>
      </c>
      <c r="H146" s="23">
        <f t="shared" si="4"/>
        <v>0.3234782609</v>
      </c>
      <c r="I146" s="21" t="s">
        <v>73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21" t="s">
        <v>139</v>
      </c>
      <c r="B147" s="21" t="s">
        <v>228</v>
      </c>
      <c r="C147" s="21" t="s">
        <v>230</v>
      </c>
      <c r="D147" s="22">
        <v>286.0</v>
      </c>
      <c r="E147" s="22">
        <v>159.0</v>
      </c>
      <c r="F147" s="22">
        <f t="shared" si="2"/>
        <v>445</v>
      </c>
      <c r="G147" s="23">
        <f t="shared" si="3"/>
        <v>0.6426966292</v>
      </c>
      <c r="H147" s="23">
        <f t="shared" si="4"/>
        <v>0.3573033708</v>
      </c>
      <c r="I147" s="21" t="s">
        <v>73</v>
      </c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21" t="s">
        <v>139</v>
      </c>
      <c r="B148" s="21" t="s">
        <v>228</v>
      </c>
      <c r="C148" s="21" t="s">
        <v>231</v>
      </c>
      <c r="D148" s="22">
        <v>348.0</v>
      </c>
      <c r="E148" s="22">
        <v>190.0</v>
      </c>
      <c r="F148" s="22">
        <f t="shared" si="2"/>
        <v>538</v>
      </c>
      <c r="G148" s="23">
        <f t="shared" si="3"/>
        <v>0.6468401487</v>
      </c>
      <c r="H148" s="23">
        <f t="shared" si="4"/>
        <v>0.3531598513</v>
      </c>
      <c r="I148" s="21" t="s">
        <v>73</v>
      </c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21" t="s">
        <v>139</v>
      </c>
      <c r="B149" s="21" t="s">
        <v>232</v>
      </c>
      <c r="C149" s="21" t="s">
        <v>232</v>
      </c>
      <c r="D149" s="22">
        <v>244.0</v>
      </c>
      <c r="E149" s="22">
        <v>198.0</v>
      </c>
      <c r="F149" s="22">
        <f t="shared" si="2"/>
        <v>442</v>
      </c>
      <c r="G149" s="23">
        <f t="shared" si="3"/>
        <v>0.5520361991</v>
      </c>
      <c r="H149" s="23">
        <f t="shared" si="4"/>
        <v>0.4479638009</v>
      </c>
      <c r="I149" s="21" t="s">
        <v>73</v>
      </c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21" t="s">
        <v>139</v>
      </c>
      <c r="B150" s="21" t="s">
        <v>233</v>
      </c>
      <c r="C150" s="21" t="s">
        <v>233</v>
      </c>
      <c r="D150" s="22">
        <v>614.0</v>
      </c>
      <c r="E150" s="22">
        <v>1212.0</v>
      </c>
      <c r="F150" s="22">
        <f t="shared" si="2"/>
        <v>1826</v>
      </c>
      <c r="G150" s="23">
        <f t="shared" si="3"/>
        <v>0.3362541073</v>
      </c>
      <c r="H150" s="23">
        <f t="shared" si="4"/>
        <v>0.6637458927</v>
      </c>
      <c r="I150" s="21" t="s">
        <v>73</v>
      </c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21" t="s">
        <v>139</v>
      </c>
      <c r="B151" s="21" t="s">
        <v>234</v>
      </c>
      <c r="C151" s="21" t="s">
        <v>235</v>
      </c>
      <c r="D151" s="22">
        <v>848.0</v>
      </c>
      <c r="E151" s="22">
        <v>846.0</v>
      </c>
      <c r="F151" s="22">
        <f t="shared" si="2"/>
        <v>1694</v>
      </c>
      <c r="G151" s="23">
        <f t="shared" si="3"/>
        <v>0.5005903188</v>
      </c>
      <c r="H151" s="23">
        <f t="shared" si="4"/>
        <v>0.4994096812</v>
      </c>
      <c r="I151" s="21" t="s">
        <v>73</v>
      </c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21" t="s">
        <v>139</v>
      </c>
      <c r="B152" s="21" t="s">
        <v>234</v>
      </c>
      <c r="C152" s="21" t="s">
        <v>236</v>
      </c>
      <c r="D152" s="22">
        <v>925.0</v>
      </c>
      <c r="E152" s="22">
        <v>879.0</v>
      </c>
      <c r="F152" s="22">
        <f t="shared" si="2"/>
        <v>1804</v>
      </c>
      <c r="G152" s="23">
        <f t="shared" si="3"/>
        <v>0.5127494457</v>
      </c>
      <c r="H152" s="23">
        <f t="shared" si="4"/>
        <v>0.4872505543</v>
      </c>
      <c r="I152" s="21" t="s">
        <v>73</v>
      </c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21" t="s">
        <v>139</v>
      </c>
      <c r="B153" s="21" t="s">
        <v>234</v>
      </c>
      <c r="C153" s="21" t="s">
        <v>237</v>
      </c>
      <c r="D153" s="22">
        <v>1673.0</v>
      </c>
      <c r="E153" s="22">
        <v>1575.0</v>
      </c>
      <c r="F153" s="22">
        <f t="shared" si="2"/>
        <v>3248</v>
      </c>
      <c r="G153" s="23">
        <f t="shared" si="3"/>
        <v>0.5150862069</v>
      </c>
      <c r="H153" s="23">
        <f t="shared" si="4"/>
        <v>0.4849137931</v>
      </c>
      <c r="I153" s="21" t="s">
        <v>73</v>
      </c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21" t="s">
        <v>139</v>
      </c>
      <c r="B154" s="21" t="s">
        <v>234</v>
      </c>
      <c r="C154" s="21" t="s">
        <v>238</v>
      </c>
      <c r="D154" s="22">
        <v>846.0</v>
      </c>
      <c r="E154" s="22">
        <v>853.0</v>
      </c>
      <c r="F154" s="22">
        <f t="shared" si="2"/>
        <v>1699</v>
      </c>
      <c r="G154" s="23">
        <f t="shared" si="3"/>
        <v>0.4979399647</v>
      </c>
      <c r="H154" s="23">
        <f t="shared" si="4"/>
        <v>0.5020600353</v>
      </c>
      <c r="I154" s="21" t="s">
        <v>73</v>
      </c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21" t="s">
        <v>139</v>
      </c>
      <c r="B155" s="21" t="s">
        <v>234</v>
      </c>
      <c r="C155" s="21" t="s">
        <v>239</v>
      </c>
      <c r="D155" s="22">
        <v>722.0</v>
      </c>
      <c r="E155" s="22">
        <v>718.0</v>
      </c>
      <c r="F155" s="22">
        <f t="shared" si="2"/>
        <v>1440</v>
      </c>
      <c r="G155" s="23">
        <f t="shared" si="3"/>
        <v>0.5013888889</v>
      </c>
      <c r="H155" s="23">
        <f t="shared" si="4"/>
        <v>0.4986111111</v>
      </c>
      <c r="I155" s="21" t="s">
        <v>73</v>
      </c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21" t="s">
        <v>139</v>
      </c>
      <c r="B156" s="21" t="s">
        <v>234</v>
      </c>
      <c r="C156" s="21" t="s">
        <v>240</v>
      </c>
      <c r="D156" s="22">
        <v>706.0</v>
      </c>
      <c r="E156" s="22">
        <v>631.0</v>
      </c>
      <c r="F156" s="22">
        <f t="shared" si="2"/>
        <v>1337</v>
      </c>
      <c r="G156" s="23">
        <f t="shared" si="3"/>
        <v>0.5280478684</v>
      </c>
      <c r="H156" s="23">
        <f t="shared" si="4"/>
        <v>0.4719521316</v>
      </c>
      <c r="I156" s="21" t="s">
        <v>73</v>
      </c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21" t="s">
        <v>139</v>
      </c>
      <c r="B157" s="21" t="s">
        <v>234</v>
      </c>
      <c r="C157" s="21" t="s">
        <v>241</v>
      </c>
      <c r="D157" s="22">
        <v>1324.0</v>
      </c>
      <c r="E157" s="22">
        <v>1317.0</v>
      </c>
      <c r="F157" s="22">
        <f t="shared" si="2"/>
        <v>2641</v>
      </c>
      <c r="G157" s="23">
        <f t="shared" si="3"/>
        <v>0.5013252556</v>
      </c>
      <c r="H157" s="23">
        <f t="shared" si="4"/>
        <v>0.4986747444</v>
      </c>
      <c r="I157" s="21" t="s">
        <v>73</v>
      </c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21" t="s">
        <v>139</v>
      </c>
      <c r="B158" s="21" t="s">
        <v>234</v>
      </c>
      <c r="C158" s="21" t="s">
        <v>242</v>
      </c>
      <c r="D158" s="22">
        <v>792.0</v>
      </c>
      <c r="E158" s="22">
        <v>661.0</v>
      </c>
      <c r="F158" s="22">
        <f t="shared" si="2"/>
        <v>1453</v>
      </c>
      <c r="G158" s="23">
        <f t="shared" si="3"/>
        <v>0.5450791466</v>
      </c>
      <c r="H158" s="23">
        <f t="shared" si="4"/>
        <v>0.4549208534</v>
      </c>
      <c r="I158" s="21" t="s">
        <v>73</v>
      </c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21" t="s">
        <v>139</v>
      </c>
      <c r="B159" s="21" t="s">
        <v>234</v>
      </c>
      <c r="C159" s="21" t="s">
        <v>243</v>
      </c>
      <c r="D159" s="22">
        <v>812.0</v>
      </c>
      <c r="E159" s="22">
        <v>747.0</v>
      </c>
      <c r="F159" s="22">
        <f t="shared" si="2"/>
        <v>1559</v>
      </c>
      <c r="G159" s="23">
        <f t="shared" si="3"/>
        <v>0.5208466966</v>
      </c>
      <c r="H159" s="23">
        <f t="shared" si="4"/>
        <v>0.4791533034</v>
      </c>
      <c r="I159" s="21" t="s">
        <v>73</v>
      </c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21" t="s">
        <v>139</v>
      </c>
      <c r="B160" s="21" t="s">
        <v>234</v>
      </c>
      <c r="C160" s="21" t="s">
        <v>244</v>
      </c>
      <c r="D160" s="22">
        <v>489.0</v>
      </c>
      <c r="E160" s="22">
        <v>460.0</v>
      </c>
      <c r="F160" s="22">
        <f t="shared" si="2"/>
        <v>949</v>
      </c>
      <c r="G160" s="23">
        <f t="shared" si="3"/>
        <v>0.5152792413</v>
      </c>
      <c r="H160" s="23">
        <f t="shared" si="4"/>
        <v>0.4847207587</v>
      </c>
      <c r="I160" s="21" t="s">
        <v>73</v>
      </c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21" t="s">
        <v>139</v>
      </c>
      <c r="B161" s="21" t="s">
        <v>245</v>
      </c>
      <c r="C161" s="21" t="s">
        <v>245</v>
      </c>
      <c r="D161" s="22">
        <v>996.0</v>
      </c>
      <c r="E161" s="22">
        <v>1474.0</v>
      </c>
      <c r="F161" s="22">
        <f t="shared" si="2"/>
        <v>2470</v>
      </c>
      <c r="G161" s="23">
        <f t="shared" si="3"/>
        <v>0.4032388664</v>
      </c>
      <c r="H161" s="23">
        <f t="shared" si="4"/>
        <v>0.5967611336</v>
      </c>
      <c r="I161" s="21" t="s">
        <v>73</v>
      </c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21" t="s">
        <v>139</v>
      </c>
      <c r="B162" s="21" t="s">
        <v>246</v>
      </c>
      <c r="C162" s="21" t="s">
        <v>246</v>
      </c>
      <c r="D162" s="22">
        <v>505.0</v>
      </c>
      <c r="E162" s="22">
        <v>838.0</v>
      </c>
      <c r="F162" s="22">
        <f t="shared" si="2"/>
        <v>1343</v>
      </c>
      <c r="G162" s="23">
        <f t="shared" si="3"/>
        <v>0.3760238273</v>
      </c>
      <c r="H162" s="23">
        <f t="shared" si="4"/>
        <v>0.6239761727</v>
      </c>
      <c r="I162" s="21" t="s">
        <v>73</v>
      </c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21" t="s">
        <v>139</v>
      </c>
      <c r="B163" s="21" t="s">
        <v>247</v>
      </c>
      <c r="C163" s="21" t="s">
        <v>248</v>
      </c>
      <c r="D163" s="22">
        <v>195.0</v>
      </c>
      <c r="E163" s="22">
        <v>460.0</v>
      </c>
      <c r="F163" s="22">
        <f t="shared" si="2"/>
        <v>655</v>
      </c>
      <c r="G163" s="23">
        <f t="shared" si="3"/>
        <v>0.2977099237</v>
      </c>
      <c r="H163" s="23">
        <f t="shared" si="4"/>
        <v>0.7022900763</v>
      </c>
      <c r="I163" s="21" t="s">
        <v>73</v>
      </c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21" t="s">
        <v>139</v>
      </c>
      <c r="B164" s="21" t="s">
        <v>247</v>
      </c>
      <c r="C164" s="21" t="s">
        <v>249</v>
      </c>
      <c r="D164" s="22">
        <v>126.0</v>
      </c>
      <c r="E164" s="22">
        <v>243.0</v>
      </c>
      <c r="F164" s="22">
        <f t="shared" si="2"/>
        <v>369</v>
      </c>
      <c r="G164" s="23">
        <f t="shared" si="3"/>
        <v>0.3414634146</v>
      </c>
      <c r="H164" s="23">
        <f t="shared" si="4"/>
        <v>0.6585365854</v>
      </c>
      <c r="I164" s="21" t="s">
        <v>73</v>
      </c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21" t="s">
        <v>139</v>
      </c>
      <c r="B165" s="21" t="s">
        <v>247</v>
      </c>
      <c r="C165" s="21" t="s">
        <v>250</v>
      </c>
      <c r="D165" s="22">
        <v>503.0</v>
      </c>
      <c r="E165" s="22">
        <v>923.0</v>
      </c>
      <c r="F165" s="22">
        <f t="shared" si="2"/>
        <v>1426</v>
      </c>
      <c r="G165" s="23">
        <f t="shared" si="3"/>
        <v>0.3527349229</v>
      </c>
      <c r="H165" s="23">
        <f t="shared" si="4"/>
        <v>0.6472650771</v>
      </c>
      <c r="I165" s="21" t="s">
        <v>73</v>
      </c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21" t="s">
        <v>139</v>
      </c>
      <c r="B166" s="21" t="s">
        <v>251</v>
      </c>
      <c r="C166" s="21" t="s">
        <v>251</v>
      </c>
      <c r="D166" s="22">
        <v>849.0</v>
      </c>
      <c r="E166" s="22">
        <v>708.0</v>
      </c>
      <c r="F166" s="22">
        <f t="shared" si="2"/>
        <v>1557</v>
      </c>
      <c r="G166" s="23">
        <f t="shared" si="3"/>
        <v>0.5452793834</v>
      </c>
      <c r="H166" s="23">
        <f t="shared" si="4"/>
        <v>0.4547206166</v>
      </c>
      <c r="I166" s="21" t="s">
        <v>73</v>
      </c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21" t="s">
        <v>139</v>
      </c>
      <c r="B167" s="21" t="s">
        <v>252</v>
      </c>
      <c r="C167" s="21" t="s">
        <v>253</v>
      </c>
      <c r="D167" s="22">
        <v>938.0</v>
      </c>
      <c r="E167" s="22">
        <v>1149.0</v>
      </c>
      <c r="F167" s="22">
        <f t="shared" si="2"/>
        <v>2087</v>
      </c>
      <c r="G167" s="23">
        <f t="shared" si="3"/>
        <v>0.4494489698</v>
      </c>
      <c r="H167" s="23">
        <f t="shared" si="4"/>
        <v>0.5505510302</v>
      </c>
      <c r="I167" s="21" t="s">
        <v>73</v>
      </c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21" t="s">
        <v>139</v>
      </c>
      <c r="B168" s="21" t="s">
        <v>252</v>
      </c>
      <c r="C168" s="21" t="s">
        <v>254</v>
      </c>
      <c r="D168" s="22">
        <v>797.0</v>
      </c>
      <c r="E168" s="22">
        <v>1126.0</v>
      </c>
      <c r="F168" s="22">
        <f t="shared" si="2"/>
        <v>1923</v>
      </c>
      <c r="G168" s="23">
        <f t="shared" si="3"/>
        <v>0.4144565783</v>
      </c>
      <c r="H168" s="23">
        <f t="shared" si="4"/>
        <v>0.5855434217</v>
      </c>
      <c r="I168" s="21" t="s">
        <v>73</v>
      </c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21" t="s">
        <v>139</v>
      </c>
      <c r="B169" s="21" t="s">
        <v>252</v>
      </c>
      <c r="C169" s="21" t="s">
        <v>255</v>
      </c>
      <c r="D169" s="22">
        <v>409.0</v>
      </c>
      <c r="E169" s="22">
        <v>587.0</v>
      </c>
      <c r="F169" s="22">
        <f t="shared" si="2"/>
        <v>996</v>
      </c>
      <c r="G169" s="23">
        <f t="shared" si="3"/>
        <v>0.4106425703</v>
      </c>
      <c r="H169" s="23">
        <f t="shared" si="4"/>
        <v>0.5893574297</v>
      </c>
      <c r="I169" s="21" t="s">
        <v>73</v>
      </c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21" t="s">
        <v>139</v>
      </c>
      <c r="B170" s="21" t="s">
        <v>252</v>
      </c>
      <c r="C170" s="21" t="s">
        <v>256</v>
      </c>
      <c r="D170" s="22">
        <v>638.0</v>
      </c>
      <c r="E170" s="22">
        <v>874.0</v>
      </c>
      <c r="F170" s="22">
        <f t="shared" si="2"/>
        <v>1512</v>
      </c>
      <c r="G170" s="23">
        <f t="shared" si="3"/>
        <v>0.421957672</v>
      </c>
      <c r="H170" s="23">
        <f t="shared" si="4"/>
        <v>0.578042328</v>
      </c>
      <c r="I170" s="21" t="s">
        <v>73</v>
      </c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21" t="s">
        <v>139</v>
      </c>
      <c r="B171" s="21" t="s">
        <v>252</v>
      </c>
      <c r="C171" s="21" t="s">
        <v>257</v>
      </c>
      <c r="D171" s="22">
        <v>551.0</v>
      </c>
      <c r="E171" s="22">
        <v>807.0</v>
      </c>
      <c r="F171" s="22">
        <f t="shared" si="2"/>
        <v>1358</v>
      </c>
      <c r="G171" s="23">
        <f t="shared" si="3"/>
        <v>0.4057437408</v>
      </c>
      <c r="H171" s="23">
        <f t="shared" si="4"/>
        <v>0.5942562592</v>
      </c>
      <c r="I171" s="21" t="s">
        <v>73</v>
      </c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21" t="s">
        <v>139</v>
      </c>
      <c r="B172" s="21" t="s">
        <v>252</v>
      </c>
      <c r="C172" s="21" t="s">
        <v>258</v>
      </c>
      <c r="D172" s="22">
        <v>411.0</v>
      </c>
      <c r="E172" s="22">
        <v>518.0</v>
      </c>
      <c r="F172" s="22">
        <f t="shared" si="2"/>
        <v>929</v>
      </c>
      <c r="G172" s="23">
        <f t="shared" si="3"/>
        <v>0.4424111948</v>
      </c>
      <c r="H172" s="23">
        <f t="shared" si="4"/>
        <v>0.5575888052</v>
      </c>
      <c r="I172" s="21" t="s">
        <v>73</v>
      </c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21" t="s">
        <v>139</v>
      </c>
      <c r="B173" s="21" t="s">
        <v>259</v>
      </c>
      <c r="C173" s="21" t="s">
        <v>260</v>
      </c>
      <c r="D173" s="22">
        <v>552.0</v>
      </c>
      <c r="E173" s="22">
        <v>528.0</v>
      </c>
      <c r="F173" s="22">
        <f t="shared" si="2"/>
        <v>1080</v>
      </c>
      <c r="G173" s="23">
        <f t="shared" si="3"/>
        <v>0.5111111111</v>
      </c>
      <c r="H173" s="23">
        <f t="shared" si="4"/>
        <v>0.4888888889</v>
      </c>
      <c r="I173" s="21" t="s">
        <v>73</v>
      </c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21" t="s">
        <v>139</v>
      </c>
      <c r="B174" s="21" t="s">
        <v>259</v>
      </c>
      <c r="C174" s="21" t="s">
        <v>261</v>
      </c>
      <c r="D174" s="22">
        <v>679.0</v>
      </c>
      <c r="E174" s="22">
        <v>639.0</v>
      </c>
      <c r="F174" s="22">
        <f t="shared" si="2"/>
        <v>1318</v>
      </c>
      <c r="G174" s="23">
        <f t="shared" si="3"/>
        <v>0.5151745068</v>
      </c>
      <c r="H174" s="23">
        <f t="shared" si="4"/>
        <v>0.4848254932</v>
      </c>
      <c r="I174" s="21" t="s">
        <v>73</v>
      </c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21" t="s">
        <v>139</v>
      </c>
      <c r="B175" s="21" t="s">
        <v>259</v>
      </c>
      <c r="C175" s="21" t="s">
        <v>262</v>
      </c>
      <c r="D175" s="22">
        <v>320.0</v>
      </c>
      <c r="E175" s="22">
        <v>313.0</v>
      </c>
      <c r="F175" s="22">
        <f t="shared" si="2"/>
        <v>633</v>
      </c>
      <c r="G175" s="23">
        <f t="shared" si="3"/>
        <v>0.5055292259</v>
      </c>
      <c r="H175" s="23">
        <f t="shared" si="4"/>
        <v>0.4944707741</v>
      </c>
      <c r="I175" s="21" t="s">
        <v>73</v>
      </c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21" t="s">
        <v>139</v>
      </c>
      <c r="B176" s="21" t="s">
        <v>259</v>
      </c>
      <c r="C176" s="21" t="s">
        <v>263</v>
      </c>
      <c r="D176" s="22">
        <v>375.0</v>
      </c>
      <c r="E176" s="22">
        <v>352.0</v>
      </c>
      <c r="F176" s="22">
        <f t="shared" si="2"/>
        <v>727</v>
      </c>
      <c r="G176" s="23">
        <f t="shared" si="3"/>
        <v>0.5158184319</v>
      </c>
      <c r="H176" s="23">
        <f t="shared" si="4"/>
        <v>0.4841815681</v>
      </c>
      <c r="I176" s="21" t="s">
        <v>73</v>
      </c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21" t="s">
        <v>139</v>
      </c>
      <c r="B177" s="21" t="s">
        <v>259</v>
      </c>
      <c r="C177" s="21" t="s">
        <v>264</v>
      </c>
      <c r="D177" s="22">
        <v>460.0</v>
      </c>
      <c r="E177" s="22">
        <v>453.0</v>
      </c>
      <c r="F177" s="22">
        <f t="shared" si="2"/>
        <v>913</v>
      </c>
      <c r="G177" s="23">
        <f t="shared" si="3"/>
        <v>0.5038335159</v>
      </c>
      <c r="H177" s="23">
        <f t="shared" si="4"/>
        <v>0.4961664841</v>
      </c>
      <c r="I177" s="21" t="s">
        <v>73</v>
      </c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21" t="s">
        <v>139</v>
      </c>
      <c r="B178" s="21" t="s">
        <v>259</v>
      </c>
      <c r="C178" s="21" t="s">
        <v>265</v>
      </c>
      <c r="D178" s="22">
        <v>300.0</v>
      </c>
      <c r="E178" s="22">
        <v>320.0</v>
      </c>
      <c r="F178" s="22">
        <f t="shared" si="2"/>
        <v>620</v>
      </c>
      <c r="G178" s="23">
        <f t="shared" si="3"/>
        <v>0.4838709677</v>
      </c>
      <c r="H178" s="23">
        <f t="shared" si="4"/>
        <v>0.5161290323</v>
      </c>
      <c r="I178" s="21" t="s">
        <v>73</v>
      </c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21" t="s">
        <v>139</v>
      </c>
      <c r="B179" s="21" t="s">
        <v>259</v>
      </c>
      <c r="C179" s="21" t="s">
        <v>266</v>
      </c>
      <c r="D179" s="22">
        <v>380.0</v>
      </c>
      <c r="E179" s="22">
        <v>320.0</v>
      </c>
      <c r="F179" s="22">
        <f t="shared" si="2"/>
        <v>700</v>
      </c>
      <c r="G179" s="23">
        <f t="shared" si="3"/>
        <v>0.5428571429</v>
      </c>
      <c r="H179" s="23">
        <f t="shared" si="4"/>
        <v>0.4571428571</v>
      </c>
      <c r="I179" s="21" t="s">
        <v>73</v>
      </c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21" t="s">
        <v>139</v>
      </c>
      <c r="B180" s="21" t="s">
        <v>259</v>
      </c>
      <c r="C180" s="21" t="s">
        <v>267</v>
      </c>
      <c r="D180" s="22">
        <v>493.0</v>
      </c>
      <c r="E180" s="22">
        <v>463.0</v>
      </c>
      <c r="F180" s="22">
        <f t="shared" si="2"/>
        <v>956</v>
      </c>
      <c r="G180" s="23">
        <f t="shared" si="3"/>
        <v>0.5156903766</v>
      </c>
      <c r="H180" s="23">
        <f t="shared" si="4"/>
        <v>0.4843096234</v>
      </c>
      <c r="I180" s="21" t="s">
        <v>73</v>
      </c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21" t="s">
        <v>139</v>
      </c>
      <c r="B181" s="21" t="s">
        <v>268</v>
      </c>
      <c r="C181" s="21" t="s">
        <v>269</v>
      </c>
      <c r="D181" s="22">
        <v>195.0</v>
      </c>
      <c r="E181" s="22">
        <v>247.0</v>
      </c>
      <c r="F181" s="22">
        <f t="shared" si="2"/>
        <v>442</v>
      </c>
      <c r="G181" s="23">
        <f t="shared" si="3"/>
        <v>0.4411764706</v>
      </c>
      <c r="H181" s="23">
        <f t="shared" si="4"/>
        <v>0.5588235294</v>
      </c>
      <c r="I181" s="21" t="s">
        <v>73</v>
      </c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21" t="s">
        <v>139</v>
      </c>
      <c r="B182" s="21" t="s">
        <v>268</v>
      </c>
      <c r="C182" s="21" t="s">
        <v>270</v>
      </c>
      <c r="D182" s="22">
        <v>134.0</v>
      </c>
      <c r="E182" s="22">
        <v>190.0</v>
      </c>
      <c r="F182" s="22">
        <f t="shared" si="2"/>
        <v>324</v>
      </c>
      <c r="G182" s="23">
        <f t="shared" si="3"/>
        <v>0.4135802469</v>
      </c>
      <c r="H182" s="23">
        <f t="shared" si="4"/>
        <v>0.5864197531</v>
      </c>
      <c r="I182" s="21" t="s">
        <v>73</v>
      </c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21" t="s">
        <v>139</v>
      </c>
      <c r="B183" s="21" t="s">
        <v>268</v>
      </c>
      <c r="C183" s="21" t="s">
        <v>271</v>
      </c>
      <c r="D183" s="22">
        <v>336.0</v>
      </c>
      <c r="E183" s="22">
        <v>437.0</v>
      </c>
      <c r="F183" s="22">
        <f t="shared" si="2"/>
        <v>773</v>
      </c>
      <c r="G183" s="23">
        <f t="shared" si="3"/>
        <v>0.4346701164</v>
      </c>
      <c r="H183" s="23">
        <f t="shared" si="4"/>
        <v>0.5653298836</v>
      </c>
      <c r="I183" s="21" t="s">
        <v>73</v>
      </c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21" t="s">
        <v>139</v>
      </c>
      <c r="B184" s="21" t="s">
        <v>272</v>
      </c>
      <c r="C184" s="21" t="s">
        <v>273</v>
      </c>
      <c r="D184" s="22">
        <v>790.0</v>
      </c>
      <c r="E184" s="22">
        <v>775.0</v>
      </c>
      <c r="F184" s="22">
        <f t="shared" si="2"/>
        <v>1565</v>
      </c>
      <c r="G184" s="23">
        <f t="shared" si="3"/>
        <v>0.5047923323</v>
      </c>
      <c r="H184" s="23">
        <f t="shared" si="4"/>
        <v>0.4952076677</v>
      </c>
      <c r="I184" s="21" t="s">
        <v>73</v>
      </c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21" t="s">
        <v>139</v>
      </c>
      <c r="B185" s="21" t="s">
        <v>272</v>
      </c>
      <c r="C185" s="21" t="s">
        <v>274</v>
      </c>
      <c r="D185" s="22">
        <v>352.0</v>
      </c>
      <c r="E185" s="22">
        <v>327.0</v>
      </c>
      <c r="F185" s="22">
        <f t="shared" si="2"/>
        <v>679</v>
      </c>
      <c r="G185" s="23">
        <f t="shared" si="3"/>
        <v>0.5184094256</v>
      </c>
      <c r="H185" s="23">
        <f t="shared" si="4"/>
        <v>0.4815905744</v>
      </c>
      <c r="I185" s="21" t="s">
        <v>73</v>
      </c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21" t="s">
        <v>139</v>
      </c>
      <c r="B186" s="21" t="s">
        <v>272</v>
      </c>
      <c r="C186" s="21" t="s">
        <v>275</v>
      </c>
      <c r="D186" s="22">
        <v>1047.0</v>
      </c>
      <c r="E186" s="22">
        <v>776.0</v>
      </c>
      <c r="F186" s="22">
        <f t="shared" si="2"/>
        <v>1823</v>
      </c>
      <c r="G186" s="23">
        <f t="shared" si="3"/>
        <v>0.5743280307</v>
      </c>
      <c r="H186" s="23">
        <f t="shared" si="4"/>
        <v>0.4256719693</v>
      </c>
      <c r="I186" s="21" t="s">
        <v>73</v>
      </c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21" t="s">
        <v>139</v>
      </c>
      <c r="B187" s="21" t="s">
        <v>272</v>
      </c>
      <c r="C187" s="21" t="s">
        <v>276</v>
      </c>
      <c r="D187" s="22">
        <v>445.0</v>
      </c>
      <c r="E187" s="22">
        <v>448.0</v>
      </c>
      <c r="F187" s="22">
        <f t="shared" si="2"/>
        <v>893</v>
      </c>
      <c r="G187" s="23">
        <f t="shared" si="3"/>
        <v>0.4983202688</v>
      </c>
      <c r="H187" s="23">
        <f t="shared" si="4"/>
        <v>0.5016797312</v>
      </c>
      <c r="I187" s="21" t="s">
        <v>73</v>
      </c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21" t="s">
        <v>139</v>
      </c>
      <c r="B188" s="21" t="s">
        <v>272</v>
      </c>
      <c r="C188" s="21" t="s">
        <v>277</v>
      </c>
      <c r="D188" s="22">
        <v>921.0</v>
      </c>
      <c r="E188" s="22">
        <v>577.0</v>
      </c>
      <c r="F188" s="22">
        <f t="shared" si="2"/>
        <v>1498</v>
      </c>
      <c r="G188" s="23">
        <f t="shared" si="3"/>
        <v>0.6148197597</v>
      </c>
      <c r="H188" s="23">
        <f t="shared" si="4"/>
        <v>0.3851802403</v>
      </c>
      <c r="I188" s="21" t="s">
        <v>73</v>
      </c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21" t="s">
        <v>139</v>
      </c>
      <c r="B189" s="21" t="s">
        <v>272</v>
      </c>
      <c r="C189" s="21" t="s">
        <v>278</v>
      </c>
      <c r="D189" s="22">
        <v>968.0</v>
      </c>
      <c r="E189" s="22">
        <v>614.0</v>
      </c>
      <c r="F189" s="22">
        <f t="shared" si="2"/>
        <v>1582</v>
      </c>
      <c r="G189" s="23">
        <f t="shared" si="3"/>
        <v>0.6118836915</v>
      </c>
      <c r="H189" s="23">
        <f t="shared" si="4"/>
        <v>0.3881163085</v>
      </c>
      <c r="I189" s="21" t="s">
        <v>73</v>
      </c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21" t="s">
        <v>139</v>
      </c>
      <c r="B190" s="21" t="s">
        <v>272</v>
      </c>
      <c r="C190" s="21" t="s">
        <v>279</v>
      </c>
      <c r="D190" s="22">
        <v>448.0</v>
      </c>
      <c r="E190" s="22">
        <v>415.0</v>
      </c>
      <c r="F190" s="22">
        <f t="shared" si="2"/>
        <v>863</v>
      </c>
      <c r="G190" s="23">
        <f t="shared" si="3"/>
        <v>0.5191193511</v>
      </c>
      <c r="H190" s="23">
        <f t="shared" si="4"/>
        <v>0.4808806489</v>
      </c>
      <c r="I190" s="21" t="s">
        <v>73</v>
      </c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21" t="s">
        <v>139</v>
      </c>
      <c r="B191" s="21" t="s">
        <v>272</v>
      </c>
      <c r="C191" s="21" t="s">
        <v>280</v>
      </c>
      <c r="D191" s="22">
        <v>1298.0</v>
      </c>
      <c r="E191" s="22">
        <v>1189.0</v>
      </c>
      <c r="F191" s="22">
        <f t="shared" si="2"/>
        <v>2487</v>
      </c>
      <c r="G191" s="23">
        <f t="shared" si="3"/>
        <v>0.5219139526</v>
      </c>
      <c r="H191" s="23">
        <f t="shared" si="4"/>
        <v>0.4780860474</v>
      </c>
      <c r="I191" s="21" t="s">
        <v>73</v>
      </c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21" t="s">
        <v>139</v>
      </c>
      <c r="B192" s="21" t="s">
        <v>281</v>
      </c>
      <c r="C192" s="21" t="s">
        <v>282</v>
      </c>
      <c r="D192" s="22">
        <v>848.0</v>
      </c>
      <c r="E192" s="22">
        <v>785.0</v>
      </c>
      <c r="F192" s="22">
        <f t="shared" si="2"/>
        <v>1633</v>
      </c>
      <c r="G192" s="23">
        <f t="shared" si="3"/>
        <v>0.5192896509</v>
      </c>
      <c r="H192" s="23">
        <f t="shared" si="4"/>
        <v>0.4807103491</v>
      </c>
      <c r="I192" s="21" t="s">
        <v>73</v>
      </c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21" t="s">
        <v>139</v>
      </c>
      <c r="B193" s="21" t="s">
        <v>281</v>
      </c>
      <c r="C193" s="21" t="s">
        <v>283</v>
      </c>
      <c r="D193" s="22">
        <v>1180.0</v>
      </c>
      <c r="E193" s="22">
        <v>1065.0</v>
      </c>
      <c r="F193" s="22">
        <f t="shared" si="2"/>
        <v>2245</v>
      </c>
      <c r="G193" s="23">
        <f t="shared" si="3"/>
        <v>0.5256124722</v>
      </c>
      <c r="H193" s="23">
        <f t="shared" si="4"/>
        <v>0.4743875278</v>
      </c>
      <c r="I193" s="21" t="s">
        <v>73</v>
      </c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21" t="s">
        <v>139</v>
      </c>
      <c r="B194" s="21" t="s">
        <v>281</v>
      </c>
      <c r="C194" s="21" t="s">
        <v>284</v>
      </c>
      <c r="D194" s="22">
        <v>741.0</v>
      </c>
      <c r="E194" s="22">
        <v>808.0</v>
      </c>
      <c r="F194" s="22">
        <f t="shared" si="2"/>
        <v>1549</v>
      </c>
      <c r="G194" s="23">
        <f t="shared" si="3"/>
        <v>0.478373144</v>
      </c>
      <c r="H194" s="23">
        <f t="shared" si="4"/>
        <v>0.521626856</v>
      </c>
      <c r="I194" s="21" t="s">
        <v>73</v>
      </c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21" t="s">
        <v>139</v>
      </c>
      <c r="B195" s="21" t="s">
        <v>281</v>
      </c>
      <c r="C195" s="21" t="s">
        <v>285</v>
      </c>
      <c r="D195" s="22">
        <v>600.0</v>
      </c>
      <c r="E195" s="22">
        <v>500.0</v>
      </c>
      <c r="F195" s="22">
        <f t="shared" si="2"/>
        <v>1100</v>
      </c>
      <c r="G195" s="23">
        <f t="shared" si="3"/>
        <v>0.5454545455</v>
      </c>
      <c r="H195" s="23">
        <f t="shared" si="4"/>
        <v>0.4545454545</v>
      </c>
      <c r="I195" s="21" t="s">
        <v>73</v>
      </c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21" t="s">
        <v>139</v>
      </c>
      <c r="B196" s="21" t="s">
        <v>281</v>
      </c>
      <c r="C196" s="21" t="s">
        <v>286</v>
      </c>
      <c r="D196" s="22">
        <v>1703.0</v>
      </c>
      <c r="E196" s="22">
        <v>1392.0</v>
      </c>
      <c r="F196" s="22">
        <f t="shared" si="2"/>
        <v>3095</v>
      </c>
      <c r="G196" s="23">
        <f t="shared" si="3"/>
        <v>0.5502423263</v>
      </c>
      <c r="H196" s="23">
        <f t="shared" si="4"/>
        <v>0.4497576737</v>
      </c>
      <c r="I196" s="21" t="s">
        <v>73</v>
      </c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21" t="s">
        <v>139</v>
      </c>
      <c r="B197" s="21" t="s">
        <v>281</v>
      </c>
      <c r="C197" s="21" t="s">
        <v>287</v>
      </c>
      <c r="D197" s="22">
        <v>588.0</v>
      </c>
      <c r="E197" s="22">
        <v>526.0</v>
      </c>
      <c r="F197" s="22">
        <f t="shared" si="2"/>
        <v>1114</v>
      </c>
      <c r="G197" s="23">
        <f t="shared" si="3"/>
        <v>0.5278276481</v>
      </c>
      <c r="H197" s="23">
        <f t="shared" si="4"/>
        <v>0.4721723519</v>
      </c>
      <c r="I197" s="21" t="s">
        <v>73</v>
      </c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21" t="s">
        <v>139</v>
      </c>
      <c r="B198" s="21" t="s">
        <v>281</v>
      </c>
      <c r="C198" s="21" t="s">
        <v>288</v>
      </c>
      <c r="D198" s="22">
        <v>558.0</v>
      </c>
      <c r="E198" s="22">
        <v>439.0</v>
      </c>
      <c r="F198" s="22">
        <f t="shared" si="2"/>
        <v>997</v>
      </c>
      <c r="G198" s="23">
        <f t="shared" si="3"/>
        <v>0.5596790371</v>
      </c>
      <c r="H198" s="23">
        <f t="shared" si="4"/>
        <v>0.4403209629</v>
      </c>
      <c r="I198" s="21" t="s">
        <v>73</v>
      </c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21" t="s">
        <v>139</v>
      </c>
      <c r="B199" s="21" t="s">
        <v>281</v>
      </c>
      <c r="C199" s="21" t="s">
        <v>289</v>
      </c>
      <c r="D199" s="22">
        <v>619.0</v>
      </c>
      <c r="E199" s="22">
        <v>548.0</v>
      </c>
      <c r="F199" s="22">
        <f t="shared" si="2"/>
        <v>1167</v>
      </c>
      <c r="G199" s="23">
        <f t="shared" si="3"/>
        <v>0.53041988</v>
      </c>
      <c r="H199" s="23">
        <f t="shared" si="4"/>
        <v>0.46958012</v>
      </c>
      <c r="I199" s="21" t="s">
        <v>73</v>
      </c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21" t="s">
        <v>139</v>
      </c>
      <c r="B200" s="21" t="s">
        <v>290</v>
      </c>
      <c r="C200" s="21" t="s">
        <v>291</v>
      </c>
      <c r="D200" s="22">
        <v>1494.0</v>
      </c>
      <c r="E200" s="22">
        <v>1597.0</v>
      </c>
      <c r="F200" s="22">
        <f t="shared" si="2"/>
        <v>3091</v>
      </c>
      <c r="G200" s="23">
        <f t="shared" si="3"/>
        <v>0.4833387253</v>
      </c>
      <c r="H200" s="23">
        <f t="shared" si="4"/>
        <v>0.5166612747</v>
      </c>
      <c r="I200" s="21" t="s">
        <v>73</v>
      </c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21" t="s">
        <v>139</v>
      </c>
      <c r="B201" s="21" t="s">
        <v>290</v>
      </c>
      <c r="C201" s="21" t="s">
        <v>292</v>
      </c>
      <c r="D201" s="22">
        <v>909.0</v>
      </c>
      <c r="E201" s="22">
        <v>1327.0</v>
      </c>
      <c r="F201" s="22">
        <f t="shared" si="2"/>
        <v>2236</v>
      </c>
      <c r="G201" s="23">
        <f t="shared" si="3"/>
        <v>0.406529517</v>
      </c>
      <c r="H201" s="23">
        <f t="shared" si="4"/>
        <v>0.593470483</v>
      </c>
      <c r="I201" s="21" t="s">
        <v>73</v>
      </c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21" t="s">
        <v>139</v>
      </c>
      <c r="B202" s="21" t="s">
        <v>293</v>
      </c>
      <c r="C202" s="21" t="s">
        <v>294</v>
      </c>
      <c r="D202" s="22">
        <v>968.0</v>
      </c>
      <c r="E202" s="22">
        <v>956.0</v>
      </c>
      <c r="F202" s="22">
        <f t="shared" si="2"/>
        <v>1924</v>
      </c>
      <c r="G202" s="23">
        <f t="shared" si="3"/>
        <v>0.5031185031</v>
      </c>
      <c r="H202" s="23">
        <f t="shared" si="4"/>
        <v>0.4968814969</v>
      </c>
      <c r="I202" s="21" t="s">
        <v>73</v>
      </c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21" t="s">
        <v>139</v>
      </c>
      <c r="B203" s="21" t="s">
        <v>293</v>
      </c>
      <c r="C203" s="21" t="s">
        <v>295</v>
      </c>
      <c r="D203" s="22">
        <v>720.0</v>
      </c>
      <c r="E203" s="22">
        <v>755.0</v>
      </c>
      <c r="F203" s="22">
        <f t="shared" si="2"/>
        <v>1475</v>
      </c>
      <c r="G203" s="23">
        <f t="shared" si="3"/>
        <v>0.4881355932</v>
      </c>
      <c r="H203" s="23">
        <f t="shared" si="4"/>
        <v>0.5118644068</v>
      </c>
      <c r="I203" s="21" t="s">
        <v>73</v>
      </c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21" t="s">
        <v>139</v>
      </c>
      <c r="B204" s="21" t="s">
        <v>293</v>
      </c>
      <c r="C204" s="21" t="s">
        <v>296</v>
      </c>
      <c r="D204" s="22">
        <v>601.0</v>
      </c>
      <c r="E204" s="22">
        <v>615.0</v>
      </c>
      <c r="F204" s="22">
        <f t="shared" si="2"/>
        <v>1216</v>
      </c>
      <c r="G204" s="23">
        <f t="shared" si="3"/>
        <v>0.4942434211</v>
      </c>
      <c r="H204" s="23">
        <f t="shared" si="4"/>
        <v>0.5057565789</v>
      </c>
      <c r="I204" s="21" t="s">
        <v>73</v>
      </c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21" t="s">
        <v>139</v>
      </c>
      <c r="B205" s="21" t="s">
        <v>293</v>
      </c>
      <c r="C205" s="21" t="s">
        <v>297</v>
      </c>
      <c r="D205" s="22">
        <v>1537.0</v>
      </c>
      <c r="E205" s="22">
        <v>1556.0</v>
      </c>
      <c r="F205" s="22">
        <f t="shared" si="2"/>
        <v>3093</v>
      </c>
      <c r="G205" s="23">
        <f t="shared" si="3"/>
        <v>0.4969285483</v>
      </c>
      <c r="H205" s="23">
        <f t="shared" si="4"/>
        <v>0.5030714517</v>
      </c>
      <c r="I205" s="21" t="s">
        <v>73</v>
      </c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21" t="s">
        <v>139</v>
      </c>
      <c r="B206" s="21" t="s">
        <v>293</v>
      </c>
      <c r="C206" s="21" t="s">
        <v>298</v>
      </c>
      <c r="D206" s="22">
        <v>623.0</v>
      </c>
      <c r="E206" s="22">
        <v>569.0</v>
      </c>
      <c r="F206" s="22">
        <f t="shared" si="2"/>
        <v>1192</v>
      </c>
      <c r="G206" s="23">
        <f t="shared" si="3"/>
        <v>0.5226510067</v>
      </c>
      <c r="H206" s="23">
        <f t="shared" si="4"/>
        <v>0.4773489933</v>
      </c>
      <c r="I206" s="21" t="s">
        <v>73</v>
      </c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21" t="s">
        <v>139</v>
      </c>
      <c r="B207" s="21" t="s">
        <v>293</v>
      </c>
      <c r="C207" s="21" t="s">
        <v>299</v>
      </c>
      <c r="D207" s="22">
        <v>665.0</v>
      </c>
      <c r="E207" s="22">
        <v>565.0</v>
      </c>
      <c r="F207" s="22">
        <f t="shared" si="2"/>
        <v>1230</v>
      </c>
      <c r="G207" s="23">
        <f t="shared" si="3"/>
        <v>0.5406504065</v>
      </c>
      <c r="H207" s="23">
        <f t="shared" si="4"/>
        <v>0.4593495935</v>
      </c>
      <c r="I207" s="21" t="s">
        <v>73</v>
      </c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21" t="s">
        <v>139</v>
      </c>
      <c r="B208" s="21" t="s">
        <v>300</v>
      </c>
      <c r="C208" s="21" t="s">
        <v>301</v>
      </c>
      <c r="D208" s="22">
        <v>239.0</v>
      </c>
      <c r="E208" s="22">
        <v>466.0</v>
      </c>
      <c r="F208" s="22">
        <f t="shared" si="2"/>
        <v>705</v>
      </c>
      <c r="G208" s="23">
        <f t="shared" si="3"/>
        <v>0.3390070922</v>
      </c>
      <c r="H208" s="23">
        <f t="shared" si="4"/>
        <v>0.6609929078</v>
      </c>
      <c r="I208" s="21" t="s">
        <v>73</v>
      </c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21" t="s">
        <v>139</v>
      </c>
      <c r="B209" s="21" t="s">
        <v>300</v>
      </c>
      <c r="C209" s="21" t="s">
        <v>302</v>
      </c>
      <c r="D209" s="22">
        <v>805.0</v>
      </c>
      <c r="E209" s="22">
        <v>1425.0</v>
      </c>
      <c r="F209" s="22">
        <f t="shared" si="2"/>
        <v>2230</v>
      </c>
      <c r="G209" s="23">
        <f t="shared" si="3"/>
        <v>0.3609865471</v>
      </c>
      <c r="H209" s="23">
        <f t="shared" si="4"/>
        <v>0.6390134529</v>
      </c>
      <c r="I209" s="21" t="s">
        <v>73</v>
      </c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21" t="s">
        <v>139</v>
      </c>
      <c r="B210" s="21" t="s">
        <v>300</v>
      </c>
      <c r="C210" s="21" t="s">
        <v>303</v>
      </c>
      <c r="D210" s="22">
        <v>183.0</v>
      </c>
      <c r="E210" s="22">
        <v>427.0</v>
      </c>
      <c r="F210" s="22">
        <f t="shared" si="2"/>
        <v>610</v>
      </c>
      <c r="G210" s="23">
        <f t="shared" si="3"/>
        <v>0.3</v>
      </c>
      <c r="H210" s="23">
        <f t="shared" si="4"/>
        <v>0.7</v>
      </c>
      <c r="I210" s="21" t="s">
        <v>73</v>
      </c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21" t="s">
        <v>139</v>
      </c>
      <c r="B211" s="21" t="s">
        <v>304</v>
      </c>
      <c r="C211" s="21" t="s">
        <v>304</v>
      </c>
      <c r="D211" s="22">
        <v>1123.0</v>
      </c>
      <c r="E211" s="22">
        <v>1920.0</v>
      </c>
      <c r="F211" s="22">
        <f t="shared" si="2"/>
        <v>3043</v>
      </c>
      <c r="G211" s="23">
        <f t="shared" si="3"/>
        <v>0.3690437069</v>
      </c>
      <c r="H211" s="23">
        <f t="shared" si="4"/>
        <v>0.6309562931</v>
      </c>
      <c r="I211" s="21" t="s">
        <v>73</v>
      </c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21" t="s">
        <v>139</v>
      </c>
      <c r="B212" s="21" t="s">
        <v>305</v>
      </c>
      <c r="C212" s="21" t="s">
        <v>306</v>
      </c>
      <c r="D212" s="22">
        <v>729.0</v>
      </c>
      <c r="E212" s="22">
        <v>764.0</v>
      </c>
      <c r="F212" s="22">
        <f t="shared" si="2"/>
        <v>1493</v>
      </c>
      <c r="G212" s="23">
        <f t="shared" si="3"/>
        <v>0.4882786336</v>
      </c>
      <c r="H212" s="23">
        <f t="shared" si="4"/>
        <v>0.5117213664</v>
      </c>
      <c r="I212" s="21" t="s">
        <v>73</v>
      </c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21" t="s">
        <v>139</v>
      </c>
      <c r="B213" s="21" t="s">
        <v>305</v>
      </c>
      <c r="C213" s="21" t="s">
        <v>307</v>
      </c>
      <c r="D213" s="22">
        <v>566.0</v>
      </c>
      <c r="E213" s="22">
        <v>575.0</v>
      </c>
      <c r="F213" s="22">
        <f t="shared" si="2"/>
        <v>1141</v>
      </c>
      <c r="G213" s="23">
        <f t="shared" si="3"/>
        <v>0.4960560911</v>
      </c>
      <c r="H213" s="23">
        <f t="shared" si="4"/>
        <v>0.5039439089</v>
      </c>
      <c r="I213" s="21" t="s">
        <v>73</v>
      </c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21" t="s">
        <v>139</v>
      </c>
      <c r="B214" s="21" t="s">
        <v>305</v>
      </c>
      <c r="C214" s="21" t="s">
        <v>308</v>
      </c>
      <c r="D214" s="22">
        <v>516.0</v>
      </c>
      <c r="E214" s="22">
        <v>403.0</v>
      </c>
      <c r="F214" s="22">
        <f t="shared" si="2"/>
        <v>919</v>
      </c>
      <c r="G214" s="23">
        <f t="shared" si="3"/>
        <v>0.5614798694</v>
      </c>
      <c r="H214" s="23">
        <f t="shared" si="4"/>
        <v>0.4385201306</v>
      </c>
      <c r="I214" s="21" t="s">
        <v>73</v>
      </c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21" t="s">
        <v>139</v>
      </c>
      <c r="B215" s="21" t="s">
        <v>305</v>
      </c>
      <c r="C215" s="21" t="s">
        <v>309</v>
      </c>
      <c r="D215" s="22">
        <v>629.0</v>
      </c>
      <c r="E215" s="22">
        <v>415.0</v>
      </c>
      <c r="F215" s="22">
        <f t="shared" si="2"/>
        <v>1044</v>
      </c>
      <c r="G215" s="23">
        <f t="shared" si="3"/>
        <v>0.6024904215</v>
      </c>
      <c r="H215" s="23">
        <f t="shared" si="4"/>
        <v>0.3975095785</v>
      </c>
      <c r="I215" s="21" t="s">
        <v>73</v>
      </c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21" t="s">
        <v>139</v>
      </c>
      <c r="B216" s="21" t="s">
        <v>305</v>
      </c>
      <c r="C216" s="21" t="s">
        <v>310</v>
      </c>
      <c r="D216" s="22">
        <v>208.0</v>
      </c>
      <c r="E216" s="22">
        <v>165.0</v>
      </c>
      <c r="F216" s="22">
        <f t="shared" si="2"/>
        <v>373</v>
      </c>
      <c r="G216" s="23">
        <f t="shared" si="3"/>
        <v>0.5576407507</v>
      </c>
      <c r="H216" s="23">
        <f t="shared" si="4"/>
        <v>0.4423592493</v>
      </c>
      <c r="I216" s="21" t="s">
        <v>73</v>
      </c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21" t="s">
        <v>139</v>
      </c>
      <c r="B217" s="21" t="s">
        <v>305</v>
      </c>
      <c r="C217" s="21" t="s">
        <v>311</v>
      </c>
      <c r="D217" s="22">
        <v>335.0</v>
      </c>
      <c r="E217" s="22">
        <v>212.0</v>
      </c>
      <c r="F217" s="22">
        <f t="shared" si="2"/>
        <v>547</v>
      </c>
      <c r="G217" s="23">
        <f t="shared" si="3"/>
        <v>0.6124314442</v>
      </c>
      <c r="H217" s="23">
        <f t="shared" si="4"/>
        <v>0.3875685558</v>
      </c>
      <c r="I217" s="21" t="s">
        <v>73</v>
      </c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21" t="s">
        <v>139</v>
      </c>
      <c r="B218" s="21" t="s">
        <v>305</v>
      </c>
      <c r="C218" s="21" t="s">
        <v>312</v>
      </c>
      <c r="D218" s="22">
        <v>434.0</v>
      </c>
      <c r="E218" s="22">
        <v>323.0</v>
      </c>
      <c r="F218" s="22">
        <f t="shared" si="2"/>
        <v>757</v>
      </c>
      <c r="G218" s="23">
        <f t="shared" si="3"/>
        <v>0.5733157199</v>
      </c>
      <c r="H218" s="23">
        <f t="shared" si="4"/>
        <v>0.4266842801</v>
      </c>
      <c r="I218" s="21" t="s">
        <v>73</v>
      </c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21" t="s">
        <v>139</v>
      </c>
      <c r="B219" s="21" t="s">
        <v>305</v>
      </c>
      <c r="C219" s="21" t="s">
        <v>313</v>
      </c>
      <c r="D219" s="22">
        <v>227.0</v>
      </c>
      <c r="E219" s="22">
        <v>237.0</v>
      </c>
      <c r="F219" s="22">
        <f t="shared" si="2"/>
        <v>464</v>
      </c>
      <c r="G219" s="23">
        <f t="shared" si="3"/>
        <v>0.4892241379</v>
      </c>
      <c r="H219" s="23">
        <f t="shared" si="4"/>
        <v>0.5107758621</v>
      </c>
      <c r="I219" s="21" t="s">
        <v>73</v>
      </c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21" t="s">
        <v>139</v>
      </c>
      <c r="B220" s="21" t="s">
        <v>305</v>
      </c>
      <c r="C220" s="21" t="s">
        <v>314</v>
      </c>
      <c r="D220" s="22">
        <v>437.0</v>
      </c>
      <c r="E220" s="22">
        <v>386.0</v>
      </c>
      <c r="F220" s="22">
        <f t="shared" si="2"/>
        <v>823</v>
      </c>
      <c r="G220" s="23">
        <f t="shared" si="3"/>
        <v>0.5309842041</v>
      </c>
      <c r="H220" s="23">
        <f t="shared" si="4"/>
        <v>0.4690157959</v>
      </c>
      <c r="I220" s="21" t="s">
        <v>73</v>
      </c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21" t="s">
        <v>139</v>
      </c>
      <c r="B221" s="21" t="s">
        <v>305</v>
      </c>
      <c r="C221" s="21" t="s">
        <v>315</v>
      </c>
      <c r="D221" s="22">
        <v>732.0</v>
      </c>
      <c r="E221" s="22">
        <v>790.0</v>
      </c>
      <c r="F221" s="22">
        <f t="shared" si="2"/>
        <v>1522</v>
      </c>
      <c r="G221" s="23">
        <f t="shared" si="3"/>
        <v>0.4809461235</v>
      </c>
      <c r="H221" s="23">
        <f t="shared" si="4"/>
        <v>0.5190538765</v>
      </c>
      <c r="I221" s="21" t="s">
        <v>73</v>
      </c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21" t="s">
        <v>139</v>
      </c>
      <c r="B222" s="21" t="s">
        <v>305</v>
      </c>
      <c r="C222" s="21" t="s">
        <v>316</v>
      </c>
      <c r="D222" s="22">
        <v>673.0</v>
      </c>
      <c r="E222" s="22">
        <v>666.0</v>
      </c>
      <c r="F222" s="22">
        <f t="shared" si="2"/>
        <v>1339</v>
      </c>
      <c r="G222" s="23">
        <f t="shared" si="3"/>
        <v>0.502613891</v>
      </c>
      <c r="H222" s="23">
        <f t="shared" si="4"/>
        <v>0.497386109</v>
      </c>
      <c r="I222" s="21" t="s">
        <v>73</v>
      </c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21" t="s">
        <v>139</v>
      </c>
      <c r="B223" s="21" t="s">
        <v>305</v>
      </c>
      <c r="C223" s="21" t="s">
        <v>317</v>
      </c>
      <c r="D223" s="22">
        <v>474.0</v>
      </c>
      <c r="E223" s="22">
        <v>423.0</v>
      </c>
      <c r="F223" s="22">
        <f t="shared" si="2"/>
        <v>897</v>
      </c>
      <c r="G223" s="23">
        <f t="shared" si="3"/>
        <v>0.5284280936</v>
      </c>
      <c r="H223" s="23">
        <f t="shared" si="4"/>
        <v>0.4715719064</v>
      </c>
      <c r="I223" s="21" t="s">
        <v>73</v>
      </c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27" t="s">
        <v>318</v>
      </c>
      <c r="B224" s="21" t="s">
        <v>319</v>
      </c>
      <c r="C224" s="21" t="s">
        <v>320</v>
      </c>
      <c r="D224" s="22">
        <v>453.0</v>
      </c>
      <c r="E224" s="22">
        <v>955.0</v>
      </c>
      <c r="F224" s="22">
        <f t="shared" si="2"/>
        <v>1408</v>
      </c>
      <c r="G224" s="23">
        <f t="shared" si="3"/>
        <v>0.3217329545</v>
      </c>
      <c r="H224" s="23">
        <f t="shared" si="4"/>
        <v>0.6782670455</v>
      </c>
      <c r="I224" s="21" t="s">
        <v>73</v>
      </c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27" t="s">
        <v>318</v>
      </c>
      <c r="B225" s="21" t="s">
        <v>321</v>
      </c>
      <c r="C225" s="21" t="s">
        <v>322</v>
      </c>
      <c r="D225" s="22">
        <v>1249.0</v>
      </c>
      <c r="E225" s="22">
        <v>2281.0</v>
      </c>
      <c r="F225" s="22">
        <f t="shared" si="2"/>
        <v>3530</v>
      </c>
      <c r="G225" s="23">
        <f t="shared" si="3"/>
        <v>0.3538243626</v>
      </c>
      <c r="H225" s="23">
        <f t="shared" si="4"/>
        <v>0.6461756374</v>
      </c>
      <c r="I225" s="21" t="s">
        <v>73</v>
      </c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28" t="s">
        <v>318</v>
      </c>
      <c r="B226" s="24" t="s">
        <v>323</v>
      </c>
      <c r="C226" s="24" t="s">
        <v>324</v>
      </c>
      <c r="D226" s="25">
        <v>124.0</v>
      </c>
      <c r="E226" s="25">
        <v>213.0</v>
      </c>
      <c r="F226" s="25">
        <f t="shared" si="2"/>
        <v>337</v>
      </c>
      <c r="G226" s="26">
        <f t="shared" si="3"/>
        <v>0.3679525223</v>
      </c>
      <c r="H226" s="26">
        <f t="shared" si="4"/>
        <v>0.6320474777</v>
      </c>
      <c r="I226" s="24" t="s">
        <v>83</v>
      </c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24" t="s">
        <v>325</v>
      </c>
      <c r="B227" s="24" t="s">
        <v>326</v>
      </c>
      <c r="C227" s="24" t="s">
        <v>327</v>
      </c>
      <c r="D227" s="25">
        <v>696.0</v>
      </c>
      <c r="E227" s="25">
        <v>852.0</v>
      </c>
      <c r="F227" s="25">
        <f t="shared" si="2"/>
        <v>1548</v>
      </c>
      <c r="G227" s="26">
        <f t="shared" si="3"/>
        <v>0.4496124031</v>
      </c>
      <c r="H227" s="26">
        <f t="shared" si="4"/>
        <v>0.5503875969</v>
      </c>
      <c r="I227" s="24" t="s">
        <v>83</v>
      </c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24" t="s">
        <v>325</v>
      </c>
      <c r="B228" s="24" t="s">
        <v>326</v>
      </c>
      <c r="C228" s="24" t="s">
        <v>328</v>
      </c>
      <c r="D228" s="25">
        <v>696.0</v>
      </c>
      <c r="E228" s="25">
        <v>852.0</v>
      </c>
      <c r="F228" s="25">
        <f t="shared" si="2"/>
        <v>1548</v>
      </c>
      <c r="G228" s="26">
        <f t="shared" si="3"/>
        <v>0.4496124031</v>
      </c>
      <c r="H228" s="26">
        <f t="shared" si="4"/>
        <v>0.5503875969</v>
      </c>
      <c r="I228" s="24" t="s">
        <v>83</v>
      </c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24" t="s">
        <v>325</v>
      </c>
      <c r="B229" s="24" t="s">
        <v>329</v>
      </c>
      <c r="C229" s="24" t="s">
        <v>330</v>
      </c>
      <c r="D229" s="25">
        <v>392.0</v>
      </c>
      <c r="E229" s="25">
        <v>525.0</v>
      </c>
      <c r="F229" s="25">
        <f t="shared" si="2"/>
        <v>917</v>
      </c>
      <c r="G229" s="26">
        <f t="shared" si="3"/>
        <v>0.427480916</v>
      </c>
      <c r="H229" s="26">
        <f t="shared" si="4"/>
        <v>0.572519084</v>
      </c>
      <c r="I229" s="24" t="s">
        <v>83</v>
      </c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24" t="s">
        <v>325</v>
      </c>
      <c r="B230" s="24" t="s">
        <v>329</v>
      </c>
      <c r="C230" s="24" t="s">
        <v>331</v>
      </c>
      <c r="D230" s="25">
        <v>392.0</v>
      </c>
      <c r="E230" s="25">
        <v>525.0</v>
      </c>
      <c r="F230" s="25">
        <f t="shared" si="2"/>
        <v>917</v>
      </c>
      <c r="G230" s="26">
        <f t="shared" si="3"/>
        <v>0.427480916</v>
      </c>
      <c r="H230" s="26">
        <f t="shared" si="4"/>
        <v>0.572519084</v>
      </c>
      <c r="I230" s="24" t="s">
        <v>83</v>
      </c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24" t="s">
        <v>325</v>
      </c>
      <c r="B231" s="24" t="s">
        <v>332</v>
      </c>
      <c r="C231" s="24" t="s">
        <v>332</v>
      </c>
      <c r="D231" s="25">
        <v>536.0</v>
      </c>
      <c r="E231" s="25">
        <v>596.0</v>
      </c>
      <c r="F231" s="25">
        <f t="shared" si="2"/>
        <v>1132</v>
      </c>
      <c r="G231" s="26">
        <f t="shared" si="3"/>
        <v>0.4734982332</v>
      </c>
      <c r="H231" s="26">
        <f t="shared" si="4"/>
        <v>0.5265017668</v>
      </c>
      <c r="I231" s="24" t="s">
        <v>83</v>
      </c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24" t="s">
        <v>325</v>
      </c>
      <c r="B232" s="24" t="s">
        <v>200</v>
      </c>
      <c r="C232" s="24" t="s">
        <v>333</v>
      </c>
      <c r="D232" s="25">
        <v>344.0</v>
      </c>
      <c r="E232" s="25">
        <v>249.0</v>
      </c>
      <c r="F232" s="25">
        <f t="shared" si="2"/>
        <v>593</v>
      </c>
      <c r="G232" s="26">
        <f t="shared" si="3"/>
        <v>0.5801011804</v>
      </c>
      <c r="H232" s="26">
        <f t="shared" si="4"/>
        <v>0.4198988196</v>
      </c>
      <c r="I232" s="24" t="s">
        <v>83</v>
      </c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24" t="s">
        <v>325</v>
      </c>
      <c r="B233" s="24" t="s">
        <v>200</v>
      </c>
      <c r="C233" s="24" t="s">
        <v>334</v>
      </c>
      <c r="D233" s="25">
        <v>344.0</v>
      </c>
      <c r="E233" s="25">
        <v>249.0</v>
      </c>
      <c r="F233" s="25">
        <f t="shared" si="2"/>
        <v>593</v>
      </c>
      <c r="G233" s="26">
        <f t="shared" si="3"/>
        <v>0.5801011804</v>
      </c>
      <c r="H233" s="26">
        <f t="shared" si="4"/>
        <v>0.4198988196</v>
      </c>
      <c r="I233" s="24" t="s">
        <v>83</v>
      </c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24" t="s">
        <v>325</v>
      </c>
      <c r="B234" s="24" t="s">
        <v>200</v>
      </c>
      <c r="C234" s="24" t="s">
        <v>335</v>
      </c>
      <c r="D234" s="25">
        <v>344.0</v>
      </c>
      <c r="E234" s="25">
        <v>249.0</v>
      </c>
      <c r="F234" s="25">
        <f t="shared" si="2"/>
        <v>593</v>
      </c>
      <c r="G234" s="26">
        <f t="shared" si="3"/>
        <v>0.5801011804</v>
      </c>
      <c r="H234" s="26">
        <f t="shared" si="4"/>
        <v>0.4198988196</v>
      </c>
      <c r="I234" s="24" t="s">
        <v>83</v>
      </c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24" t="s">
        <v>325</v>
      </c>
      <c r="B235" s="24" t="s">
        <v>200</v>
      </c>
      <c r="C235" s="24" t="s">
        <v>336</v>
      </c>
      <c r="D235" s="25">
        <v>344.0</v>
      </c>
      <c r="E235" s="25">
        <v>249.0</v>
      </c>
      <c r="F235" s="25">
        <f t="shared" si="2"/>
        <v>593</v>
      </c>
      <c r="G235" s="26">
        <f t="shared" si="3"/>
        <v>0.5801011804</v>
      </c>
      <c r="H235" s="26">
        <f t="shared" si="4"/>
        <v>0.4198988196</v>
      </c>
      <c r="I235" s="24" t="s">
        <v>83</v>
      </c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24" t="s">
        <v>325</v>
      </c>
      <c r="B236" s="24" t="s">
        <v>200</v>
      </c>
      <c r="C236" s="24" t="s">
        <v>337</v>
      </c>
      <c r="D236" s="25">
        <v>344.0</v>
      </c>
      <c r="E236" s="25">
        <v>249.0</v>
      </c>
      <c r="F236" s="25">
        <f t="shared" si="2"/>
        <v>593</v>
      </c>
      <c r="G236" s="26">
        <f t="shared" si="3"/>
        <v>0.5801011804</v>
      </c>
      <c r="H236" s="26">
        <f t="shared" si="4"/>
        <v>0.4198988196</v>
      </c>
      <c r="I236" s="24" t="s">
        <v>83</v>
      </c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24" t="s">
        <v>325</v>
      </c>
      <c r="B237" s="24" t="s">
        <v>200</v>
      </c>
      <c r="C237" s="24" t="s">
        <v>338</v>
      </c>
      <c r="D237" s="25">
        <v>344.0</v>
      </c>
      <c r="E237" s="25">
        <v>249.0</v>
      </c>
      <c r="F237" s="25">
        <f t="shared" si="2"/>
        <v>593</v>
      </c>
      <c r="G237" s="26">
        <f t="shared" si="3"/>
        <v>0.5801011804</v>
      </c>
      <c r="H237" s="26">
        <f t="shared" si="4"/>
        <v>0.4198988196</v>
      </c>
      <c r="I237" s="24" t="s">
        <v>83</v>
      </c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24" t="s">
        <v>325</v>
      </c>
      <c r="B238" s="24" t="s">
        <v>200</v>
      </c>
      <c r="C238" s="24" t="s">
        <v>339</v>
      </c>
      <c r="D238" s="25">
        <v>344.0</v>
      </c>
      <c r="E238" s="25">
        <v>249.0</v>
      </c>
      <c r="F238" s="25">
        <f t="shared" si="2"/>
        <v>593</v>
      </c>
      <c r="G238" s="26">
        <f t="shared" si="3"/>
        <v>0.5801011804</v>
      </c>
      <c r="H238" s="26">
        <f t="shared" si="4"/>
        <v>0.4198988196</v>
      </c>
      <c r="I238" s="24" t="s">
        <v>83</v>
      </c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24" t="s">
        <v>325</v>
      </c>
      <c r="B239" s="24" t="s">
        <v>200</v>
      </c>
      <c r="C239" s="24" t="s">
        <v>340</v>
      </c>
      <c r="D239" s="25">
        <v>344.0</v>
      </c>
      <c r="E239" s="25">
        <v>249.0</v>
      </c>
      <c r="F239" s="25">
        <f t="shared" si="2"/>
        <v>593</v>
      </c>
      <c r="G239" s="26">
        <f t="shared" si="3"/>
        <v>0.5801011804</v>
      </c>
      <c r="H239" s="26">
        <f t="shared" si="4"/>
        <v>0.4198988196</v>
      </c>
      <c r="I239" s="24" t="s">
        <v>83</v>
      </c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24" t="s">
        <v>325</v>
      </c>
      <c r="B240" s="24" t="s">
        <v>200</v>
      </c>
      <c r="C240" s="24" t="s">
        <v>341</v>
      </c>
      <c r="D240" s="25">
        <v>344.0</v>
      </c>
      <c r="E240" s="25">
        <v>249.0</v>
      </c>
      <c r="F240" s="25">
        <f t="shared" si="2"/>
        <v>593</v>
      </c>
      <c r="G240" s="26">
        <f t="shared" si="3"/>
        <v>0.5801011804</v>
      </c>
      <c r="H240" s="26">
        <f t="shared" si="4"/>
        <v>0.4198988196</v>
      </c>
      <c r="I240" s="24" t="s">
        <v>83</v>
      </c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24" t="s">
        <v>325</v>
      </c>
      <c r="B241" s="24" t="s">
        <v>200</v>
      </c>
      <c r="C241" s="24" t="s">
        <v>342</v>
      </c>
      <c r="D241" s="25">
        <v>344.0</v>
      </c>
      <c r="E241" s="25">
        <v>249.0</v>
      </c>
      <c r="F241" s="25">
        <f t="shared" si="2"/>
        <v>593</v>
      </c>
      <c r="G241" s="26">
        <f t="shared" si="3"/>
        <v>0.5801011804</v>
      </c>
      <c r="H241" s="26">
        <f t="shared" si="4"/>
        <v>0.4198988196</v>
      </c>
      <c r="I241" s="24" t="s">
        <v>83</v>
      </c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24" t="s">
        <v>325</v>
      </c>
      <c r="B242" s="24" t="s">
        <v>200</v>
      </c>
      <c r="C242" s="24" t="s">
        <v>343</v>
      </c>
      <c r="D242" s="25">
        <v>344.0</v>
      </c>
      <c r="E242" s="25">
        <v>249.0</v>
      </c>
      <c r="F242" s="25">
        <f t="shared" si="2"/>
        <v>593</v>
      </c>
      <c r="G242" s="26">
        <f t="shared" si="3"/>
        <v>0.5801011804</v>
      </c>
      <c r="H242" s="26">
        <f t="shared" si="4"/>
        <v>0.4198988196</v>
      </c>
      <c r="I242" s="24" t="s">
        <v>83</v>
      </c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24" t="s">
        <v>325</v>
      </c>
      <c r="B243" s="24" t="s">
        <v>200</v>
      </c>
      <c r="C243" s="24" t="s">
        <v>344</v>
      </c>
      <c r="D243" s="25">
        <v>344.0</v>
      </c>
      <c r="E243" s="25">
        <v>249.0</v>
      </c>
      <c r="F243" s="25">
        <f t="shared" si="2"/>
        <v>593</v>
      </c>
      <c r="G243" s="26">
        <f t="shared" si="3"/>
        <v>0.5801011804</v>
      </c>
      <c r="H243" s="26">
        <f t="shared" si="4"/>
        <v>0.4198988196</v>
      </c>
      <c r="I243" s="24" t="s">
        <v>83</v>
      </c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24" t="s">
        <v>325</v>
      </c>
      <c r="B244" s="24" t="s">
        <v>200</v>
      </c>
      <c r="C244" s="24" t="s">
        <v>345</v>
      </c>
      <c r="D244" s="25">
        <v>344.0</v>
      </c>
      <c r="E244" s="25">
        <v>249.0</v>
      </c>
      <c r="F244" s="25">
        <f t="shared" si="2"/>
        <v>593</v>
      </c>
      <c r="G244" s="26">
        <f t="shared" si="3"/>
        <v>0.5801011804</v>
      </c>
      <c r="H244" s="26">
        <f t="shared" si="4"/>
        <v>0.4198988196</v>
      </c>
      <c r="I244" s="24" t="s">
        <v>83</v>
      </c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24" t="s">
        <v>325</v>
      </c>
      <c r="B245" s="24" t="s">
        <v>200</v>
      </c>
      <c r="C245" s="24" t="s">
        <v>346</v>
      </c>
      <c r="D245" s="25">
        <v>344.0</v>
      </c>
      <c r="E245" s="25">
        <v>249.0</v>
      </c>
      <c r="F245" s="25">
        <f t="shared" si="2"/>
        <v>593</v>
      </c>
      <c r="G245" s="26">
        <f t="shared" si="3"/>
        <v>0.5801011804</v>
      </c>
      <c r="H245" s="26">
        <f t="shared" si="4"/>
        <v>0.4198988196</v>
      </c>
      <c r="I245" s="24" t="s">
        <v>83</v>
      </c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24" t="s">
        <v>325</v>
      </c>
      <c r="B246" s="24" t="s">
        <v>200</v>
      </c>
      <c r="C246" s="24" t="s">
        <v>347</v>
      </c>
      <c r="D246" s="25">
        <v>344.0</v>
      </c>
      <c r="E246" s="25">
        <v>249.0</v>
      </c>
      <c r="F246" s="25">
        <f t="shared" si="2"/>
        <v>593</v>
      </c>
      <c r="G246" s="26">
        <f t="shared" si="3"/>
        <v>0.5801011804</v>
      </c>
      <c r="H246" s="26">
        <f t="shared" si="4"/>
        <v>0.4198988196</v>
      </c>
      <c r="I246" s="24" t="s">
        <v>83</v>
      </c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24" t="s">
        <v>325</v>
      </c>
      <c r="B247" s="24" t="s">
        <v>200</v>
      </c>
      <c r="C247" s="24" t="s">
        <v>348</v>
      </c>
      <c r="D247" s="25">
        <v>344.0</v>
      </c>
      <c r="E247" s="25">
        <v>249.0</v>
      </c>
      <c r="F247" s="25">
        <f t="shared" si="2"/>
        <v>593</v>
      </c>
      <c r="G247" s="26">
        <f t="shared" si="3"/>
        <v>0.5801011804</v>
      </c>
      <c r="H247" s="26">
        <f t="shared" si="4"/>
        <v>0.4198988196</v>
      </c>
      <c r="I247" s="24" t="s">
        <v>83</v>
      </c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24" t="s">
        <v>325</v>
      </c>
      <c r="B248" s="24" t="s">
        <v>200</v>
      </c>
      <c r="C248" s="24" t="s">
        <v>349</v>
      </c>
      <c r="D248" s="25">
        <v>344.0</v>
      </c>
      <c r="E248" s="25">
        <v>249.0</v>
      </c>
      <c r="F248" s="25">
        <f t="shared" si="2"/>
        <v>593</v>
      </c>
      <c r="G248" s="26">
        <f t="shared" si="3"/>
        <v>0.5801011804</v>
      </c>
      <c r="H248" s="26">
        <f t="shared" si="4"/>
        <v>0.4198988196</v>
      </c>
      <c r="I248" s="24" t="s">
        <v>83</v>
      </c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24" t="s">
        <v>325</v>
      </c>
      <c r="B249" s="24" t="s">
        <v>200</v>
      </c>
      <c r="C249" s="24" t="s">
        <v>350</v>
      </c>
      <c r="D249" s="25">
        <v>344.0</v>
      </c>
      <c r="E249" s="25">
        <v>249.0</v>
      </c>
      <c r="F249" s="25">
        <f t="shared" si="2"/>
        <v>593</v>
      </c>
      <c r="G249" s="26">
        <f t="shared" si="3"/>
        <v>0.5801011804</v>
      </c>
      <c r="H249" s="26">
        <f t="shared" si="4"/>
        <v>0.4198988196</v>
      </c>
      <c r="I249" s="24" t="s">
        <v>83</v>
      </c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24" t="s">
        <v>325</v>
      </c>
      <c r="B250" s="24" t="s">
        <v>200</v>
      </c>
      <c r="C250" s="24" t="s">
        <v>351</v>
      </c>
      <c r="D250" s="25">
        <v>344.0</v>
      </c>
      <c r="E250" s="25">
        <v>249.0</v>
      </c>
      <c r="F250" s="25">
        <f t="shared" si="2"/>
        <v>593</v>
      </c>
      <c r="G250" s="26">
        <f t="shared" si="3"/>
        <v>0.5801011804</v>
      </c>
      <c r="H250" s="26">
        <f t="shared" si="4"/>
        <v>0.4198988196</v>
      </c>
      <c r="I250" s="24" t="s">
        <v>83</v>
      </c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24" t="s">
        <v>325</v>
      </c>
      <c r="B251" s="24" t="s">
        <v>200</v>
      </c>
      <c r="C251" s="24" t="s">
        <v>352</v>
      </c>
      <c r="D251" s="25">
        <v>344.0</v>
      </c>
      <c r="E251" s="25">
        <v>249.0</v>
      </c>
      <c r="F251" s="25">
        <f t="shared" si="2"/>
        <v>593</v>
      </c>
      <c r="G251" s="26">
        <f t="shared" si="3"/>
        <v>0.5801011804</v>
      </c>
      <c r="H251" s="26">
        <f t="shared" si="4"/>
        <v>0.4198988196</v>
      </c>
      <c r="I251" s="24" t="s">
        <v>83</v>
      </c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24" t="s">
        <v>325</v>
      </c>
      <c r="B252" s="24" t="s">
        <v>200</v>
      </c>
      <c r="C252" s="24" t="s">
        <v>353</v>
      </c>
      <c r="D252" s="25">
        <v>344.0</v>
      </c>
      <c r="E252" s="25">
        <v>249.0</v>
      </c>
      <c r="F252" s="25">
        <f t="shared" si="2"/>
        <v>593</v>
      </c>
      <c r="G252" s="26">
        <f t="shared" si="3"/>
        <v>0.5801011804</v>
      </c>
      <c r="H252" s="26">
        <f t="shared" si="4"/>
        <v>0.4198988196</v>
      </c>
      <c r="I252" s="24" t="s">
        <v>83</v>
      </c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24" t="s">
        <v>325</v>
      </c>
      <c r="B253" s="24" t="s">
        <v>200</v>
      </c>
      <c r="C253" s="24" t="s">
        <v>354</v>
      </c>
      <c r="D253" s="25">
        <v>344.0</v>
      </c>
      <c r="E253" s="25">
        <v>249.0</v>
      </c>
      <c r="F253" s="25">
        <f t="shared" si="2"/>
        <v>593</v>
      </c>
      <c r="G253" s="26">
        <f t="shared" si="3"/>
        <v>0.5801011804</v>
      </c>
      <c r="H253" s="26">
        <f t="shared" si="4"/>
        <v>0.4198988196</v>
      </c>
      <c r="I253" s="24" t="s">
        <v>83</v>
      </c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24" t="s">
        <v>325</v>
      </c>
      <c r="B254" s="24" t="s">
        <v>200</v>
      </c>
      <c r="C254" s="24" t="s">
        <v>355</v>
      </c>
      <c r="D254" s="25">
        <v>344.0</v>
      </c>
      <c r="E254" s="25">
        <v>249.0</v>
      </c>
      <c r="F254" s="25">
        <f t="shared" si="2"/>
        <v>593</v>
      </c>
      <c r="G254" s="26">
        <f t="shared" si="3"/>
        <v>0.5801011804</v>
      </c>
      <c r="H254" s="26">
        <f t="shared" si="4"/>
        <v>0.4198988196</v>
      </c>
      <c r="I254" s="24" t="s">
        <v>83</v>
      </c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24" t="s">
        <v>325</v>
      </c>
      <c r="B255" s="24" t="s">
        <v>200</v>
      </c>
      <c r="C255" s="24" t="s">
        <v>356</v>
      </c>
      <c r="D255" s="25">
        <v>344.0</v>
      </c>
      <c r="E255" s="25">
        <v>249.0</v>
      </c>
      <c r="F255" s="25">
        <f t="shared" si="2"/>
        <v>593</v>
      </c>
      <c r="G255" s="26">
        <f t="shared" si="3"/>
        <v>0.5801011804</v>
      </c>
      <c r="H255" s="26">
        <f t="shared" si="4"/>
        <v>0.4198988196</v>
      </c>
      <c r="I255" s="24" t="s">
        <v>83</v>
      </c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24" t="s">
        <v>325</v>
      </c>
      <c r="B256" s="24" t="s">
        <v>357</v>
      </c>
      <c r="C256" s="24" t="s">
        <v>358</v>
      </c>
      <c r="D256" s="25">
        <v>486.0</v>
      </c>
      <c r="E256" s="25">
        <v>351.0</v>
      </c>
      <c r="F256" s="25">
        <f t="shared" si="2"/>
        <v>837</v>
      </c>
      <c r="G256" s="26">
        <f t="shared" si="3"/>
        <v>0.5806451613</v>
      </c>
      <c r="H256" s="26">
        <f t="shared" si="4"/>
        <v>0.4193548387</v>
      </c>
      <c r="I256" s="24" t="s">
        <v>83</v>
      </c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24" t="s">
        <v>325</v>
      </c>
      <c r="B257" s="24" t="s">
        <v>357</v>
      </c>
      <c r="C257" s="24" t="s">
        <v>359</v>
      </c>
      <c r="D257" s="25">
        <v>486.0</v>
      </c>
      <c r="E257" s="25">
        <v>351.0</v>
      </c>
      <c r="F257" s="25">
        <f t="shared" si="2"/>
        <v>837</v>
      </c>
      <c r="G257" s="26">
        <f t="shared" si="3"/>
        <v>0.5806451613</v>
      </c>
      <c r="H257" s="26">
        <f t="shared" si="4"/>
        <v>0.4193548387</v>
      </c>
      <c r="I257" s="24" t="s">
        <v>83</v>
      </c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24" t="s">
        <v>325</v>
      </c>
      <c r="B258" s="24" t="s">
        <v>357</v>
      </c>
      <c r="C258" s="24" t="s">
        <v>360</v>
      </c>
      <c r="D258" s="25">
        <v>486.0</v>
      </c>
      <c r="E258" s="25">
        <v>351.0</v>
      </c>
      <c r="F258" s="25">
        <f t="shared" si="2"/>
        <v>837</v>
      </c>
      <c r="G258" s="26">
        <f t="shared" si="3"/>
        <v>0.5806451613</v>
      </c>
      <c r="H258" s="26">
        <f t="shared" si="4"/>
        <v>0.4193548387</v>
      </c>
      <c r="I258" s="24" t="s">
        <v>83</v>
      </c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24" t="s">
        <v>325</v>
      </c>
      <c r="B259" s="24" t="s">
        <v>357</v>
      </c>
      <c r="C259" s="24" t="s">
        <v>361</v>
      </c>
      <c r="D259" s="25">
        <v>486.0</v>
      </c>
      <c r="E259" s="25">
        <v>351.0</v>
      </c>
      <c r="F259" s="25">
        <f t="shared" si="2"/>
        <v>837</v>
      </c>
      <c r="G259" s="26">
        <f t="shared" si="3"/>
        <v>0.5806451613</v>
      </c>
      <c r="H259" s="26">
        <f t="shared" si="4"/>
        <v>0.4193548387</v>
      </c>
      <c r="I259" s="24" t="s">
        <v>83</v>
      </c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24" t="s">
        <v>325</v>
      </c>
      <c r="B260" s="24" t="s">
        <v>357</v>
      </c>
      <c r="C260" s="24" t="s">
        <v>362</v>
      </c>
      <c r="D260" s="25">
        <v>486.0</v>
      </c>
      <c r="E260" s="25">
        <v>351.0</v>
      </c>
      <c r="F260" s="25">
        <f t="shared" si="2"/>
        <v>837</v>
      </c>
      <c r="G260" s="26">
        <f t="shared" si="3"/>
        <v>0.5806451613</v>
      </c>
      <c r="H260" s="26">
        <f t="shared" si="4"/>
        <v>0.4193548387</v>
      </c>
      <c r="I260" s="24" t="s">
        <v>83</v>
      </c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24" t="s">
        <v>325</v>
      </c>
      <c r="B261" s="24" t="s">
        <v>357</v>
      </c>
      <c r="C261" s="24" t="s">
        <v>363</v>
      </c>
      <c r="D261" s="25">
        <v>486.0</v>
      </c>
      <c r="E261" s="25">
        <v>351.0</v>
      </c>
      <c r="F261" s="25">
        <f t="shared" si="2"/>
        <v>837</v>
      </c>
      <c r="G261" s="26">
        <f t="shared" si="3"/>
        <v>0.5806451613</v>
      </c>
      <c r="H261" s="26">
        <f t="shared" si="4"/>
        <v>0.4193548387</v>
      </c>
      <c r="I261" s="24" t="s">
        <v>83</v>
      </c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24" t="s">
        <v>325</v>
      </c>
      <c r="B262" s="24" t="s">
        <v>357</v>
      </c>
      <c r="C262" s="24" t="s">
        <v>364</v>
      </c>
      <c r="D262" s="25">
        <v>486.0</v>
      </c>
      <c r="E262" s="25">
        <v>351.0</v>
      </c>
      <c r="F262" s="25">
        <f t="shared" si="2"/>
        <v>837</v>
      </c>
      <c r="G262" s="26">
        <f t="shared" si="3"/>
        <v>0.5806451613</v>
      </c>
      <c r="H262" s="26">
        <f t="shared" si="4"/>
        <v>0.4193548387</v>
      </c>
      <c r="I262" s="24" t="s">
        <v>83</v>
      </c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24" t="s">
        <v>325</v>
      </c>
      <c r="B263" s="24" t="s">
        <v>357</v>
      </c>
      <c r="C263" s="24" t="s">
        <v>365</v>
      </c>
      <c r="D263" s="25">
        <v>486.0</v>
      </c>
      <c r="E263" s="25">
        <v>351.0</v>
      </c>
      <c r="F263" s="25">
        <f t="shared" si="2"/>
        <v>837</v>
      </c>
      <c r="G263" s="26">
        <f t="shared" si="3"/>
        <v>0.5806451613</v>
      </c>
      <c r="H263" s="26">
        <f t="shared" si="4"/>
        <v>0.4193548387</v>
      </c>
      <c r="I263" s="24" t="s">
        <v>83</v>
      </c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24" t="s">
        <v>325</v>
      </c>
      <c r="B264" s="24" t="s">
        <v>357</v>
      </c>
      <c r="C264" s="24" t="s">
        <v>366</v>
      </c>
      <c r="D264" s="25">
        <v>486.0</v>
      </c>
      <c r="E264" s="25">
        <v>351.0</v>
      </c>
      <c r="F264" s="25">
        <f t="shared" si="2"/>
        <v>837</v>
      </c>
      <c r="G264" s="26">
        <f t="shared" si="3"/>
        <v>0.5806451613</v>
      </c>
      <c r="H264" s="26">
        <f t="shared" si="4"/>
        <v>0.4193548387</v>
      </c>
      <c r="I264" s="24" t="s">
        <v>83</v>
      </c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24" t="s">
        <v>325</v>
      </c>
      <c r="B265" s="24" t="s">
        <v>357</v>
      </c>
      <c r="C265" s="24" t="s">
        <v>367</v>
      </c>
      <c r="D265" s="25">
        <v>486.0</v>
      </c>
      <c r="E265" s="25">
        <v>351.0</v>
      </c>
      <c r="F265" s="25">
        <f t="shared" si="2"/>
        <v>837</v>
      </c>
      <c r="G265" s="26">
        <f t="shared" si="3"/>
        <v>0.5806451613</v>
      </c>
      <c r="H265" s="26">
        <f t="shared" si="4"/>
        <v>0.4193548387</v>
      </c>
      <c r="I265" s="24" t="s">
        <v>83</v>
      </c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24" t="s">
        <v>325</v>
      </c>
      <c r="B266" s="24" t="s">
        <v>357</v>
      </c>
      <c r="C266" s="24" t="s">
        <v>368</v>
      </c>
      <c r="D266" s="25">
        <v>486.0</v>
      </c>
      <c r="E266" s="25">
        <v>351.0</v>
      </c>
      <c r="F266" s="25">
        <f t="shared" si="2"/>
        <v>837</v>
      </c>
      <c r="G266" s="26">
        <f t="shared" si="3"/>
        <v>0.5806451613</v>
      </c>
      <c r="H266" s="26">
        <f t="shared" si="4"/>
        <v>0.4193548387</v>
      </c>
      <c r="I266" s="24" t="s">
        <v>83</v>
      </c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24" t="s">
        <v>325</v>
      </c>
      <c r="B267" s="24" t="s">
        <v>357</v>
      </c>
      <c r="C267" s="24" t="s">
        <v>369</v>
      </c>
      <c r="D267" s="25">
        <v>486.0</v>
      </c>
      <c r="E267" s="25">
        <v>351.0</v>
      </c>
      <c r="F267" s="25">
        <f t="shared" si="2"/>
        <v>837</v>
      </c>
      <c r="G267" s="26">
        <f t="shared" si="3"/>
        <v>0.5806451613</v>
      </c>
      <c r="H267" s="26">
        <f t="shared" si="4"/>
        <v>0.4193548387</v>
      </c>
      <c r="I267" s="24" t="s">
        <v>83</v>
      </c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24" t="s">
        <v>325</v>
      </c>
      <c r="B268" s="24" t="s">
        <v>357</v>
      </c>
      <c r="C268" s="24" t="s">
        <v>370</v>
      </c>
      <c r="D268" s="25">
        <v>486.0</v>
      </c>
      <c r="E268" s="25">
        <v>351.0</v>
      </c>
      <c r="F268" s="25">
        <f t="shared" si="2"/>
        <v>837</v>
      </c>
      <c r="G268" s="26">
        <f t="shared" si="3"/>
        <v>0.5806451613</v>
      </c>
      <c r="H268" s="26">
        <f t="shared" si="4"/>
        <v>0.4193548387</v>
      </c>
      <c r="I268" s="24" t="s">
        <v>83</v>
      </c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24" t="s">
        <v>325</v>
      </c>
      <c r="B269" s="24" t="s">
        <v>357</v>
      </c>
      <c r="C269" s="24" t="s">
        <v>371</v>
      </c>
      <c r="D269" s="25">
        <v>486.0</v>
      </c>
      <c r="E269" s="25">
        <v>351.0</v>
      </c>
      <c r="F269" s="25">
        <f t="shared" si="2"/>
        <v>837</v>
      </c>
      <c r="G269" s="26">
        <f t="shared" si="3"/>
        <v>0.5806451613</v>
      </c>
      <c r="H269" s="26">
        <f t="shared" si="4"/>
        <v>0.4193548387</v>
      </c>
      <c r="I269" s="24" t="s">
        <v>83</v>
      </c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24" t="s">
        <v>325</v>
      </c>
      <c r="B270" s="24" t="s">
        <v>357</v>
      </c>
      <c r="C270" s="24" t="s">
        <v>372</v>
      </c>
      <c r="D270" s="25">
        <v>486.0</v>
      </c>
      <c r="E270" s="25">
        <v>351.0</v>
      </c>
      <c r="F270" s="25">
        <f t="shared" si="2"/>
        <v>837</v>
      </c>
      <c r="G270" s="26">
        <f t="shared" si="3"/>
        <v>0.5806451613</v>
      </c>
      <c r="H270" s="26">
        <f t="shared" si="4"/>
        <v>0.4193548387</v>
      </c>
      <c r="I270" s="24" t="s">
        <v>83</v>
      </c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24" t="s">
        <v>325</v>
      </c>
      <c r="B271" s="24" t="s">
        <v>357</v>
      </c>
      <c r="C271" s="24" t="s">
        <v>373</v>
      </c>
      <c r="D271" s="25">
        <v>486.0</v>
      </c>
      <c r="E271" s="25">
        <v>351.0</v>
      </c>
      <c r="F271" s="25">
        <f t="shared" si="2"/>
        <v>837</v>
      </c>
      <c r="G271" s="26">
        <f t="shared" si="3"/>
        <v>0.5806451613</v>
      </c>
      <c r="H271" s="26">
        <f t="shared" si="4"/>
        <v>0.4193548387</v>
      </c>
      <c r="I271" s="24" t="s">
        <v>83</v>
      </c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24" t="s">
        <v>325</v>
      </c>
      <c r="B272" s="24" t="s">
        <v>357</v>
      </c>
      <c r="C272" s="24" t="s">
        <v>374</v>
      </c>
      <c r="D272" s="25">
        <v>486.0</v>
      </c>
      <c r="E272" s="25">
        <v>351.0</v>
      </c>
      <c r="F272" s="25">
        <f t="shared" si="2"/>
        <v>837</v>
      </c>
      <c r="G272" s="26">
        <f t="shared" si="3"/>
        <v>0.5806451613</v>
      </c>
      <c r="H272" s="26">
        <f t="shared" si="4"/>
        <v>0.4193548387</v>
      </c>
      <c r="I272" s="24" t="s">
        <v>83</v>
      </c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24" t="s">
        <v>325</v>
      </c>
      <c r="B273" s="24" t="s">
        <v>375</v>
      </c>
      <c r="C273" s="24" t="s">
        <v>376</v>
      </c>
      <c r="D273" s="25">
        <v>738.0</v>
      </c>
      <c r="E273" s="25">
        <v>1024.0</v>
      </c>
      <c r="F273" s="25">
        <f t="shared" si="2"/>
        <v>1762</v>
      </c>
      <c r="G273" s="26">
        <f t="shared" si="3"/>
        <v>0.4188422247</v>
      </c>
      <c r="H273" s="26">
        <f t="shared" si="4"/>
        <v>0.5811577753</v>
      </c>
      <c r="I273" s="24" t="s">
        <v>83</v>
      </c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24" t="s">
        <v>325</v>
      </c>
      <c r="B274" s="24" t="s">
        <v>375</v>
      </c>
      <c r="C274" s="24" t="s">
        <v>377</v>
      </c>
      <c r="D274" s="25">
        <v>738.0</v>
      </c>
      <c r="E274" s="25">
        <v>1024.0</v>
      </c>
      <c r="F274" s="25">
        <f t="shared" si="2"/>
        <v>1762</v>
      </c>
      <c r="G274" s="26">
        <f t="shared" si="3"/>
        <v>0.4188422247</v>
      </c>
      <c r="H274" s="26">
        <f t="shared" si="4"/>
        <v>0.5811577753</v>
      </c>
      <c r="I274" s="24" t="s">
        <v>83</v>
      </c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24" t="s">
        <v>325</v>
      </c>
      <c r="B275" s="24" t="s">
        <v>375</v>
      </c>
      <c r="C275" s="24" t="s">
        <v>378</v>
      </c>
      <c r="D275" s="25">
        <v>738.0</v>
      </c>
      <c r="E275" s="25">
        <v>1024.0</v>
      </c>
      <c r="F275" s="25">
        <f t="shared" si="2"/>
        <v>1762</v>
      </c>
      <c r="G275" s="26">
        <f t="shared" si="3"/>
        <v>0.4188422247</v>
      </c>
      <c r="H275" s="26">
        <f t="shared" si="4"/>
        <v>0.5811577753</v>
      </c>
      <c r="I275" s="24" t="s">
        <v>83</v>
      </c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24" t="s">
        <v>325</v>
      </c>
      <c r="B276" s="24" t="s">
        <v>379</v>
      </c>
      <c r="C276" s="24" t="s">
        <v>379</v>
      </c>
      <c r="D276" s="25">
        <v>37.0</v>
      </c>
      <c r="E276" s="25">
        <v>69.0</v>
      </c>
      <c r="F276" s="25">
        <f t="shared" si="2"/>
        <v>106</v>
      </c>
      <c r="G276" s="26">
        <f t="shared" si="3"/>
        <v>0.3490566038</v>
      </c>
      <c r="H276" s="26">
        <f t="shared" si="4"/>
        <v>0.6509433962</v>
      </c>
      <c r="I276" s="24" t="s">
        <v>83</v>
      </c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24" t="s">
        <v>325</v>
      </c>
      <c r="B277" s="24" t="s">
        <v>380</v>
      </c>
      <c r="C277" s="24" t="s">
        <v>381</v>
      </c>
      <c r="D277" s="25">
        <v>682.0</v>
      </c>
      <c r="E277" s="25">
        <v>840.0</v>
      </c>
      <c r="F277" s="25">
        <f t="shared" si="2"/>
        <v>1522</v>
      </c>
      <c r="G277" s="26">
        <f t="shared" si="3"/>
        <v>0.4480946124</v>
      </c>
      <c r="H277" s="26">
        <f t="shared" si="4"/>
        <v>0.5519053876</v>
      </c>
      <c r="I277" s="24" t="s">
        <v>83</v>
      </c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24" t="s">
        <v>325</v>
      </c>
      <c r="B278" s="24" t="s">
        <v>380</v>
      </c>
      <c r="C278" s="24" t="s">
        <v>382</v>
      </c>
      <c r="D278" s="25">
        <v>682.0</v>
      </c>
      <c r="E278" s="25">
        <v>840.0</v>
      </c>
      <c r="F278" s="25">
        <f t="shared" si="2"/>
        <v>1522</v>
      </c>
      <c r="G278" s="26">
        <f t="shared" si="3"/>
        <v>0.4480946124</v>
      </c>
      <c r="H278" s="26">
        <f t="shared" si="4"/>
        <v>0.5519053876</v>
      </c>
      <c r="I278" s="24" t="s">
        <v>83</v>
      </c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24" t="s">
        <v>325</v>
      </c>
      <c r="B279" s="24" t="s">
        <v>383</v>
      </c>
      <c r="C279" s="24" t="s">
        <v>383</v>
      </c>
      <c r="D279" s="25">
        <v>153.0</v>
      </c>
      <c r="E279" s="25">
        <v>216.0</v>
      </c>
      <c r="F279" s="25">
        <f t="shared" si="2"/>
        <v>369</v>
      </c>
      <c r="G279" s="26">
        <f t="shared" si="3"/>
        <v>0.4146341463</v>
      </c>
      <c r="H279" s="26">
        <f t="shared" si="4"/>
        <v>0.5853658537</v>
      </c>
      <c r="I279" s="24" t="s">
        <v>83</v>
      </c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24" t="s">
        <v>325</v>
      </c>
      <c r="B280" s="24" t="s">
        <v>384</v>
      </c>
      <c r="C280" s="24" t="s">
        <v>385</v>
      </c>
      <c r="D280" s="25">
        <v>439.0</v>
      </c>
      <c r="E280" s="25">
        <v>190.0</v>
      </c>
      <c r="F280" s="25">
        <f t="shared" si="2"/>
        <v>629</v>
      </c>
      <c r="G280" s="26">
        <f t="shared" si="3"/>
        <v>0.6979332273</v>
      </c>
      <c r="H280" s="26">
        <f t="shared" si="4"/>
        <v>0.3020667727</v>
      </c>
      <c r="I280" s="24" t="s">
        <v>83</v>
      </c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24" t="s">
        <v>325</v>
      </c>
      <c r="B281" s="24" t="s">
        <v>384</v>
      </c>
      <c r="C281" s="24" t="s">
        <v>386</v>
      </c>
      <c r="D281" s="25">
        <v>439.0</v>
      </c>
      <c r="E281" s="25">
        <v>190.0</v>
      </c>
      <c r="F281" s="25">
        <f t="shared" si="2"/>
        <v>629</v>
      </c>
      <c r="G281" s="26">
        <f t="shared" si="3"/>
        <v>0.6979332273</v>
      </c>
      <c r="H281" s="26">
        <f t="shared" si="4"/>
        <v>0.3020667727</v>
      </c>
      <c r="I281" s="24" t="s">
        <v>83</v>
      </c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24" t="s">
        <v>325</v>
      </c>
      <c r="B282" s="24" t="s">
        <v>384</v>
      </c>
      <c r="C282" s="24" t="s">
        <v>387</v>
      </c>
      <c r="D282" s="25">
        <v>439.0</v>
      </c>
      <c r="E282" s="25">
        <v>190.0</v>
      </c>
      <c r="F282" s="25">
        <f t="shared" si="2"/>
        <v>629</v>
      </c>
      <c r="G282" s="26">
        <f t="shared" si="3"/>
        <v>0.6979332273</v>
      </c>
      <c r="H282" s="26">
        <f t="shared" si="4"/>
        <v>0.3020667727</v>
      </c>
      <c r="I282" s="24" t="s">
        <v>83</v>
      </c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24" t="s">
        <v>325</v>
      </c>
      <c r="B283" s="24" t="s">
        <v>384</v>
      </c>
      <c r="C283" s="24" t="s">
        <v>388</v>
      </c>
      <c r="D283" s="25">
        <v>439.0</v>
      </c>
      <c r="E283" s="25">
        <v>190.0</v>
      </c>
      <c r="F283" s="25">
        <f t="shared" si="2"/>
        <v>629</v>
      </c>
      <c r="G283" s="26">
        <f t="shared" si="3"/>
        <v>0.6979332273</v>
      </c>
      <c r="H283" s="26">
        <f t="shared" si="4"/>
        <v>0.3020667727</v>
      </c>
      <c r="I283" s="24" t="s">
        <v>83</v>
      </c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24" t="s">
        <v>325</v>
      </c>
      <c r="B284" s="24" t="s">
        <v>384</v>
      </c>
      <c r="C284" s="24" t="s">
        <v>389</v>
      </c>
      <c r="D284" s="25">
        <v>439.0</v>
      </c>
      <c r="E284" s="25">
        <v>190.0</v>
      </c>
      <c r="F284" s="25">
        <f t="shared" si="2"/>
        <v>629</v>
      </c>
      <c r="G284" s="26">
        <f t="shared" si="3"/>
        <v>0.6979332273</v>
      </c>
      <c r="H284" s="26">
        <f t="shared" si="4"/>
        <v>0.3020667727</v>
      </c>
      <c r="I284" s="24" t="s">
        <v>83</v>
      </c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24" t="s">
        <v>325</v>
      </c>
      <c r="B285" s="24" t="s">
        <v>384</v>
      </c>
      <c r="C285" s="24" t="s">
        <v>390</v>
      </c>
      <c r="D285" s="25">
        <v>439.0</v>
      </c>
      <c r="E285" s="25">
        <v>190.0</v>
      </c>
      <c r="F285" s="25">
        <f t="shared" si="2"/>
        <v>629</v>
      </c>
      <c r="G285" s="26">
        <f t="shared" si="3"/>
        <v>0.6979332273</v>
      </c>
      <c r="H285" s="26">
        <f t="shared" si="4"/>
        <v>0.3020667727</v>
      </c>
      <c r="I285" s="24" t="s">
        <v>83</v>
      </c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24" t="s">
        <v>325</v>
      </c>
      <c r="B286" s="24" t="s">
        <v>384</v>
      </c>
      <c r="C286" s="24" t="s">
        <v>391</v>
      </c>
      <c r="D286" s="25">
        <v>439.0</v>
      </c>
      <c r="E286" s="25">
        <v>190.0</v>
      </c>
      <c r="F286" s="25">
        <f t="shared" si="2"/>
        <v>629</v>
      </c>
      <c r="G286" s="26">
        <f t="shared" si="3"/>
        <v>0.6979332273</v>
      </c>
      <c r="H286" s="26">
        <f t="shared" si="4"/>
        <v>0.3020667727</v>
      </c>
      <c r="I286" s="24" t="s">
        <v>83</v>
      </c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24" t="s">
        <v>325</v>
      </c>
      <c r="B287" s="24" t="s">
        <v>384</v>
      </c>
      <c r="C287" s="24" t="s">
        <v>392</v>
      </c>
      <c r="D287" s="25">
        <v>439.0</v>
      </c>
      <c r="E287" s="25">
        <v>190.0</v>
      </c>
      <c r="F287" s="25">
        <f t="shared" si="2"/>
        <v>629</v>
      </c>
      <c r="G287" s="26">
        <f t="shared" si="3"/>
        <v>0.6979332273</v>
      </c>
      <c r="H287" s="26">
        <f t="shared" si="4"/>
        <v>0.3020667727</v>
      </c>
      <c r="I287" s="24" t="s">
        <v>83</v>
      </c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24" t="s">
        <v>325</v>
      </c>
      <c r="B288" s="24" t="s">
        <v>384</v>
      </c>
      <c r="C288" s="24" t="s">
        <v>393</v>
      </c>
      <c r="D288" s="25">
        <v>439.0</v>
      </c>
      <c r="E288" s="25">
        <v>190.0</v>
      </c>
      <c r="F288" s="25">
        <f t="shared" si="2"/>
        <v>629</v>
      </c>
      <c r="G288" s="26">
        <f t="shared" si="3"/>
        <v>0.6979332273</v>
      </c>
      <c r="H288" s="26">
        <f t="shared" si="4"/>
        <v>0.3020667727</v>
      </c>
      <c r="I288" s="24" t="s">
        <v>83</v>
      </c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24" t="s">
        <v>325</v>
      </c>
      <c r="B289" s="24" t="s">
        <v>384</v>
      </c>
      <c r="C289" s="24" t="s">
        <v>394</v>
      </c>
      <c r="D289" s="25">
        <v>439.0</v>
      </c>
      <c r="E289" s="25">
        <v>190.0</v>
      </c>
      <c r="F289" s="25">
        <f t="shared" si="2"/>
        <v>629</v>
      </c>
      <c r="G289" s="26">
        <f t="shared" si="3"/>
        <v>0.6979332273</v>
      </c>
      <c r="H289" s="26">
        <f t="shared" si="4"/>
        <v>0.3020667727</v>
      </c>
      <c r="I289" s="24" t="s">
        <v>83</v>
      </c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24" t="s">
        <v>325</v>
      </c>
      <c r="B290" s="24" t="s">
        <v>384</v>
      </c>
      <c r="C290" s="24" t="s">
        <v>395</v>
      </c>
      <c r="D290" s="25">
        <v>439.0</v>
      </c>
      <c r="E290" s="25">
        <v>190.0</v>
      </c>
      <c r="F290" s="25">
        <f t="shared" si="2"/>
        <v>629</v>
      </c>
      <c r="G290" s="26">
        <f t="shared" si="3"/>
        <v>0.6979332273</v>
      </c>
      <c r="H290" s="26">
        <f t="shared" si="4"/>
        <v>0.3020667727</v>
      </c>
      <c r="I290" s="24" t="s">
        <v>83</v>
      </c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24" t="s">
        <v>325</v>
      </c>
      <c r="B291" s="24" t="s">
        <v>384</v>
      </c>
      <c r="C291" s="24" t="s">
        <v>396</v>
      </c>
      <c r="D291" s="25">
        <v>439.0</v>
      </c>
      <c r="E291" s="25">
        <v>190.0</v>
      </c>
      <c r="F291" s="25">
        <f t="shared" si="2"/>
        <v>629</v>
      </c>
      <c r="G291" s="26">
        <f t="shared" si="3"/>
        <v>0.6979332273</v>
      </c>
      <c r="H291" s="26">
        <f t="shared" si="4"/>
        <v>0.3020667727</v>
      </c>
      <c r="I291" s="24" t="s">
        <v>83</v>
      </c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24" t="s">
        <v>325</v>
      </c>
      <c r="B292" s="24" t="s">
        <v>397</v>
      </c>
      <c r="C292" s="24" t="s">
        <v>398</v>
      </c>
      <c r="D292" s="25">
        <v>718.0</v>
      </c>
      <c r="E292" s="25">
        <v>610.0</v>
      </c>
      <c r="F292" s="25">
        <f t="shared" si="2"/>
        <v>1328</v>
      </c>
      <c r="G292" s="26">
        <f t="shared" si="3"/>
        <v>0.5406626506</v>
      </c>
      <c r="H292" s="26">
        <f t="shared" si="4"/>
        <v>0.4593373494</v>
      </c>
      <c r="I292" s="24" t="s">
        <v>83</v>
      </c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24" t="s">
        <v>325</v>
      </c>
      <c r="B293" s="24" t="s">
        <v>397</v>
      </c>
      <c r="C293" s="24" t="s">
        <v>399</v>
      </c>
      <c r="D293" s="25">
        <v>718.0</v>
      </c>
      <c r="E293" s="25">
        <v>610.0</v>
      </c>
      <c r="F293" s="25">
        <f t="shared" si="2"/>
        <v>1328</v>
      </c>
      <c r="G293" s="26">
        <f t="shared" si="3"/>
        <v>0.5406626506</v>
      </c>
      <c r="H293" s="26">
        <f t="shared" si="4"/>
        <v>0.4593373494</v>
      </c>
      <c r="I293" s="24" t="s">
        <v>83</v>
      </c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24" t="s">
        <v>325</v>
      </c>
      <c r="B294" s="24" t="s">
        <v>397</v>
      </c>
      <c r="C294" s="24" t="s">
        <v>400</v>
      </c>
      <c r="D294" s="25">
        <v>718.0</v>
      </c>
      <c r="E294" s="25">
        <v>610.0</v>
      </c>
      <c r="F294" s="25">
        <f t="shared" si="2"/>
        <v>1328</v>
      </c>
      <c r="G294" s="26">
        <f t="shared" si="3"/>
        <v>0.5406626506</v>
      </c>
      <c r="H294" s="26">
        <f t="shared" si="4"/>
        <v>0.4593373494</v>
      </c>
      <c r="I294" s="24" t="s">
        <v>83</v>
      </c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24" t="s">
        <v>325</v>
      </c>
      <c r="B295" s="24" t="s">
        <v>397</v>
      </c>
      <c r="C295" s="24" t="s">
        <v>401</v>
      </c>
      <c r="D295" s="25">
        <v>718.0</v>
      </c>
      <c r="E295" s="25">
        <v>610.0</v>
      </c>
      <c r="F295" s="25">
        <f t="shared" si="2"/>
        <v>1328</v>
      </c>
      <c r="G295" s="26">
        <f t="shared" si="3"/>
        <v>0.5406626506</v>
      </c>
      <c r="H295" s="26">
        <f t="shared" si="4"/>
        <v>0.4593373494</v>
      </c>
      <c r="I295" s="24" t="s">
        <v>83</v>
      </c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24" t="s">
        <v>325</v>
      </c>
      <c r="B296" s="24" t="s">
        <v>397</v>
      </c>
      <c r="C296" s="24" t="s">
        <v>402</v>
      </c>
      <c r="D296" s="25">
        <v>718.0</v>
      </c>
      <c r="E296" s="25">
        <v>610.0</v>
      </c>
      <c r="F296" s="25">
        <f t="shared" si="2"/>
        <v>1328</v>
      </c>
      <c r="G296" s="26">
        <f t="shared" si="3"/>
        <v>0.5406626506</v>
      </c>
      <c r="H296" s="26">
        <f t="shared" si="4"/>
        <v>0.4593373494</v>
      </c>
      <c r="I296" s="24" t="s">
        <v>83</v>
      </c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24" t="s">
        <v>325</v>
      </c>
      <c r="B297" s="24" t="s">
        <v>397</v>
      </c>
      <c r="C297" s="24" t="s">
        <v>403</v>
      </c>
      <c r="D297" s="25">
        <v>718.0</v>
      </c>
      <c r="E297" s="25">
        <v>610.0</v>
      </c>
      <c r="F297" s="25">
        <f t="shared" si="2"/>
        <v>1328</v>
      </c>
      <c r="G297" s="26">
        <f t="shared" si="3"/>
        <v>0.5406626506</v>
      </c>
      <c r="H297" s="26">
        <f t="shared" si="4"/>
        <v>0.4593373494</v>
      </c>
      <c r="I297" s="24" t="s">
        <v>83</v>
      </c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24" t="s">
        <v>325</v>
      </c>
      <c r="B298" s="24" t="s">
        <v>397</v>
      </c>
      <c r="C298" s="24" t="s">
        <v>404</v>
      </c>
      <c r="D298" s="25">
        <v>718.0</v>
      </c>
      <c r="E298" s="25">
        <v>610.0</v>
      </c>
      <c r="F298" s="25">
        <f t="shared" si="2"/>
        <v>1328</v>
      </c>
      <c r="G298" s="26">
        <f t="shared" si="3"/>
        <v>0.5406626506</v>
      </c>
      <c r="H298" s="26">
        <f t="shared" si="4"/>
        <v>0.4593373494</v>
      </c>
      <c r="I298" s="24" t="s">
        <v>83</v>
      </c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24" t="s">
        <v>325</v>
      </c>
      <c r="B299" s="24" t="s">
        <v>405</v>
      </c>
      <c r="C299" s="24" t="s">
        <v>405</v>
      </c>
      <c r="D299" s="25">
        <v>524.0</v>
      </c>
      <c r="E299" s="25">
        <v>346.0</v>
      </c>
      <c r="F299" s="25">
        <f t="shared" si="2"/>
        <v>870</v>
      </c>
      <c r="G299" s="26">
        <f t="shared" si="3"/>
        <v>0.6022988506</v>
      </c>
      <c r="H299" s="26">
        <f t="shared" si="4"/>
        <v>0.3977011494</v>
      </c>
      <c r="I299" s="24" t="s">
        <v>83</v>
      </c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24" t="s">
        <v>325</v>
      </c>
      <c r="B300" s="24" t="s">
        <v>406</v>
      </c>
      <c r="C300" s="24" t="s">
        <v>406</v>
      </c>
      <c r="D300" s="25">
        <v>90.0</v>
      </c>
      <c r="E300" s="25">
        <v>81.0</v>
      </c>
      <c r="F300" s="25">
        <f t="shared" si="2"/>
        <v>171</v>
      </c>
      <c r="G300" s="26">
        <f t="shared" si="3"/>
        <v>0.5263157895</v>
      </c>
      <c r="H300" s="26">
        <f t="shared" si="4"/>
        <v>0.4736842105</v>
      </c>
      <c r="I300" s="24" t="s">
        <v>83</v>
      </c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24" t="s">
        <v>325</v>
      </c>
      <c r="B301" s="24" t="s">
        <v>232</v>
      </c>
      <c r="C301" s="24" t="s">
        <v>407</v>
      </c>
      <c r="D301" s="25">
        <v>695.0</v>
      </c>
      <c r="E301" s="25">
        <v>508.0</v>
      </c>
      <c r="F301" s="25">
        <f t="shared" si="2"/>
        <v>1203</v>
      </c>
      <c r="G301" s="26">
        <f t="shared" si="3"/>
        <v>0.5777223608</v>
      </c>
      <c r="H301" s="26">
        <f t="shared" si="4"/>
        <v>0.4222776392</v>
      </c>
      <c r="I301" s="24" t="s">
        <v>83</v>
      </c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24" t="s">
        <v>325</v>
      </c>
      <c r="B302" s="24" t="s">
        <v>232</v>
      </c>
      <c r="C302" s="24" t="s">
        <v>408</v>
      </c>
      <c r="D302" s="25">
        <v>695.0</v>
      </c>
      <c r="E302" s="25">
        <v>508.0</v>
      </c>
      <c r="F302" s="25">
        <f t="shared" si="2"/>
        <v>1203</v>
      </c>
      <c r="G302" s="26">
        <f t="shared" si="3"/>
        <v>0.5777223608</v>
      </c>
      <c r="H302" s="26">
        <f t="shared" si="4"/>
        <v>0.4222776392</v>
      </c>
      <c r="I302" s="24" t="s">
        <v>83</v>
      </c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24" t="s">
        <v>325</v>
      </c>
      <c r="B303" s="24" t="s">
        <v>232</v>
      </c>
      <c r="C303" s="24" t="s">
        <v>409</v>
      </c>
      <c r="D303" s="25">
        <v>695.0</v>
      </c>
      <c r="E303" s="25">
        <v>508.0</v>
      </c>
      <c r="F303" s="25">
        <f t="shared" si="2"/>
        <v>1203</v>
      </c>
      <c r="G303" s="26">
        <f t="shared" si="3"/>
        <v>0.5777223608</v>
      </c>
      <c r="H303" s="26">
        <f t="shared" si="4"/>
        <v>0.4222776392</v>
      </c>
      <c r="I303" s="24" t="s">
        <v>83</v>
      </c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24" t="s">
        <v>325</v>
      </c>
      <c r="B304" s="24" t="s">
        <v>232</v>
      </c>
      <c r="C304" s="24" t="s">
        <v>410</v>
      </c>
      <c r="D304" s="25">
        <v>695.0</v>
      </c>
      <c r="E304" s="25">
        <v>508.0</v>
      </c>
      <c r="F304" s="25">
        <f t="shared" si="2"/>
        <v>1203</v>
      </c>
      <c r="G304" s="26">
        <f t="shared" si="3"/>
        <v>0.5777223608</v>
      </c>
      <c r="H304" s="26">
        <f t="shared" si="4"/>
        <v>0.4222776392</v>
      </c>
      <c r="I304" s="24" t="s">
        <v>83</v>
      </c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24" t="s">
        <v>325</v>
      </c>
      <c r="B305" s="24" t="s">
        <v>232</v>
      </c>
      <c r="C305" s="24" t="s">
        <v>411</v>
      </c>
      <c r="D305" s="25">
        <v>695.0</v>
      </c>
      <c r="E305" s="25">
        <v>508.0</v>
      </c>
      <c r="F305" s="25">
        <f t="shared" si="2"/>
        <v>1203</v>
      </c>
      <c r="G305" s="26">
        <f t="shared" si="3"/>
        <v>0.5777223608</v>
      </c>
      <c r="H305" s="26">
        <f t="shared" si="4"/>
        <v>0.4222776392</v>
      </c>
      <c r="I305" s="24" t="s">
        <v>83</v>
      </c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24" t="s">
        <v>325</v>
      </c>
      <c r="B306" s="24" t="s">
        <v>232</v>
      </c>
      <c r="C306" s="24" t="s">
        <v>412</v>
      </c>
      <c r="D306" s="25">
        <v>695.0</v>
      </c>
      <c r="E306" s="25">
        <v>508.0</v>
      </c>
      <c r="F306" s="25">
        <f t="shared" si="2"/>
        <v>1203</v>
      </c>
      <c r="G306" s="26">
        <f t="shared" si="3"/>
        <v>0.5777223608</v>
      </c>
      <c r="H306" s="26">
        <f t="shared" si="4"/>
        <v>0.4222776392</v>
      </c>
      <c r="I306" s="24" t="s">
        <v>83</v>
      </c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24" t="s">
        <v>325</v>
      </c>
      <c r="B307" s="24" t="s">
        <v>413</v>
      </c>
      <c r="C307" s="24" t="s">
        <v>414</v>
      </c>
      <c r="D307" s="25">
        <v>511.0</v>
      </c>
      <c r="E307" s="25">
        <v>467.0</v>
      </c>
      <c r="F307" s="25">
        <f t="shared" si="2"/>
        <v>978</v>
      </c>
      <c r="G307" s="26">
        <f t="shared" si="3"/>
        <v>0.5224948875</v>
      </c>
      <c r="H307" s="26">
        <f t="shared" si="4"/>
        <v>0.4775051125</v>
      </c>
      <c r="I307" s="24" t="s">
        <v>83</v>
      </c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24" t="s">
        <v>325</v>
      </c>
      <c r="B308" s="24" t="s">
        <v>413</v>
      </c>
      <c r="C308" s="24" t="s">
        <v>415</v>
      </c>
      <c r="D308" s="25">
        <v>511.0</v>
      </c>
      <c r="E308" s="25">
        <v>467.0</v>
      </c>
      <c r="F308" s="25">
        <f t="shared" si="2"/>
        <v>978</v>
      </c>
      <c r="G308" s="26">
        <f t="shared" si="3"/>
        <v>0.5224948875</v>
      </c>
      <c r="H308" s="26">
        <f t="shared" si="4"/>
        <v>0.4775051125</v>
      </c>
      <c r="I308" s="24" t="s">
        <v>83</v>
      </c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24" t="s">
        <v>325</v>
      </c>
      <c r="B309" s="24" t="s">
        <v>413</v>
      </c>
      <c r="C309" s="24" t="s">
        <v>416</v>
      </c>
      <c r="D309" s="25">
        <v>511.0</v>
      </c>
      <c r="E309" s="25">
        <v>467.0</v>
      </c>
      <c r="F309" s="25">
        <f t="shared" si="2"/>
        <v>978</v>
      </c>
      <c r="G309" s="26">
        <f t="shared" si="3"/>
        <v>0.5224948875</v>
      </c>
      <c r="H309" s="26">
        <f t="shared" si="4"/>
        <v>0.4775051125</v>
      </c>
      <c r="I309" s="24" t="s">
        <v>83</v>
      </c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24" t="s">
        <v>325</v>
      </c>
      <c r="B310" s="24" t="s">
        <v>417</v>
      </c>
      <c r="C310" s="24" t="s">
        <v>418</v>
      </c>
      <c r="D310" s="25">
        <v>423.0</v>
      </c>
      <c r="E310" s="25">
        <v>770.0</v>
      </c>
      <c r="F310" s="25">
        <f t="shared" si="2"/>
        <v>1193</v>
      </c>
      <c r="G310" s="26">
        <f t="shared" si="3"/>
        <v>0.3545683152</v>
      </c>
      <c r="H310" s="26">
        <f t="shared" si="4"/>
        <v>0.6454316848</v>
      </c>
      <c r="I310" s="24" t="s">
        <v>83</v>
      </c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24" t="s">
        <v>325</v>
      </c>
      <c r="B311" s="24" t="s">
        <v>417</v>
      </c>
      <c r="C311" s="24" t="s">
        <v>419</v>
      </c>
      <c r="D311" s="25">
        <v>423.0</v>
      </c>
      <c r="E311" s="25">
        <v>770.0</v>
      </c>
      <c r="F311" s="25">
        <f t="shared" si="2"/>
        <v>1193</v>
      </c>
      <c r="G311" s="26">
        <f t="shared" si="3"/>
        <v>0.3545683152</v>
      </c>
      <c r="H311" s="26">
        <f t="shared" si="4"/>
        <v>0.6454316848</v>
      </c>
      <c r="I311" s="24" t="s">
        <v>83</v>
      </c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24" t="s">
        <v>325</v>
      </c>
      <c r="B312" s="24" t="s">
        <v>417</v>
      </c>
      <c r="C312" s="24" t="s">
        <v>420</v>
      </c>
      <c r="D312" s="25">
        <v>423.0</v>
      </c>
      <c r="E312" s="25">
        <v>770.0</v>
      </c>
      <c r="F312" s="25">
        <f t="shared" si="2"/>
        <v>1193</v>
      </c>
      <c r="G312" s="26">
        <f t="shared" si="3"/>
        <v>0.3545683152</v>
      </c>
      <c r="H312" s="26">
        <f t="shared" si="4"/>
        <v>0.6454316848</v>
      </c>
      <c r="I312" s="24" t="s">
        <v>83</v>
      </c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24" t="s">
        <v>325</v>
      </c>
      <c r="B313" s="24" t="s">
        <v>417</v>
      </c>
      <c r="C313" s="24" t="s">
        <v>421</v>
      </c>
      <c r="D313" s="25">
        <v>423.0</v>
      </c>
      <c r="E313" s="25">
        <v>770.0</v>
      </c>
      <c r="F313" s="25">
        <f t="shared" si="2"/>
        <v>1193</v>
      </c>
      <c r="G313" s="26">
        <f t="shared" si="3"/>
        <v>0.3545683152</v>
      </c>
      <c r="H313" s="26">
        <f t="shared" si="4"/>
        <v>0.6454316848</v>
      </c>
      <c r="I313" s="24" t="s">
        <v>83</v>
      </c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24" t="s">
        <v>325</v>
      </c>
      <c r="B314" s="24" t="s">
        <v>417</v>
      </c>
      <c r="C314" s="24" t="s">
        <v>422</v>
      </c>
      <c r="D314" s="25">
        <v>423.0</v>
      </c>
      <c r="E314" s="25">
        <v>770.0</v>
      </c>
      <c r="F314" s="25">
        <f t="shared" si="2"/>
        <v>1193</v>
      </c>
      <c r="G314" s="26">
        <f t="shared" si="3"/>
        <v>0.3545683152</v>
      </c>
      <c r="H314" s="26">
        <f t="shared" si="4"/>
        <v>0.6454316848</v>
      </c>
      <c r="I314" s="24" t="s">
        <v>83</v>
      </c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24" t="s">
        <v>325</v>
      </c>
      <c r="B315" s="24" t="s">
        <v>423</v>
      </c>
      <c r="C315" s="24" t="s">
        <v>424</v>
      </c>
      <c r="D315" s="25">
        <v>296.0</v>
      </c>
      <c r="E315" s="25">
        <v>528.0</v>
      </c>
      <c r="F315" s="25">
        <f t="shared" si="2"/>
        <v>824</v>
      </c>
      <c r="G315" s="26">
        <f t="shared" si="3"/>
        <v>0.359223301</v>
      </c>
      <c r="H315" s="26">
        <f t="shared" si="4"/>
        <v>0.640776699</v>
      </c>
      <c r="I315" s="24" t="s">
        <v>83</v>
      </c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24" t="s">
        <v>325</v>
      </c>
      <c r="B316" s="24" t="s">
        <v>423</v>
      </c>
      <c r="C316" s="24" t="s">
        <v>425</v>
      </c>
      <c r="D316" s="25">
        <v>296.0</v>
      </c>
      <c r="E316" s="25">
        <v>528.0</v>
      </c>
      <c r="F316" s="25">
        <f t="shared" si="2"/>
        <v>824</v>
      </c>
      <c r="G316" s="26">
        <f t="shared" si="3"/>
        <v>0.359223301</v>
      </c>
      <c r="H316" s="26">
        <f t="shared" si="4"/>
        <v>0.640776699</v>
      </c>
      <c r="I316" s="24" t="s">
        <v>83</v>
      </c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24" t="s">
        <v>325</v>
      </c>
      <c r="B317" s="24" t="s">
        <v>426</v>
      </c>
      <c r="C317" s="24" t="s">
        <v>427</v>
      </c>
      <c r="D317" s="25">
        <v>531.0</v>
      </c>
      <c r="E317" s="25">
        <v>576.0</v>
      </c>
      <c r="F317" s="25">
        <f t="shared" si="2"/>
        <v>1107</v>
      </c>
      <c r="G317" s="26">
        <f t="shared" si="3"/>
        <v>0.4796747967</v>
      </c>
      <c r="H317" s="26">
        <f t="shared" si="4"/>
        <v>0.5203252033</v>
      </c>
      <c r="I317" s="24" t="s">
        <v>83</v>
      </c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24" t="s">
        <v>325</v>
      </c>
      <c r="B318" s="24" t="s">
        <v>426</v>
      </c>
      <c r="C318" s="24" t="s">
        <v>428</v>
      </c>
      <c r="D318" s="25">
        <v>531.0</v>
      </c>
      <c r="E318" s="25">
        <v>576.0</v>
      </c>
      <c r="F318" s="25">
        <f t="shared" si="2"/>
        <v>1107</v>
      </c>
      <c r="G318" s="26">
        <f t="shared" si="3"/>
        <v>0.4796747967</v>
      </c>
      <c r="H318" s="26">
        <f t="shared" si="4"/>
        <v>0.5203252033</v>
      </c>
      <c r="I318" s="24" t="s">
        <v>83</v>
      </c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24" t="s">
        <v>325</v>
      </c>
      <c r="B319" s="24" t="s">
        <v>426</v>
      </c>
      <c r="C319" s="24" t="s">
        <v>429</v>
      </c>
      <c r="D319" s="25">
        <v>531.0</v>
      </c>
      <c r="E319" s="25">
        <v>576.0</v>
      </c>
      <c r="F319" s="25">
        <f t="shared" si="2"/>
        <v>1107</v>
      </c>
      <c r="G319" s="26">
        <f t="shared" si="3"/>
        <v>0.4796747967</v>
      </c>
      <c r="H319" s="26">
        <f t="shared" si="4"/>
        <v>0.5203252033</v>
      </c>
      <c r="I319" s="24" t="s">
        <v>83</v>
      </c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24" t="s">
        <v>325</v>
      </c>
      <c r="B320" s="24" t="s">
        <v>426</v>
      </c>
      <c r="C320" s="24" t="s">
        <v>430</v>
      </c>
      <c r="D320" s="25">
        <v>531.0</v>
      </c>
      <c r="E320" s="25">
        <v>576.0</v>
      </c>
      <c r="F320" s="25">
        <f t="shared" si="2"/>
        <v>1107</v>
      </c>
      <c r="G320" s="26">
        <f t="shared" si="3"/>
        <v>0.4796747967</v>
      </c>
      <c r="H320" s="26">
        <f t="shared" si="4"/>
        <v>0.5203252033</v>
      </c>
      <c r="I320" s="24" t="s">
        <v>83</v>
      </c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24" t="s">
        <v>325</v>
      </c>
      <c r="B321" s="24" t="s">
        <v>431</v>
      </c>
      <c r="C321" s="24" t="s">
        <v>432</v>
      </c>
      <c r="D321" s="25">
        <v>564.0</v>
      </c>
      <c r="E321" s="25">
        <v>551.0</v>
      </c>
      <c r="F321" s="25">
        <f t="shared" si="2"/>
        <v>1115</v>
      </c>
      <c r="G321" s="26">
        <f t="shared" si="3"/>
        <v>0.5058295964</v>
      </c>
      <c r="H321" s="26">
        <f t="shared" si="4"/>
        <v>0.4941704036</v>
      </c>
      <c r="I321" s="24" t="s">
        <v>83</v>
      </c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24" t="s">
        <v>325</v>
      </c>
      <c r="B322" s="24" t="s">
        <v>431</v>
      </c>
      <c r="C322" s="24" t="s">
        <v>433</v>
      </c>
      <c r="D322" s="25">
        <v>564.0</v>
      </c>
      <c r="E322" s="25">
        <v>551.0</v>
      </c>
      <c r="F322" s="25">
        <f t="shared" si="2"/>
        <v>1115</v>
      </c>
      <c r="G322" s="26">
        <f t="shared" si="3"/>
        <v>0.5058295964</v>
      </c>
      <c r="H322" s="26">
        <f t="shared" si="4"/>
        <v>0.4941704036</v>
      </c>
      <c r="I322" s="24" t="s">
        <v>83</v>
      </c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24" t="s">
        <v>325</v>
      </c>
      <c r="B323" s="24" t="s">
        <v>431</v>
      </c>
      <c r="C323" s="24" t="s">
        <v>434</v>
      </c>
      <c r="D323" s="25">
        <v>564.0</v>
      </c>
      <c r="E323" s="25">
        <v>551.0</v>
      </c>
      <c r="F323" s="25">
        <f t="shared" si="2"/>
        <v>1115</v>
      </c>
      <c r="G323" s="26">
        <f t="shared" si="3"/>
        <v>0.5058295964</v>
      </c>
      <c r="H323" s="26">
        <f t="shared" si="4"/>
        <v>0.4941704036</v>
      </c>
      <c r="I323" s="24" t="s">
        <v>83</v>
      </c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24" t="s">
        <v>325</v>
      </c>
      <c r="B324" s="24" t="s">
        <v>431</v>
      </c>
      <c r="C324" s="24" t="s">
        <v>435</v>
      </c>
      <c r="D324" s="25">
        <v>564.0</v>
      </c>
      <c r="E324" s="25">
        <v>551.0</v>
      </c>
      <c r="F324" s="25">
        <f t="shared" si="2"/>
        <v>1115</v>
      </c>
      <c r="G324" s="26">
        <f t="shared" si="3"/>
        <v>0.5058295964</v>
      </c>
      <c r="H324" s="26">
        <f t="shared" si="4"/>
        <v>0.4941704036</v>
      </c>
      <c r="I324" s="24" t="s">
        <v>83</v>
      </c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24" t="s">
        <v>325</v>
      </c>
      <c r="B325" s="24" t="s">
        <v>431</v>
      </c>
      <c r="C325" s="24" t="s">
        <v>436</v>
      </c>
      <c r="D325" s="25">
        <v>564.0</v>
      </c>
      <c r="E325" s="25">
        <v>551.0</v>
      </c>
      <c r="F325" s="25">
        <f t="shared" si="2"/>
        <v>1115</v>
      </c>
      <c r="G325" s="26">
        <f t="shared" si="3"/>
        <v>0.5058295964</v>
      </c>
      <c r="H325" s="26">
        <f t="shared" si="4"/>
        <v>0.4941704036</v>
      </c>
      <c r="I325" s="24" t="s">
        <v>83</v>
      </c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24" t="s">
        <v>325</v>
      </c>
      <c r="B326" s="24" t="s">
        <v>431</v>
      </c>
      <c r="C326" s="24" t="s">
        <v>437</v>
      </c>
      <c r="D326" s="25">
        <v>564.0</v>
      </c>
      <c r="E326" s="25">
        <v>551.0</v>
      </c>
      <c r="F326" s="25">
        <f t="shared" si="2"/>
        <v>1115</v>
      </c>
      <c r="G326" s="26">
        <f t="shared" si="3"/>
        <v>0.5058295964</v>
      </c>
      <c r="H326" s="26">
        <f t="shared" si="4"/>
        <v>0.4941704036</v>
      </c>
      <c r="I326" s="24" t="s">
        <v>83</v>
      </c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24" t="s">
        <v>325</v>
      </c>
      <c r="B327" s="24" t="s">
        <v>438</v>
      </c>
      <c r="C327" s="24" t="s">
        <v>439</v>
      </c>
      <c r="D327" s="25">
        <v>490.0</v>
      </c>
      <c r="E327" s="25">
        <v>907.0</v>
      </c>
      <c r="F327" s="25">
        <f t="shared" si="2"/>
        <v>1397</v>
      </c>
      <c r="G327" s="26">
        <f t="shared" si="3"/>
        <v>0.3507516106</v>
      </c>
      <c r="H327" s="26">
        <f t="shared" si="4"/>
        <v>0.6492483894</v>
      </c>
      <c r="I327" s="24" t="s">
        <v>83</v>
      </c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24" t="s">
        <v>325</v>
      </c>
      <c r="B328" s="24" t="s">
        <v>438</v>
      </c>
      <c r="C328" s="24" t="s">
        <v>440</v>
      </c>
      <c r="D328" s="25">
        <v>490.0</v>
      </c>
      <c r="E328" s="25">
        <v>907.0</v>
      </c>
      <c r="F328" s="25">
        <f t="shared" si="2"/>
        <v>1397</v>
      </c>
      <c r="G328" s="26">
        <f t="shared" si="3"/>
        <v>0.3507516106</v>
      </c>
      <c r="H328" s="26">
        <f t="shared" si="4"/>
        <v>0.6492483894</v>
      </c>
      <c r="I328" s="24" t="s">
        <v>83</v>
      </c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24" t="s">
        <v>325</v>
      </c>
      <c r="B329" s="24" t="s">
        <v>438</v>
      </c>
      <c r="C329" s="24" t="s">
        <v>441</v>
      </c>
      <c r="D329" s="25">
        <v>490.0</v>
      </c>
      <c r="E329" s="25">
        <v>907.0</v>
      </c>
      <c r="F329" s="25">
        <f t="shared" si="2"/>
        <v>1397</v>
      </c>
      <c r="G329" s="26">
        <f t="shared" si="3"/>
        <v>0.3507516106</v>
      </c>
      <c r="H329" s="26">
        <f t="shared" si="4"/>
        <v>0.6492483894</v>
      </c>
      <c r="I329" s="24" t="s">
        <v>83</v>
      </c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24" t="s">
        <v>325</v>
      </c>
      <c r="B330" s="24" t="s">
        <v>438</v>
      </c>
      <c r="C330" s="24" t="s">
        <v>442</v>
      </c>
      <c r="D330" s="25">
        <v>490.0</v>
      </c>
      <c r="E330" s="25">
        <v>907.0</v>
      </c>
      <c r="F330" s="25">
        <f t="shared" si="2"/>
        <v>1397</v>
      </c>
      <c r="G330" s="26">
        <f t="shared" si="3"/>
        <v>0.3507516106</v>
      </c>
      <c r="H330" s="26">
        <f t="shared" si="4"/>
        <v>0.6492483894</v>
      </c>
      <c r="I330" s="24" t="s">
        <v>83</v>
      </c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24" t="s">
        <v>325</v>
      </c>
      <c r="B331" s="24" t="s">
        <v>443</v>
      </c>
      <c r="C331" s="24" t="s">
        <v>444</v>
      </c>
      <c r="D331" s="25">
        <v>465.0</v>
      </c>
      <c r="E331" s="25">
        <v>466.0</v>
      </c>
      <c r="F331" s="25">
        <f t="shared" si="2"/>
        <v>931</v>
      </c>
      <c r="G331" s="26">
        <f t="shared" si="3"/>
        <v>0.4994629431</v>
      </c>
      <c r="H331" s="26">
        <f t="shared" si="4"/>
        <v>0.5005370569</v>
      </c>
      <c r="I331" s="24" t="s">
        <v>83</v>
      </c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24" t="s">
        <v>325</v>
      </c>
      <c r="B332" s="24" t="s">
        <v>443</v>
      </c>
      <c r="C332" s="24" t="s">
        <v>445</v>
      </c>
      <c r="D332" s="25">
        <v>465.0</v>
      </c>
      <c r="E332" s="25">
        <v>466.0</v>
      </c>
      <c r="F332" s="25">
        <f t="shared" si="2"/>
        <v>931</v>
      </c>
      <c r="G332" s="26">
        <f t="shared" si="3"/>
        <v>0.4994629431</v>
      </c>
      <c r="H332" s="26">
        <f t="shared" si="4"/>
        <v>0.5005370569</v>
      </c>
      <c r="I332" s="24" t="s">
        <v>83</v>
      </c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24" t="s">
        <v>325</v>
      </c>
      <c r="B333" s="24" t="s">
        <v>443</v>
      </c>
      <c r="C333" s="24" t="s">
        <v>446</v>
      </c>
      <c r="D333" s="25">
        <v>465.0</v>
      </c>
      <c r="E333" s="25">
        <v>466.0</v>
      </c>
      <c r="F333" s="25">
        <f t="shared" si="2"/>
        <v>931</v>
      </c>
      <c r="G333" s="26">
        <f t="shared" si="3"/>
        <v>0.4994629431</v>
      </c>
      <c r="H333" s="26">
        <f t="shared" si="4"/>
        <v>0.5005370569</v>
      </c>
      <c r="I333" s="24" t="s">
        <v>83</v>
      </c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24" t="s">
        <v>325</v>
      </c>
      <c r="B334" s="24" t="s">
        <v>447</v>
      </c>
      <c r="C334" s="24" t="s">
        <v>448</v>
      </c>
      <c r="D334" s="25">
        <v>376.0</v>
      </c>
      <c r="E334" s="25">
        <v>374.0</v>
      </c>
      <c r="F334" s="25">
        <f t="shared" si="2"/>
        <v>750</v>
      </c>
      <c r="G334" s="26">
        <f t="shared" si="3"/>
        <v>0.5013333333</v>
      </c>
      <c r="H334" s="26">
        <f t="shared" si="4"/>
        <v>0.4986666667</v>
      </c>
      <c r="I334" s="24" t="s">
        <v>83</v>
      </c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24" t="s">
        <v>325</v>
      </c>
      <c r="B335" s="24" t="s">
        <v>447</v>
      </c>
      <c r="C335" s="24" t="s">
        <v>449</v>
      </c>
      <c r="D335" s="25">
        <v>376.0</v>
      </c>
      <c r="E335" s="25">
        <v>374.0</v>
      </c>
      <c r="F335" s="25">
        <f t="shared" si="2"/>
        <v>750</v>
      </c>
      <c r="G335" s="26">
        <f t="shared" si="3"/>
        <v>0.5013333333</v>
      </c>
      <c r="H335" s="26">
        <f t="shared" si="4"/>
        <v>0.4986666667</v>
      </c>
      <c r="I335" s="24" t="s">
        <v>83</v>
      </c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24" t="s">
        <v>325</v>
      </c>
      <c r="B336" s="24" t="s">
        <v>450</v>
      </c>
      <c r="C336" s="24" t="s">
        <v>451</v>
      </c>
      <c r="D336" s="25">
        <v>546.0</v>
      </c>
      <c r="E336" s="25">
        <v>597.0</v>
      </c>
      <c r="F336" s="25">
        <f t="shared" si="2"/>
        <v>1143</v>
      </c>
      <c r="G336" s="26">
        <f t="shared" si="3"/>
        <v>0.4776902887</v>
      </c>
      <c r="H336" s="26">
        <f t="shared" si="4"/>
        <v>0.5223097113</v>
      </c>
      <c r="I336" s="24" t="s">
        <v>83</v>
      </c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24" t="s">
        <v>325</v>
      </c>
      <c r="B337" s="24" t="s">
        <v>450</v>
      </c>
      <c r="C337" s="24" t="s">
        <v>452</v>
      </c>
      <c r="D337" s="25">
        <v>546.0</v>
      </c>
      <c r="E337" s="25">
        <v>597.0</v>
      </c>
      <c r="F337" s="25">
        <f t="shared" si="2"/>
        <v>1143</v>
      </c>
      <c r="G337" s="26">
        <f t="shared" si="3"/>
        <v>0.4776902887</v>
      </c>
      <c r="H337" s="26">
        <f t="shared" si="4"/>
        <v>0.5223097113</v>
      </c>
      <c r="I337" s="24" t="s">
        <v>83</v>
      </c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24" t="s">
        <v>325</v>
      </c>
      <c r="B338" s="24" t="s">
        <v>450</v>
      </c>
      <c r="C338" s="24" t="s">
        <v>453</v>
      </c>
      <c r="D338" s="25">
        <v>546.0</v>
      </c>
      <c r="E338" s="25">
        <v>597.0</v>
      </c>
      <c r="F338" s="25">
        <f t="shared" si="2"/>
        <v>1143</v>
      </c>
      <c r="G338" s="26">
        <f t="shared" si="3"/>
        <v>0.4776902887</v>
      </c>
      <c r="H338" s="26">
        <f t="shared" si="4"/>
        <v>0.5223097113</v>
      </c>
      <c r="I338" s="24" t="s">
        <v>83</v>
      </c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24" t="s">
        <v>325</v>
      </c>
      <c r="B339" s="24" t="s">
        <v>450</v>
      </c>
      <c r="C339" s="24" t="s">
        <v>454</v>
      </c>
      <c r="D339" s="25">
        <v>546.0</v>
      </c>
      <c r="E339" s="25">
        <v>597.0</v>
      </c>
      <c r="F339" s="25">
        <f t="shared" si="2"/>
        <v>1143</v>
      </c>
      <c r="G339" s="26">
        <f t="shared" si="3"/>
        <v>0.4776902887</v>
      </c>
      <c r="H339" s="26">
        <f t="shared" si="4"/>
        <v>0.5223097113</v>
      </c>
      <c r="I339" s="24" t="s">
        <v>83</v>
      </c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24" t="s">
        <v>325</v>
      </c>
      <c r="B340" s="24" t="s">
        <v>455</v>
      </c>
      <c r="C340" s="24" t="s">
        <v>456</v>
      </c>
      <c r="D340" s="25">
        <v>698.0</v>
      </c>
      <c r="E340" s="25">
        <v>605.0</v>
      </c>
      <c r="F340" s="25">
        <f t="shared" si="2"/>
        <v>1303</v>
      </c>
      <c r="G340" s="26">
        <f t="shared" si="3"/>
        <v>0.5356868764</v>
      </c>
      <c r="H340" s="26">
        <f t="shared" si="4"/>
        <v>0.4643131236</v>
      </c>
      <c r="I340" s="24" t="s">
        <v>83</v>
      </c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24" t="s">
        <v>325</v>
      </c>
      <c r="B341" s="24" t="s">
        <v>455</v>
      </c>
      <c r="C341" s="24" t="s">
        <v>457</v>
      </c>
      <c r="D341" s="25">
        <v>698.0</v>
      </c>
      <c r="E341" s="25">
        <v>605.0</v>
      </c>
      <c r="F341" s="25">
        <f t="shared" si="2"/>
        <v>1303</v>
      </c>
      <c r="G341" s="26">
        <f t="shared" si="3"/>
        <v>0.5356868764</v>
      </c>
      <c r="H341" s="26">
        <f t="shared" si="4"/>
        <v>0.4643131236</v>
      </c>
      <c r="I341" s="24" t="s">
        <v>83</v>
      </c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24" t="s">
        <v>325</v>
      </c>
      <c r="B342" s="24" t="s">
        <v>455</v>
      </c>
      <c r="C342" s="24" t="s">
        <v>458</v>
      </c>
      <c r="D342" s="25">
        <v>698.0</v>
      </c>
      <c r="E342" s="25">
        <v>605.0</v>
      </c>
      <c r="F342" s="25">
        <f t="shared" si="2"/>
        <v>1303</v>
      </c>
      <c r="G342" s="26">
        <f t="shared" si="3"/>
        <v>0.5356868764</v>
      </c>
      <c r="H342" s="26">
        <f t="shared" si="4"/>
        <v>0.4643131236</v>
      </c>
      <c r="I342" s="24" t="s">
        <v>83</v>
      </c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24" t="s">
        <v>325</v>
      </c>
      <c r="B343" s="24" t="s">
        <v>455</v>
      </c>
      <c r="C343" s="24" t="s">
        <v>459</v>
      </c>
      <c r="D343" s="25">
        <v>698.0</v>
      </c>
      <c r="E343" s="25">
        <v>605.0</v>
      </c>
      <c r="F343" s="25">
        <f t="shared" si="2"/>
        <v>1303</v>
      </c>
      <c r="G343" s="26">
        <f t="shared" si="3"/>
        <v>0.5356868764</v>
      </c>
      <c r="H343" s="26">
        <f t="shared" si="4"/>
        <v>0.4643131236</v>
      </c>
      <c r="I343" s="24" t="s">
        <v>83</v>
      </c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24" t="s">
        <v>325</v>
      </c>
      <c r="B344" s="24" t="s">
        <v>455</v>
      </c>
      <c r="C344" s="24" t="s">
        <v>460</v>
      </c>
      <c r="D344" s="25">
        <v>698.0</v>
      </c>
      <c r="E344" s="25">
        <v>605.0</v>
      </c>
      <c r="F344" s="25">
        <f t="shared" si="2"/>
        <v>1303</v>
      </c>
      <c r="G344" s="26">
        <f t="shared" si="3"/>
        <v>0.5356868764</v>
      </c>
      <c r="H344" s="26">
        <f t="shared" si="4"/>
        <v>0.4643131236</v>
      </c>
      <c r="I344" s="24" t="s">
        <v>83</v>
      </c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24" t="s">
        <v>325</v>
      </c>
      <c r="B345" s="24" t="s">
        <v>455</v>
      </c>
      <c r="C345" s="24" t="s">
        <v>461</v>
      </c>
      <c r="D345" s="25">
        <v>698.0</v>
      </c>
      <c r="E345" s="25">
        <v>605.0</v>
      </c>
      <c r="F345" s="25">
        <f t="shared" si="2"/>
        <v>1303</v>
      </c>
      <c r="G345" s="26">
        <f t="shared" si="3"/>
        <v>0.5356868764</v>
      </c>
      <c r="H345" s="26">
        <f t="shared" si="4"/>
        <v>0.4643131236</v>
      </c>
      <c r="I345" s="24" t="s">
        <v>83</v>
      </c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24" t="s">
        <v>325</v>
      </c>
      <c r="B346" s="24" t="s">
        <v>455</v>
      </c>
      <c r="C346" s="24" t="s">
        <v>462</v>
      </c>
      <c r="D346" s="25">
        <v>698.0</v>
      </c>
      <c r="E346" s="25">
        <v>605.0</v>
      </c>
      <c r="F346" s="25">
        <f t="shared" si="2"/>
        <v>1303</v>
      </c>
      <c r="G346" s="26">
        <f t="shared" si="3"/>
        <v>0.5356868764</v>
      </c>
      <c r="H346" s="26">
        <f t="shared" si="4"/>
        <v>0.4643131236</v>
      </c>
      <c r="I346" s="24" t="s">
        <v>83</v>
      </c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24" t="s">
        <v>325</v>
      </c>
      <c r="B347" s="24" t="s">
        <v>455</v>
      </c>
      <c r="C347" s="24" t="s">
        <v>463</v>
      </c>
      <c r="D347" s="25">
        <v>698.0</v>
      </c>
      <c r="E347" s="25">
        <v>605.0</v>
      </c>
      <c r="F347" s="25">
        <f t="shared" si="2"/>
        <v>1303</v>
      </c>
      <c r="G347" s="26">
        <f t="shared" si="3"/>
        <v>0.5356868764</v>
      </c>
      <c r="H347" s="26">
        <f t="shared" si="4"/>
        <v>0.4643131236</v>
      </c>
      <c r="I347" s="24" t="s">
        <v>83</v>
      </c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24" t="s">
        <v>325</v>
      </c>
      <c r="B348" s="24" t="s">
        <v>455</v>
      </c>
      <c r="C348" s="24" t="s">
        <v>464</v>
      </c>
      <c r="D348" s="25">
        <v>698.0</v>
      </c>
      <c r="E348" s="25">
        <v>605.0</v>
      </c>
      <c r="F348" s="25">
        <f t="shared" si="2"/>
        <v>1303</v>
      </c>
      <c r="G348" s="26">
        <f t="shared" si="3"/>
        <v>0.5356868764</v>
      </c>
      <c r="H348" s="26">
        <f t="shared" si="4"/>
        <v>0.4643131236</v>
      </c>
      <c r="I348" s="24" t="s">
        <v>83</v>
      </c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24" t="s">
        <v>325</v>
      </c>
      <c r="B349" s="24" t="s">
        <v>465</v>
      </c>
      <c r="C349" s="24" t="s">
        <v>466</v>
      </c>
      <c r="D349" s="25">
        <v>138.0</v>
      </c>
      <c r="E349" s="25">
        <v>214.0</v>
      </c>
      <c r="F349" s="25">
        <f t="shared" si="2"/>
        <v>352</v>
      </c>
      <c r="G349" s="26">
        <f t="shared" si="3"/>
        <v>0.3920454545</v>
      </c>
      <c r="H349" s="26">
        <f t="shared" si="4"/>
        <v>0.6079545455</v>
      </c>
      <c r="I349" s="24" t="s">
        <v>83</v>
      </c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24" t="s">
        <v>325</v>
      </c>
      <c r="B350" s="24" t="s">
        <v>465</v>
      </c>
      <c r="C350" s="24" t="s">
        <v>467</v>
      </c>
      <c r="D350" s="25">
        <v>138.0</v>
      </c>
      <c r="E350" s="25">
        <v>214.0</v>
      </c>
      <c r="F350" s="25">
        <f t="shared" si="2"/>
        <v>352</v>
      </c>
      <c r="G350" s="26">
        <f t="shared" si="3"/>
        <v>0.3920454545</v>
      </c>
      <c r="H350" s="26">
        <f t="shared" si="4"/>
        <v>0.6079545455</v>
      </c>
      <c r="I350" s="24" t="s">
        <v>83</v>
      </c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24" t="s">
        <v>325</v>
      </c>
      <c r="B351" s="24" t="s">
        <v>465</v>
      </c>
      <c r="C351" s="24" t="s">
        <v>468</v>
      </c>
      <c r="D351" s="25">
        <v>138.0</v>
      </c>
      <c r="E351" s="25">
        <v>214.0</v>
      </c>
      <c r="F351" s="25">
        <f t="shared" si="2"/>
        <v>352</v>
      </c>
      <c r="G351" s="26">
        <f t="shared" si="3"/>
        <v>0.3920454545</v>
      </c>
      <c r="H351" s="26">
        <f t="shared" si="4"/>
        <v>0.6079545455</v>
      </c>
      <c r="I351" s="24" t="s">
        <v>83</v>
      </c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24" t="s">
        <v>325</v>
      </c>
      <c r="B352" s="24" t="s">
        <v>465</v>
      </c>
      <c r="C352" s="24" t="s">
        <v>469</v>
      </c>
      <c r="D352" s="25">
        <v>138.0</v>
      </c>
      <c r="E352" s="25">
        <v>214.0</v>
      </c>
      <c r="F352" s="25">
        <f t="shared" si="2"/>
        <v>352</v>
      </c>
      <c r="G352" s="26">
        <f t="shared" si="3"/>
        <v>0.3920454545</v>
      </c>
      <c r="H352" s="26">
        <f t="shared" si="4"/>
        <v>0.6079545455</v>
      </c>
      <c r="I352" s="24" t="s">
        <v>83</v>
      </c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24" t="s">
        <v>325</v>
      </c>
      <c r="B353" s="24" t="s">
        <v>470</v>
      </c>
      <c r="C353" s="24" t="s">
        <v>471</v>
      </c>
      <c r="D353" s="25">
        <v>326.0</v>
      </c>
      <c r="E353" s="25">
        <v>574.0</v>
      </c>
      <c r="F353" s="25">
        <f t="shared" si="2"/>
        <v>900</v>
      </c>
      <c r="G353" s="26">
        <f t="shared" si="3"/>
        <v>0.3622222222</v>
      </c>
      <c r="H353" s="26">
        <f t="shared" si="4"/>
        <v>0.6377777778</v>
      </c>
      <c r="I353" s="24" t="s">
        <v>83</v>
      </c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24" t="s">
        <v>325</v>
      </c>
      <c r="B354" s="24" t="s">
        <v>470</v>
      </c>
      <c r="C354" s="24" t="s">
        <v>472</v>
      </c>
      <c r="D354" s="25">
        <v>326.0</v>
      </c>
      <c r="E354" s="25">
        <v>574.0</v>
      </c>
      <c r="F354" s="25">
        <f t="shared" si="2"/>
        <v>900</v>
      </c>
      <c r="G354" s="26">
        <f t="shared" si="3"/>
        <v>0.3622222222</v>
      </c>
      <c r="H354" s="26">
        <f t="shared" si="4"/>
        <v>0.6377777778</v>
      </c>
      <c r="I354" s="24" t="s">
        <v>83</v>
      </c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24" t="s">
        <v>325</v>
      </c>
      <c r="B355" s="24" t="s">
        <v>470</v>
      </c>
      <c r="C355" s="24" t="s">
        <v>473</v>
      </c>
      <c r="D355" s="25">
        <v>326.0</v>
      </c>
      <c r="E355" s="25">
        <v>574.0</v>
      </c>
      <c r="F355" s="25">
        <f t="shared" si="2"/>
        <v>900</v>
      </c>
      <c r="G355" s="26">
        <f t="shared" si="3"/>
        <v>0.3622222222</v>
      </c>
      <c r="H355" s="26">
        <f t="shared" si="4"/>
        <v>0.6377777778</v>
      </c>
      <c r="I355" s="24" t="s">
        <v>83</v>
      </c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24" t="s">
        <v>325</v>
      </c>
      <c r="B356" s="24" t="s">
        <v>470</v>
      </c>
      <c r="C356" s="24" t="s">
        <v>474</v>
      </c>
      <c r="D356" s="25">
        <v>326.0</v>
      </c>
      <c r="E356" s="25">
        <v>574.0</v>
      </c>
      <c r="F356" s="25">
        <f t="shared" si="2"/>
        <v>900</v>
      </c>
      <c r="G356" s="26">
        <f t="shared" si="3"/>
        <v>0.3622222222</v>
      </c>
      <c r="H356" s="26">
        <f t="shared" si="4"/>
        <v>0.6377777778</v>
      </c>
      <c r="I356" s="24" t="s">
        <v>83</v>
      </c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24" t="s">
        <v>325</v>
      </c>
      <c r="B357" s="24" t="s">
        <v>475</v>
      </c>
      <c r="C357" s="24" t="s">
        <v>475</v>
      </c>
      <c r="D357" s="25">
        <v>81.0</v>
      </c>
      <c r="E357" s="25">
        <v>141.0</v>
      </c>
      <c r="F357" s="25">
        <f t="shared" si="2"/>
        <v>222</v>
      </c>
      <c r="G357" s="26">
        <f t="shared" si="3"/>
        <v>0.3648648649</v>
      </c>
      <c r="H357" s="26">
        <f t="shared" si="4"/>
        <v>0.6351351351</v>
      </c>
      <c r="I357" s="24" t="s">
        <v>83</v>
      </c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24" t="s">
        <v>325</v>
      </c>
      <c r="B358" s="24" t="s">
        <v>476</v>
      </c>
      <c r="C358" s="24" t="s">
        <v>476</v>
      </c>
      <c r="D358" s="25">
        <v>304.0</v>
      </c>
      <c r="E358" s="25">
        <v>470.0</v>
      </c>
      <c r="F358" s="25">
        <f t="shared" si="2"/>
        <v>774</v>
      </c>
      <c r="G358" s="26">
        <f t="shared" si="3"/>
        <v>0.3927648579</v>
      </c>
      <c r="H358" s="26">
        <f t="shared" si="4"/>
        <v>0.6072351421</v>
      </c>
      <c r="I358" s="24" t="s">
        <v>83</v>
      </c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24" t="s">
        <v>325</v>
      </c>
      <c r="B359" s="24" t="s">
        <v>477</v>
      </c>
      <c r="C359" s="24" t="s">
        <v>477</v>
      </c>
      <c r="D359" s="25">
        <v>198.0</v>
      </c>
      <c r="E359" s="25">
        <v>262.0</v>
      </c>
      <c r="F359" s="25">
        <f t="shared" si="2"/>
        <v>460</v>
      </c>
      <c r="G359" s="26">
        <f t="shared" si="3"/>
        <v>0.4304347826</v>
      </c>
      <c r="H359" s="26">
        <f t="shared" si="4"/>
        <v>0.5695652174</v>
      </c>
      <c r="I359" s="24" t="s">
        <v>83</v>
      </c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24" t="s">
        <v>325</v>
      </c>
      <c r="B360" s="24" t="s">
        <v>478</v>
      </c>
      <c r="C360" s="24" t="s">
        <v>478</v>
      </c>
      <c r="D360" s="25">
        <v>304.0</v>
      </c>
      <c r="E360" s="25">
        <v>373.0</v>
      </c>
      <c r="F360" s="25">
        <f t="shared" si="2"/>
        <v>677</v>
      </c>
      <c r="G360" s="26">
        <f t="shared" si="3"/>
        <v>0.4490398818</v>
      </c>
      <c r="H360" s="26">
        <f t="shared" si="4"/>
        <v>0.5509601182</v>
      </c>
      <c r="I360" s="24" t="s">
        <v>83</v>
      </c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24" t="s">
        <v>325</v>
      </c>
      <c r="B361" s="24" t="s">
        <v>479</v>
      </c>
      <c r="C361" s="24" t="s">
        <v>480</v>
      </c>
      <c r="D361" s="25">
        <v>240.0</v>
      </c>
      <c r="E361" s="25">
        <v>475.0</v>
      </c>
      <c r="F361" s="25">
        <f t="shared" si="2"/>
        <v>715</v>
      </c>
      <c r="G361" s="26">
        <f t="shared" si="3"/>
        <v>0.3356643357</v>
      </c>
      <c r="H361" s="26">
        <f t="shared" si="4"/>
        <v>0.6643356643</v>
      </c>
      <c r="I361" s="24" t="s">
        <v>83</v>
      </c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24" t="s">
        <v>325</v>
      </c>
      <c r="B362" s="24" t="s">
        <v>479</v>
      </c>
      <c r="C362" s="24" t="s">
        <v>481</v>
      </c>
      <c r="D362" s="25">
        <v>240.0</v>
      </c>
      <c r="E362" s="25">
        <v>475.0</v>
      </c>
      <c r="F362" s="25">
        <f t="shared" si="2"/>
        <v>715</v>
      </c>
      <c r="G362" s="26">
        <f t="shared" si="3"/>
        <v>0.3356643357</v>
      </c>
      <c r="H362" s="26">
        <f t="shared" si="4"/>
        <v>0.6643356643</v>
      </c>
      <c r="I362" s="24" t="s">
        <v>83</v>
      </c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24" t="s">
        <v>325</v>
      </c>
      <c r="B363" s="24" t="s">
        <v>479</v>
      </c>
      <c r="C363" s="24" t="s">
        <v>482</v>
      </c>
      <c r="D363" s="25">
        <v>240.0</v>
      </c>
      <c r="E363" s="25">
        <v>475.0</v>
      </c>
      <c r="F363" s="25">
        <f t="shared" si="2"/>
        <v>715</v>
      </c>
      <c r="G363" s="26">
        <f t="shared" si="3"/>
        <v>0.3356643357</v>
      </c>
      <c r="H363" s="26">
        <f t="shared" si="4"/>
        <v>0.6643356643</v>
      </c>
      <c r="I363" s="24" t="s">
        <v>83</v>
      </c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24" t="s">
        <v>325</v>
      </c>
      <c r="B364" s="24" t="s">
        <v>479</v>
      </c>
      <c r="C364" s="24" t="s">
        <v>483</v>
      </c>
      <c r="D364" s="25">
        <v>240.0</v>
      </c>
      <c r="E364" s="25">
        <v>475.0</v>
      </c>
      <c r="F364" s="25">
        <f t="shared" si="2"/>
        <v>715</v>
      </c>
      <c r="G364" s="26">
        <f t="shared" si="3"/>
        <v>0.3356643357</v>
      </c>
      <c r="H364" s="26">
        <f t="shared" si="4"/>
        <v>0.6643356643</v>
      </c>
      <c r="I364" s="24" t="s">
        <v>83</v>
      </c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24" t="s">
        <v>325</v>
      </c>
      <c r="B365" s="24" t="s">
        <v>479</v>
      </c>
      <c r="C365" s="24" t="s">
        <v>484</v>
      </c>
      <c r="D365" s="25">
        <v>240.0</v>
      </c>
      <c r="E365" s="25">
        <v>475.0</v>
      </c>
      <c r="F365" s="25">
        <f t="shared" si="2"/>
        <v>715</v>
      </c>
      <c r="G365" s="26">
        <f t="shared" si="3"/>
        <v>0.3356643357</v>
      </c>
      <c r="H365" s="26">
        <f t="shared" si="4"/>
        <v>0.6643356643</v>
      </c>
      <c r="I365" s="24" t="s">
        <v>83</v>
      </c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24" t="s">
        <v>325</v>
      </c>
      <c r="B366" s="24" t="s">
        <v>485</v>
      </c>
      <c r="C366" s="24" t="s">
        <v>486</v>
      </c>
      <c r="D366" s="25">
        <v>476.0</v>
      </c>
      <c r="E366" s="25">
        <v>475.0</v>
      </c>
      <c r="F366" s="25">
        <f t="shared" si="2"/>
        <v>951</v>
      </c>
      <c r="G366" s="26">
        <f t="shared" si="3"/>
        <v>0.5005257624</v>
      </c>
      <c r="H366" s="26">
        <f t="shared" si="4"/>
        <v>0.4994742376</v>
      </c>
      <c r="I366" s="24" t="s">
        <v>83</v>
      </c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24" t="s">
        <v>325</v>
      </c>
      <c r="B367" s="24" t="s">
        <v>485</v>
      </c>
      <c r="C367" s="24" t="s">
        <v>487</v>
      </c>
      <c r="D367" s="25">
        <v>476.0</v>
      </c>
      <c r="E367" s="25">
        <v>475.0</v>
      </c>
      <c r="F367" s="25">
        <f t="shared" si="2"/>
        <v>951</v>
      </c>
      <c r="G367" s="26">
        <f t="shared" si="3"/>
        <v>0.5005257624</v>
      </c>
      <c r="H367" s="26">
        <f t="shared" si="4"/>
        <v>0.4994742376</v>
      </c>
      <c r="I367" s="24" t="s">
        <v>83</v>
      </c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24" t="s">
        <v>325</v>
      </c>
      <c r="B368" s="24" t="s">
        <v>485</v>
      </c>
      <c r="C368" s="24" t="s">
        <v>488</v>
      </c>
      <c r="D368" s="25">
        <v>476.0</v>
      </c>
      <c r="E368" s="25">
        <v>475.0</v>
      </c>
      <c r="F368" s="25">
        <f t="shared" si="2"/>
        <v>951</v>
      </c>
      <c r="G368" s="26">
        <f t="shared" si="3"/>
        <v>0.5005257624</v>
      </c>
      <c r="H368" s="26">
        <f t="shared" si="4"/>
        <v>0.4994742376</v>
      </c>
      <c r="I368" s="24" t="s">
        <v>83</v>
      </c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24" t="s">
        <v>325</v>
      </c>
      <c r="B369" s="24" t="s">
        <v>485</v>
      </c>
      <c r="C369" s="24" t="s">
        <v>489</v>
      </c>
      <c r="D369" s="25">
        <v>476.0</v>
      </c>
      <c r="E369" s="25">
        <v>475.0</v>
      </c>
      <c r="F369" s="25">
        <f t="shared" si="2"/>
        <v>951</v>
      </c>
      <c r="G369" s="26">
        <f t="shared" si="3"/>
        <v>0.5005257624</v>
      </c>
      <c r="H369" s="26">
        <f t="shared" si="4"/>
        <v>0.4994742376</v>
      </c>
      <c r="I369" s="24" t="s">
        <v>83</v>
      </c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24" t="s">
        <v>325</v>
      </c>
      <c r="B370" s="24" t="s">
        <v>490</v>
      </c>
      <c r="C370" s="24" t="s">
        <v>490</v>
      </c>
      <c r="D370" s="25">
        <v>342.0</v>
      </c>
      <c r="E370" s="25">
        <v>512.0</v>
      </c>
      <c r="F370" s="25">
        <f t="shared" si="2"/>
        <v>854</v>
      </c>
      <c r="G370" s="26">
        <f t="shared" si="3"/>
        <v>0.4004683841</v>
      </c>
      <c r="H370" s="26">
        <f t="shared" si="4"/>
        <v>0.5995316159</v>
      </c>
      <c r="I370" s="24" t="s">
        <v>83</v>
      </c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24" t="s">
        <v>325</v>
      </c>
      <c r="B371" s="24" t="s">
        <v>491</v>
      </c>
      <c r="C371" s="24" t="s">
        <v>492</v>
      </c>
      <c r="D371" s="25">
        <v>519.0</v>
      </c>
      <c r="E371" s="25">
        <v>923.0</v>
      </c>
      <c r="F371" s="25">
        <f t="shared" si="2"/>
        <v>1442</v>
      </c>
      <c r="G371" s="26">
        <f t="shared" si="3"/>
        <v>0.3599167822</v>
      </c>
      <c r="H371" s="26">
        <f t="shared" si="4"/>
        <v>0.6400832178</v>
      </c>
      <c r="I371" s="24" t="s">
        <v>83</v>
      </c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24" t="s">
        <v>325</v>
      </c>
      <c r="B372" s="24" t="s">
        <v>491</v>
      </c>
      <c r="C372" s="24" t="s">
        <v>493</v>
      </c>
      <c r="D372" s="25">
        <v>519.0</v>
      </c>
      <c r="E372" s="25">
        <v>923.0</v>
      </c>
      <c r="F372" s="25">
        <f t="shared" si="2"/>
        <v>1442</v>
      </c>
      <c r="G372" s="26">
        <f t="shared" si="3"/>
        <v>0.3599167822</v>
      </c>
      <c r="H372" s="26">
        <f t="shared" si="4"/>
        <v>0.6400832178</v>
      </c>
      <c r="I372" s="24" t="s">
        <v>83</v>
      </c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24" t="s">
        <v>325</v>
      </c>
      <c r="B373" s="24" t="s">
        <v>494</v>
      </c>
      <c r="C373" s="24" t="s">
        <v>494</v>
      </c>
      <c r="D373" s="25">
        <v>225.0</v>
      </c>
      <c r="E373" s="25">
        <v>248.0</v>
      </c>
      <c r="F373" s="25">
        <f t="shared" si="2"/>
        <v>473</v>
      </c>
      <c r="G373" s="26">
        <f t="shared" si="3"/>
        <v>0.4756871036</v>
      </c>
      <c r="H373" s="26">
        <f t="shared" si="4"/>
        <v>0.5243128964</v>
      </c>
      <c r="I373" s="24" t="s">
        <v>83</v>
      </c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24" t="s">
        <v>325</v>
      </c>
      <c r="B374" s="24" t="s">
        <v>495</v>
      </c>
      <c r="C374" s="24" t="s">
        <v>496</v>
      </c>
      <c r="D374" s="25">
        <v>437.0</v>
      </c>
      <c r="E374" s="25">
        <v>514.0</v>
      </c>
      <c r="F374" s="25">
        <f t="shared" si="2"/>
        <v>951</v>
      </c>
      <c r="G374" s="26">
        <f t="shared" si="3"/>
        <v>0.4595162986</v>
      </c>
      <c r="H374" s="26">
        <f t="shared" si="4"/>
        <v>0.5404837014</v>
      </c>
      <c r="I374" s="24" t="s">
        <v>83</v>
      </c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24" t="s">
        <v>325</v>
      </c>
      <c r="B375" s="24" t="s">
        <v>495</v>
      </c>
      <c r="C375" s="24" t="s">
        <v>497</v>
      </c>
      <c r="D375" s="25">
        <v>437.0</v>
      </c>
      <c r="E375" s="25">
        <v>514.0</v>
      </c>
      <c r="F375" s="25">
        <f t="shared" si="2"/>
        <v>951</v>
      </c>
      <c r="G375" s="26">
        <f t="shared" si="3"/>
        <v>0.4595162986</v>
      </c>
      <c r="H375" s="26">
        <f t="shared" si="4"/>
        <v>0.5404837014</v>
      </c>
      <c r="I375" s="24" t="s">
        <v>83</v>
      </c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24" t="s">
        <v>325</v>
      </c>
      <c r="B376" s="24" t="s">
        <v>495</v>
      </c>
      <c r="C376" s="24" t="s">
        <v>498</v>
      </c>
      <c r="D376" s="25">
        <v>437.0</v>
      </c>
      <c r="E376" s="25">
        <v>514.0</v>
      </c>
      <c r="F376" s="25">
        <f t="shared" si="2"/>
        <v>951</v>
      </c>
      <c r="G376" s="26">
        <f t="shared" si="3"/>
        <v>0.4595162986</v>
      </c>
      <c r="H376" s="26">
        <f t="shared" si="4"/>
        <v>0.5404837014</v>
      </c>
      <c r="I376" s="24" t="s">
        <v>83</v>
      </c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24" t="s">
        <v>325</v>
      </c>
      <c r="B377" s="24" t="s">
        <v>495</v>
      </c>
      <c r="C377" s="24" t="s">
        <v>499</v>
      </c>
      <c r="D377" s="25">
        <v>437.0</v>
      </c>
      <c r="E377" s="25">
        <v>514.0</v>
      </c>
      <c r="F377" s="25">
        <f t="shared" si="2"/>
        <v>951</v>
      </c>
      <c r="G377" s="26">
        <f t="shared" si="3"/>
        <v>0.4595162986</v>
      </c>
      <c r="H377" s="26">
        <f t="shared" si="4"/>
        <v>0.5404837014</v>
      </c>
      <c r="I377" s="24" t="s">
        <v>83</v>
      </c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24" t="s">
        <v>325</v>
      </c>
      <c r="B378" s="24" t="s">
        <v>500</v>
      </c>
      <c r="C378" s="24" t="s">
        <v>501</v>
      </c>
      <c r="D378" s="25">
        <v>474.0</v>
      </c>
      <c r="E378" s="25">
        <v>369.0</v>
      </c>
      <c r="F378" s="25">
        <f t="shared" si="2"/>
        <v>843</v>
      </c>
      <c r="G378" s="26">
        <f t="shared" si="3"/>
        <v>0.5622775801</v>
      </c>
      <c r="H378" s="26">
        <f t="shared" si="4"/>
        <v>0.4377224199</v>
      </c>
      <c r="I378" s="24" t="s">
        <v>83</v>
      </c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24" t="s">
        <v>325</v>
      </c>
      <c r="B379" s="24" t="s">
        <v>500</v>
      </c>
      <c r="C379" s="24" t="s">
        <v>502</v>
      </c>
      <c r="D379" s="25">
        <v>474.0</v>
      </c>
      <c r="E379" s="25">
        <v>369.0</v>
      </c>
      <c r="F379" s="25">
        <f t="shared" si="2"/>
        <v>843</v>
      </c>
      <c r="G379" s="26">
        <f t="shared" si="3"/>
        <v>0.5622775801</v>
      </c>
      <c r="H379" s="26">
        <f t="shared" si="4"/>
        <v>0.4377224199</v>
      </c>
      <c r="I379" s="24" t="s">
        <v>83</v>
      </c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24" t="s">
        <v>325</v>
      </c>
      <c r="B380" s="24" t="s">
        <v>500</v>
      </c>
      <c r="C380" s="24" t="s">
        <v>503</v>
      </c>
      <c r="D380" s="25">
        <v>474.0</v>
      </c>
      <c r="E380" s="25">
        <v>369.0</v>
      </c>
      <c r="F380" s="25">
        <f t="shared" si="2"/>
        <v>843</v>
      </c>
      <c r="G380" s="26">
        <f t="shared" si="3"/>
        <v>0.5622775801</v>
      </c>
      <c r="H380" s="26">
        <f t="shared" si="4"/>
        <v>0.4377224199</v>
      </c>
      <c r="I380" s="24" t="s">
        <v>83</v>
      </c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24" t="s">
        <v>325</v>
      </c>
      <c r="B381" s="24" t="s">
        <v>504</v>
      </c>
      <c r="C381" s="24" t="s">
        <v>505</v>
      </c>
      <c r="D381" s="25">
        <v>614.0</v>
      </c>
      <c r="E381" s="25">
        <v>777.0</v>
      </c>
      <c r="F381" s="25">
        <f t="shared" si="2"/>
        <v>1391</v>
      </c>
      <c r="G381" s="26">
        <f t="shared" si="3"/>
        <v>0.4414090582</v>
      </c>
      <c r="H381" s="26">
        <f t="shared" si="4"/>
        <v>0.5585909418</v>
      </c>
      <c r="I381" s="24" t="s">
        <v>83</v>
      </c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5">
    <mergeCell ref="A1:I1"/>
    <mergeCell ref="A3:I3"/>
    <mergeCell ref="A6:I6"/>
    <mergeCell ref="A9:I9"/>
    <mergeCell ref="A10:I10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2026-09-15T11:15:51Z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